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\\lib16\Students\ПМИб-3\Алекскандров Эрнест\Информационные технологии\Лаба 3\"/>
    </mc:Choice>
  </mc:AlternateContent>
  <xr:revisionPtr revIDLastSave="0" documentId="8_{3A2B4631-0D5F-4DB6-A623-4F377B572155}" xr6:coauthVersionLast="36" xr6:coauthVersionMax="36" xr10:uidLastSave="{00000000-0000-0000-0000-000000000000}"/>
  <bookViews>
    <workbookView xWindow="0" yWindow="0" windowWidth="21780" windowHeight="10110" activeTab="1" xr2:uid="{9EE8E12F-9CA9-43E3-BF99-B80EDA44E5BC}"/>
  </bookViews>
  <sheets>
    <sheet name="Задача 1" sheetId="1" r:id="rId1"/>
    <sheet name="Задача 2" sheetId="2" r:id="rId2"/>
    <sheet name="Задача 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3" l="1"/>
  <c r="D3" i="3"/>
  <c r="C4" i="3"/>
  <c r="D4" i="3"/>
  <c r="C5" i="3"/>
  <c r="D5" i="3"/>
  <c r="C6" i="3"/>
  <c r="D6" i="3"/>
  <c r="C7" i="3"/>
  <c r="D7" i="3"/>
  <c r="C8" i="3"/>
  <c r="D8" i="3"/>
  <c r="C9" i="3"/>
  <c r="D9" i="3"/>
  <c r="C10" i="3"/>
  <c r="D10" i="3"/>
  <c r="C11" i="3"/>
  <c r="D11" i="3"/>
  <c r="C12" i="3"/>
  <c r="D12" i="3"/>
  <c r="C13" i="3"/>
  <c r="D13" i="3"/>
  <c r="C14" i="3"/>
  <c r="D14" i="3"/>
  <c r="C15" i="3"/>
  <c r="D15" i="3"/>
  <c r="C16" i="3"/>
  <c r="D16" i="3"/>
  <c r="C17" i="3"/>
  <c r="D17" i="3"/>
  <c r="C18" i="3"/>
  <c r="D18" i="3"/>
  <c r="C19" i="3"/>
  <c r="D19" i="3"/>
  <c r="C20" i="3"/>
  <c r="D20" i="3"/>
  <c r="C21" i="3"/>
  <c r="D21" i="3"/>
  <c r="C22" i="3"/>
  <c r="D22" i="3"/>
  <c r="C23" i="3"/>
  <c r="D23" i="3"/>
  <c r="C24" i="3"/>
  <c r="D24" i="3"/>
  <c r="C25" i="3"/>
  <c r="D25" i="3"/>
  <c r="C26" i="3"/>
  <c r="D26" i="3"/>
  <c r="C27" i="3"/>
  <c r="D27" i="3"/>
  <c r="C28" i="3"/>
  <c r="D28" i="3"/>
  <c r="C29" i="3"/>
  <c r="D29" i="3"/>
  <c r="C30" i="3"/>
  <c r="D30" i="3"/>
  <c r="C31" i="3"/>
  <c r="D31" i="3"/>
  <c r="C32" i="3"/>
  <c r="D32" i="3"/>
  <c r="C33" i="3"/>
  <c r="D33" i="3"/>
  <c r="C34" i="3"/>
  <c r="D34" i="3"/>
  <c r="C35" i="3"/>
  <c r="D35" i="3"/>
  <c r="C36" i="3"/>
  <c r="D36" i="3"/>
  <c r="D2" i="3"/>
  <c r="C2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2" i="3"/>
  <c r="I6" i="2"/>
  <c r="I7" i="2"/>
  <c r="I8" i="2"/>
  <c r="I9" i="2"/>
  <c r="I5" i="2"/>
  <c r="H6" i="2"/>
  <c r="H7" i="2"/>
  <c r="H8" i="2"/>
  <c r="H9" i="2"/>
  <c r="H5" i="2"/>
  <c r="G6" i="2"/>
  <c r="G7" i="2"/>
  <c r="G8" i="2"/>
  <c r="G9" i="2"/>
  <c r="G5" i="2"/>
  <c r="F6" i="2"/>
  <c r="F7" i="2"/>
  <c r="F8" i="2"/>
  <c r="F9" i="2"/>
  <c r="F5" i="2"/>
  <c r="B3" i="2"/>
  <c r="E3" i="1"/>
  <c r="E4" i="1"/>
  <c r="E5" i="1"/>
  <c r="E6" i="1"/>
  <c r="E7" i="1"/>
  <c r="E8" i="1"/>
  <c r="E9" i="1"/>
  <c r="E10" i="1"/>
  <c r="E11" i="1"/>
  <c r="E12" i="1"/>
  <c r="E2" i="1"/>
  <c r="D3" i="1"/>
  <c r="D4" i="1"/>
  <c r="D5" i="1"/>
  <c r="D6" i="1"/>
  <c r="D7" i="1"/>
  <c r="D8" i="1"/>
  <c r="D9" i="1"/>
  <c r="D10" i="1"/>
  <c r="D11" i="1"/>
  <c r="D12" i="1"/>
  <c r="D2" i="1"/>
  <c r="D15" i="1"/>
  <c r="D13" i="1"/>
</calcChain>
</file>

<file path=xl/sharedStrings.xml><?xml version="1.0" encoding="utf-8"?>
<sst xmlns="http://schemas.openxmlformats.org/spreadsheetml/2006/main" count="60" uniqueCount="55">
  <si>
    <t>№</t>
  </si>
  <si>
    <t>ФИО</t>
  </si>
  <si>
    <t>Отработано часов</t>
  </si>
  <si>
    <t>Начислено, руб.</t>
  </si>
  <si>
    <t>Начислено, $</t>
  </si>
  <si>
    <t>Иванов</t>
  </si>
  <si>
    <t>Микрбков</t>
  </si>
  <si>
    <t>Яшин</t>
  </si>
  <si>
    <t>Ветров</t>
  </si>
  <si>
    <t>Разумов</t>
  </si>
  <si>
    <t>Петухов</t>
  </si>
  <si>
    <t>Лаптев</t>
  </si>
  <si>
    <t>Карсанов</t>
  </si>
  <si>
    <t>Коврова</t>
  </si>
  <si>
    <t>Петрова</t>
  </si>
  <si>
    <t>Панин</t>
  </si>
  <si>
    <t>Всего чалов</t>
  </si>
  <si>
    <t>Общая сумма на зарплату</t>
  </si>
  <si>
    <t>Оплата за час</t>
  </si>
  <si>
    <t>Курс доллара</t>
  </si>
  <si>
    <t>ОТДЕЛЕНИЕ КОРРЕКЦИИ ВЕСА</t>
  </si>
  <si>
    <r>
      <t xml:space="preserve">Список пациентов палаты </t>
    </r>
    <r>
      <rPr>
        <b/>
        <sz val="11"/>
        <color theme="1"/>
        <rFont val="Times New Roman"/>
        <family val="1"/>
        <charset val="204"/>
      </rPr>
      <t>№13</t>
    </r>
  </si>
  <si>
    <t>рост (см)</t>
  </si>
  <si>
    <t>возраст (полных лет)</t>
  </si>
  <si>
    <t>вес (кг)</t>
  </si>
  <si>
    <t>вес (норма) (кг)</t>
  </si>
  <si>
    <t>вес (отклонение от нормы) (кг)</t>
  </si>
  <si>
    <t>степень ожирения</t>
  </si>
  <si>
    <t>суточная норма (ккал)</t>
  </si>
  <si>
    <t>Пирогова М.Ю.</t>
  </si>
  <si>
    <t>Блинова С.С.</t>
  </si>
  <si>
    <t>Киселева М.И.</t>
  </si>
  <si>
    <t>Капустина Л.Н.</t>
  </si>
  <si>
    <t>Шаньгина Т.А.</t>
  </si>
  <si>
    <t>Год</t>
  </si>
  <si>
    <t>Номер года</t>
  </si>
  <si>
    <t>Животное</t>
  </si>
  <si>
    <t>Цвет</t>
  </si>
  <si>
    <t>крыса</t>
  </si>
  <si>
    <t>корова</t>
  </si>
  <si>
    <t>тигр</t>
  </si>
  <si>
    <t>заяц</t>
  </si>
  <si>
    <t>дракон</t>
  </si>
  <si>
    <t>змея</t>
  </si>
  <si>
    <t>лошадь</t>
  </si>
  <si>
    <t>овца</t>
  </si>
  <si>
    <t>обезьяна</t>
  </si>
  <si>
    <t>петух</t>
  </si>
  <si>
    <t>собака</t>
  </si>
  <si>
    <t>свинья</t>
  </si>
  <si>
    <t>зеленый</t>
  </si>
  <si>
    <t>красный</t>
  </si>
  <si>
    <t>желтый</t>
  </si>
  <si>
    <t>белый</t>
  </si>
  <si>
    <t>черный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</si>
</sst>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#,##0.00\ &quot;₽&quot;"/>
    <numFmt numFmtId="167" formatCode="_-[$$-409]* #,##0.00_ ;_-[$$-409]* \-#,##0.00\ ;_-[$$-409]* &quot;-&quot;??_ ;_-@_ "/>
    <numFmt numFmtId="168" formatCode="0.0"/>
  </numFmts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165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7" fontId="1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/>
    </xf>
    <xf numFmtId="168" fontId="1" fillId="0" borderId="5" xfId="0" applyNumberFormat="1" applyFont="1" applyBorder="1" applyAlignment="1">
      <alignment horizontal="center" vertical="center"/>
    </xf>
    <xf numFmtId="1" fontId="1" fillId="0" borderId="5" xfId="0" applyNumberFormat="1" applyFont="1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right" vertical="center"/>
    </xf>
    <xf numFmtId="0" fontId="1" fillId="0" borderId="6" xfId="0" applyFont="1" applyBorder="1" applyAlignment="1">
      <alignment horizontal="right" vertical="center"/>
    </xf>
    <xf numFmtId="0" fontId="1" fillId="0" borderId="6" xfId="0" applyFont="1" applyBorder="1" applyAlignment="1">
      <alignment horizontal="left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right" vertical="center"/>
    </xf>
  </cellXfs>
  <cellStyles count="1">
    <cellStyle name="Обычный" xfId="0" builtinId="0"/>
  </cellStyles>
  <dxfs count="3"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>
                <a:solidFill>
                  <a:schemeClr val="bg1">
                    <a:lumMod val="85000"/>
                  </a:schemeClr>
                </a:solidFill>
              </a:rPr>
              <a:t>НАЧИСЛЕНИЕ ЗАРАБОТНОЙ ПЛАТЫ</a:t>
            </a:r>
          </a:p>
        </c:rich>
      </c:tx>
      <c:overlay val="0"/>
      <c:spPr>
        <a:gradFill flip="none" rotWithShape="1">
          <a:gsLst>
            <a:gs pos="0">
              <a:schemeClr val="accent2">
                <a:alpha val="56000"/>
                <a:lumMod val="0"/>
                <a:lumOff val="100000"/>
              </a:schemeClr>
            </a:gs>
            <a:gs pos="48000">
              <a:schemeClr val="accent2">
                <a:lumMod val="98000"/>
                <a:lumOff val="2000"/>
              </a:schemeClr>
            </a:gs>
            <a:gs pos="9000">
              <a:srgbClr val="6C75A2"/>
            </a:gs>
            <a:gs pos="92000">
              <a:schemeClr val="accent1"/>
            </a:gs>
          </a:gsLst>
          <a:lin ang="16200000" scaled="1"/>
          <a:tileRect/>
        </a:gradFill>
        <a:ln>
          <a:solidFill>
            <a:schemeClr val="accent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'Задача 1'!$D$1</c:f>
              <c:strCache>
                <c:ptCount val="1"/>
                <c:pt idx="0">
                  <c:v>Начислено, руб.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'Задача 1'!$B$2:$B$12</c:f>
              <c:strCache>
                <c:ptCount val="11"/>
                <c:pt idx="0">
                  <c:v>Иванов</c:v>
                </c:pt>
                <c:pt idx="1">
                  <c:v>Микрбков</c:v>
                </c:pt>
                <c:pt idx="2">
                  <c:v>Яшин</c:v>
                </c:pt>
                <c:pt idx="3">
                  <c:v>Ветров</c:v>
                </c:pt>
                <c:pt idx="4">
                  <c:v>Разумов</c:v>
                </c:pt>
                <c:pt idx="5">
                  <c:v>Петухов</c:v>
                </c:pt>
                <c:pt idx="6">
                  <c:v>Лаптев</c:v>
                </c:pt>
                <c:pt idx="7">
                  <c:v>Карсанов</c:v>
                </c:pt>
                <c:pt idx="8">
                  <c:v>Коврова</c:v>
                </c:pt>
                <c:pt idx="9">
                  <c:v>Петрова</c:v>
                </c:pt>
                <c:pt idx="10">
                  <c:v>Панин</c:v>
                </c:pt>
              </c:strCache>
            </c:strRef>
          </c:cat>
          <c:val>
            <c:numRef>
              <c:f>'Задача 1'!$D$2:$D$12</c:f>
              <c:numCache>
                <c:formatCode>#\ ##0.00\ "₽"</c:formatCode>
                <c:ptCount val="11"/>
                <c:pt idx="0">
                  <c:v>38314.176245210729</c:v>
                </c:pt>
                <c:pt idx="1">
                  <c:v>65134.099616858235</c:v>
                </c:pt>
                <c:pt idx="2">
                  <c:v>22988.505747126437</c:v>
                </c:pt>
                <c:pt idx="3">
                  <c:v>44061.30268199234</c:v>
                </c:pt>
                <c:pt idx="4">
                  <c:v>28735.632183908048</c:v>
                </c:pt>
                <c:pt idx="5">
                  <c:v>38314.176245210729</c:v>
                </c:pt>
                <c:pt idx="6">
                  <c:v>59386.973180076631</c:v>
                </c:pt>
                <c:pt idx="7">
                  <c:v>53639.84674329502</c:v>
                </c:pt>
                <c:pt idx="8">
                  <c:v>21072.796934865903</c:v>
                </c:pt>
                <c:pt idx="9">
                  <c:v>51724.137931034486</c:v>
                </c:pt>
                <c:pt idx="10">
                  <c:v>76628.352490421457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36-46FF-B529-B46E530882B7}"/>
            </c:ext>
          </c:extLst>
        </c:ser>
        <c:ser>
          <c:idx val="1"/>
          <c:order val="1"/>
          <c:tx>
            <c:strRef>
              <c:f>'Задача 1'!$E$1</c:f>
              <c:strCache>
                <c:ptCount val="1"/>
                <c:pt idx="0">
                  <c:v>Начислено, $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cat>
            <c:strRef>
              <c:f>'Задача 1'!$B$2:$B$12</c:f>
              <c:strCache>
                <c:ptCount val="11"/>
                <c:pt idx="0">
                  <c:v>Иванов</c:v>
                </c:pt>
                <c:pt idx="1">
                  <c:v>Микрбков</c:v>
                </c:pt>
                <c:pt idx="2">
                  <c:v>Яшин</c:v>
                </c:pt>
                <c:pt idx="3">
                  <c:v>Ветров</c:v>
                </c:pt>
                <c:pt idx="4">
                  <c:v>Разумов</c:v>
                </c:pt>
                <c:pt idx="5">
                  <c:v>Петухов</c:v>
                </c:pt>
                <c:pt idx="6">
                  <c:v>Лаптев</c:v>
                </c:pt>
                <c:pt idx="7">
                  <c:v>Карсанов</c:v>
                </c:pt>
                <c:pt idx="8">
                  <c:v>Коврова</c:v>
                </c:pt>
                <c:pt idx="9">
                  <c:v>Петрова</c:v>
                </c:pt>
                <c:pt idx="10">
                  <c:v>Панин</c:v>
                </c:pt>
              </c:strCache>
            </c:strRef>
          </c:cat>
          <c:val>
            <c:numRef>
              <c:f>'Задача 1'!$E$2:$E$12</c:f>
              <c:numCache>
                <c:formatCode>_-[$$-409]* #\ ##0.00_ ;_-[$$-409]* \-#\ ##0.00\ ;_-[$$-409]* "-"??_ ;_-@_ </c:formatCode>
                <c:ptCount val="11"/>
                <c:pt idx="0">
                  <c:v>414.61071577979362</c:v>
                </c:pt>
                <c:pt idx="1">
                  <c:v>704.83821682564917</c:v>
                </c:pt>
                <c:pt idx="2">
                  <c:v>248.76642946787618</c:v>
                </c:pt>
                <c:pt idx="3">
                  <c:v>476.80232314676272</c:v>
                </c:pt>
                <c:pt idx="4">
                  <c:v>310.95803683484525</c:v>
                </c:pt>
                <c:pt idx="5">
                  <c:v>414.61071577979362</c:v>
                </c:pt>
                <c:pt idx="6">
                  <c:v>642.64660945868013</c:v>
                </c:pt>
                <c:pt idx="7">
                  <c:v>580.45500209171109</c:v>
                </c:pt>
                <c:pt idx="8">
                  <c:v>228.03589367888651</c:v>
                </c:pt>
                <c:pt idx="9">
                  <c:v>559.72446630272145</c:v>
                </c:pt>
                <c:pt idx="10">
                  <c:v>829.22143155958724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36-46FF-B529-B46E530882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79286104"/>
        <c:axId val="479284792"/>
      </c:barChart>
      <c:catAx>
        <c:axId val="479286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79284792"/>
        <c:crosses val="autoZero"/>
        <c:auto val="1"/>
        <c:lblAlgn val="ctr"/>
        <c:lblOffset val="100"/>
        <c:noMultiLvlLbl val="0"/>
      </c:catAx>
      <c:valAx>
        <c:axId val="479284792"/>
        <c:scaling>
          <c:orientation val="minMax"/>
        </c:scaling>
        <c:delete val="0"/>
        <c:axPos val="l"/>
        <c:majorGridlines>
          <c:spPr>
            <a:ln>
              <a:solidFill>
                <a:schemeClr val="accent1"/>
              </a:solidFill>
              <a:prstDash val="dash"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7928610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blipFill dpi="0" rotWithShape="1">
      <a:blip xmlns:r="http://schemas.openxmlformats.org/officeDocument/2006/relationships" r:embed="rId3">
        <a:alphaModFix amt="63000"/>
      </a:blip>
      <a:srcRect/>
      <a:tile tx="0" ty="0" sx="100000" sy="100000" flip="none" algn="tl"/>
    </a:blip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>
                <a:solidFill>
                  <a:schemeClr val="bg1"/>
                </a:solidFill>
              </a:rPr>
              <a:t>Количество отработанных часов в процентном соотношении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50"/>
      <c:rotY val="5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11"/>
          <c:dPt>
            <c:idx val="0"/>
            <c:bubble3D val="0"/>
            <c:spPr>
              <a:solidFill>
                <a:schemeClr val="accent1">
                  <a:alpha val="90000"/>
                </a:schemeClr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8DE-4C3C-ADFB-D7F541FAB899}"/>
              </c:ext>
            </c:extLst>
          </c:dPt>
          <c:dPt>
            <c:idx val="1"/>
            <c:bubble3D val="0"/>
            <c:spPr>
              <a:solidFill>
                <a:schemeClr val="accent2">
                  <a:alpha val="90000"/>
                </a:schemeClr>
              </a:solidFill>
              <a:ln w="19050">
                <a:solidFill>
                  <a:schemeClr val="accent2"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08DE-4C3C-ADFB-D7F541FAB899}"/>
              </c:ext>
            </c:extLst>
          </c:dPt>
          <c:dPt>
            <c:idx val="2"/>
            <c:bubble3D val="0"/>
            <c:spPr>
              <a:solidFill>
                <a:schemeClr val="accent3">
                  <a:alpha val="90000"/>
                </a:schemeClr>
              </a:solidFill>
              <a:ln w="19050">
                <a:solidFill>
                  <a:schemeClr val="accent3"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8DE-4C3C-ADFB-D7F541FAB899}"/>
              </c:ext>
            </c:extLst>
          </c:dPt>
          <c:dPt>
            <c:idx val="3"/>
            <c:bubble3D val="0"/>
            <c:spPr>
              <a:solidFill>
                <a:schemeClr val="accent4">
                  <a:alpha val="90000"/>
                </a:schemeClr>
              </a:solidFill>
              <a:ln w="19050">
                <a:solidFill>
                  <a:schemeClr val="accent4"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08DE-4C3C-ADFB-D7F541FAB899}"/>
              </c:ext>
            </c:extLst>
          </c:dPt>
          <c:dPt>
            <c:idx val="4"/>
            <c:bubble3D val="0"/>
            <c:spPr>
              <a:solidFill>
                <a:schemeClr val="accent5">
                  <a:alpha val="90000"/>
                </a:schemeClr>
              </a:solidFill>
              <a:ln w="19050">
                <a:solidFill>
                  <a:schemeClr val="accent5">
                    <a:lumMod val="75000"/>
                  </a:schemeClr>
                </a:solidFill>
              </a:ln>
              <a:effectLst>
                <a:innerShdw blurRad="114300">
                  <a:schemeClr val="accent5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8DE-4C3C-ADFB-D7F541FAB899}"/>
              </c:ext>
            </c:extLst>
          </c:dPt>
          <c:dPt>
            <c:idx val="5"/>
            <c:bubble3D val="0"/>
            <c:spPr>
              <a:solidFill>
                <a:schemeClr val="accent6">
                  <a:alpha val="90000"/>
                </a:schemeClr>
              </a:solidFill>
              <a:ln w="19050">
                <a:solidFill>
                  <a:schemeClr val="accent6">
                    <a:lumMod val="75000"/>
                  </a:schemeClr>
                </a:solidFill>
              </a:ln>
              <a:effectLst>
                <a:innerShdw blurRad="114300">
                  <a:schemeClr val="accent6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08DE-4C3C-ADFB-D7F541FAB89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  <a:alpha val="90000"/>
                </a:schemeClr>
              </a:solidFill>
              <a:ln w="19050">
                <a:solidFill>
                  <a:schemeClr val="accent1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8DE-4C3C-ADFB-D7F541FAB89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  <a:alpha val="90000"/>
                </a:schemeClr>
              </a:solidFill>
              <a:ln w="19050">
                <a:solidFill>
                  <a:schemeClr val="accent2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8-08DE-4C3C-ADFB-D7F541FAB89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  <a:alpha val="90000"/>
                </a:schemeClr>
              </a:solidFill>
              <a:ln w="19050">
                <a:solidFill>
                  <a:schemeClr val="accent3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8DE-4C3C-ADFB-D7F541FAB89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  <a:alpha val="90000"/>
                </a:schemeClr>
              </a:solidFill>
              <a:ln w="19050">
                <a:solidFill>
                  <a:schemeClr val="accent4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A-08DE-4C3C-ADFB-D7F541FAB89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  <a:alpha val="90000"/>
                </a:schemeClr>
              </a:solidFill>
              <a:ln w="19050">
                <a:solidFill>
                  <a:schemeClr val="accent5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5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8DE-4C3C-ADFB-D7F541FAB899}"/>
              </c:ext>
            </c:extLst>
          </c:dPt>
          <c:dLbls>
            <c:dLbl>
              <c:idx val="0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1"/>
                  </a:solidFill>
                  <a:round/>
                </a:ln>
                <a:effectLst>
                  <a:outerShdw blurRad="50800" dist="38100" dir="2700000" algn="tl" rotWithShape="0">
                    <a:schemeClr val="accent1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08DE-4C3C-ADFB-D7F541FAB899}"/>
                </c:ext>
              </c:extLst>
            </c:dLbl>
            <c:dLbl>
              <c:idx val="1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2"/>
                  </a:solidFill>
                  <a:round/>
                </a:ln>
                <a:effectLst>
                  <a:outerShdw blurRad="50800" dist="38100" dir="2700000" algn="tl" rotWithShape="0">
                    <a:schemeClr val="accent2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2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08DE-4C3C-ADFB-D7F541FAB899}"/>
                </c:ext>
              </c:extLst>
            </c:dLbl>
            <c:dLbl>
              <c:idx val="2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3"/>
                  </a:solidFill>
                  <a:round/>
                </a:ln>
                <a:effectLst>
                  <a:outerShdw blurRad="50800" dist="38100" dir="2700000" algn="tl" rotWithShape="0">
                    <a:schemeClr val="accent3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3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08DE-4C3C-ADFB-D7F541FAB899}"/>
                </c:ext>
              </c:extLst>
            </c:dLbl>
            <c:dLbl>
              <c:idx val="3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4"/>
                  </a:solidFill>
                  <a:round/>
                </a:ln>
                <a:effectLst>
                  <a:outerShdw blurRad="50800" dist="38100" dir="2700000" algn="tl" rotWithShape="0">
                    <a:schemeClr val="accent4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4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08DE-4C3C-ADFB-D7F541FAB899}"/>
                </c:ext>
              </c:extLst>
            </c:dLbl>
            <c:dLbl>
              <c:idx val="4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5"/>
                  </a:solidFill>
                  <a:round/>
                </a:ln>
                <a:effectLst>
                  <a:outerShdw blurRad="50800" dist="38100" dir="2700000" algn="tl" rotWithShape="0">
                    <a:schemeClr val="accent5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5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08DE-4C3C-ADFB-D7F541FAB899}"/>
                </c:ext>
              </c:extLst>
            </c:dLbl>
            <c:dLbl>
              <c:idx val="5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6"/>
                  </a:solidFill>
                  <a:round/>
                </a:ln>
                <a:effectLst>
                  <a:outerShdw blurRad="50800" dist="38100" dir="2700000" algn="tl" rotWithShape="0">
                    <a:schemeClr val="accent6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6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6-08DE-4C3C-ADFB-D7F541FAB899}"/>
                </c:ext>
              </c:extLst>
            </c:dLbl>
            <c:dLbl>
              <c:idx val="6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1">
                      <a:lumMod val="60000"/>
                    </a:schemeClr>
                  </a:solidFill>
                  <a:round/>
                </a:ln>
                <a:effectLst>
                  <a:outerShdw blurRad="50800" dist="38100" dir="2700000" algn="tl" rotWithShape="0">
                    <a:schemeClr val="accent1">
                      <a:lumMod val="60000"/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>
                          <a:lumMod val="6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08DE-4C3C-ADFB-D7F541FAB899}"/>
                </c:ext>
              </c:extLst>
            </c:dLbl>
            <c:dLbl>
              <c:idx val="7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2">
                      <a:lumMod val="60000"/>
                    </a:schemeClr>
                  </a:solidFill>
                  <a:round/>
                </a:ln>
                <a:effectLst>
                  <a:outerShdw blurRad="50800" dist="38100" dir="2700000" algn="tl" rotWithShape="0">
                    <a:schemeClr val="accent2">
                      <a:lumMod val="60000"/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2">
                          <a:lumMod val="6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8-08DE-4C3C-ADFB-D7F541FAB899}"/>
                </c:ext>
              </c:extLst>
            </c:dLbl>
            <c:dLbl>
              <c:idx val="8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3">
                      <a:lumMod val="60000"/>
                    </a:schemeClr>
                  </a:solidFill>
                  <a:round/>
                </a:ln>
                <a:effectLst>
                  <a:outerShdw blurRad="50800" dist="38100" dir="2700000" algn="tl" rotWithShape="0">
                    <a:schemeClr val="accent3">
                      <a:lumMod val="60000"/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3">
                          <a:lumMod val="6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08DE-4C3C-ADFB-D7F541FAB899}"/>
                </c:ext>
              </c:extLst>
            </c:dLbl>
            <c:dLbl>
              <c:idx val="9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4">
                      <a:lumMod val="60000"/>
                    </a:schemeClr>
                  </a:solidFill>
                  <a:round/>
                </a:ln>
                <a:effectLst>
                  <a:outerShdw blurRad="50800" dist="38100" dir="2700000" algn="tl" rotWithShape="0">
                    <a:schemeClr val="accent4">
                      <a:lumMod val="60000"/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4">
                          <a:lumMod val="6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A-08DE-4C3C-ADFB-D7F541FAB899}"/>
                </c:ext>
              </c:extLst>
            </c:dLbl>
            <c:dLbl>
              <c:idx val="10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5">
                      <a:lumMod val="60000"/>
                    </a:schemeClr>
                  </a:solidFill>
                  <a:round/>
                </a:ln>
                <a:effectLst>
                  <a:outerShdw blurRad="50800" dist="38100" dir="2700000" algn="tl" rotWithShape="0">
                    <a:schemeClr val="accent5">
                      <a:lumMod val="60000"/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5">
                          <a:lumMod val="6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08DE-4C3C-ADFB-D7F541FAB899}"/>
                </c:ext>
              </c:extLst>
            </c:dLbl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'Задача 1'!$B$2:$B$12</c:f>
              <c:strCache>
                <c:ptCount val="11"/>
                <c:pt idx="0">
                  <c:v>Иванов</c:v>
                </c:pt>
                <c:pt idx="1">
                  <c:v>Микрбков</c:v>
                </c:pt>
                <c:pt idx="2">
                  <c:v>Яшин</c:v>
                </c:pt>
                <c:pt idx="3">
                  <c:v>Ветров</c:v>
                </c:pt>
                <c:pt idx="4">
                  <c:v>Разумов</c:v>
                </c:pt>
                <c:pt idx="5">
                  <c:v>Петухов</c:v>
                </c:pt>
                <c:pt idx="6">
                  <c:v>Лаптев</c:v>
                </c:pt>
                <c:pt idx="7">
                  <c:v>Карсанов</c:v>
                </c:pt>
                <c:pt idx="8">
                  <c:v>Коврова</c:v>
                </c:pt>
                <c:pt idx="9">
                  <c:v>Петрова</c:v>
                </c:pt>
                <c:pt idx="10">
                  <c:v>Панин</c:v>
                </c:pt>
              </c:strCache>
            </c:strRef>
          </c:cat>
          <c:val>
            <c:numRef>
              <c:f>'Задача 1'!$C$2:$C$12</c:f>
              <c:numCache>
                <c:formatCode>General</c:formatCode>
                <c:ptCount val="11"/>
                <c:pt idx="0">
                  <c:v>20</c:v>
                </c:pt>
                <c:pt idx="1">
                  <c:v>34</c:v>
                </c:pt>
                <c:pt idx="2">
                  <c:v>12</c:v>
                </c:pt>
                <c:pt idx="3">
                  <c:v>23</c:v>
                </c:pt>
                <c:pt idx="4">
                  <c:v>15</c:v>
                </c:pt>
                <c:pt idx="5">
                  <c:v>20</c:v>
                </c:pt>
                <c:pt idx="6">
                  <c:v>31</c:v>
                </c:pt>
                <c:pt idx="7">
                  <c:v>28</c:v>
                </c:pt>
                <c:pt idx="8">
                  <c:v>11</c:v>
                </c:pt>
                <c:pt idx="9">
                  <c:v>27</c:v>
                </c:pt>
                <c:pt idx="10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DE-4C3C-ADFB-D7F541FAB899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>
      <a:gsLst>
        <a:gs pos="98000">
          <a:schemeClr val="tx1"/>
        </a:gs>
        <a:gs pos="52000">
          <a:srgbClr val="6C75A2"/>
        </a:gs>
        <a:gs pos="0">
          <a:schemeClr val="bg1"/>
        </a:gs>
      </a:gsLst>
      <a:lin ang="162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'Задача 2'!$B$5</c:f>
              <c:strCache>
                <c:ptCount val="1"/>
                <c:pt idx="0">
                  <c:v>Пирогова М.Ю.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val>
            <c:numRef>
              <c:f>'Задача 2'!$C$5:$H$5</c:f>
              <c:numCache>
                <c:formatCode>0</c:formatCode>
                <c:ptCount val="6"/>
                <c:pt idx="0" formatCode="0.0">
                  <c:v>188</c:v>
                </c:pt>
                <c:pt idx="1">
                  <c:v>18</c:v>
                </c:pt>
                <c:pt idx="2" formatCode="0.0">
                  <c:v>81</c:v>
                </c:pt>
                <c:pt idx="3" formatCode="0.0">
                  <c:v>78</c:v>
                </c:pt>
                <c:pt idx="4" formatCode="0.0">
                  <c:v>3</c:v>
                </c:pt>
                <c:pt idx="5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4F-4FC3-82F9-8C00950F5F59}"/>
            </c:ext>
          </c:extLst>
        </c:ser>
        <c:ser>
          <c:idx val="1"/>
          <c:order val="1"/>
          <c:tx>
            <c:strRef>
              <c:f>'Задача 2'!$B$6</c:f>
              <c:strCache>
                <c:ptCount val="1"/>
                <c:pt idx="0">
                  <c:v>Блинова С.С.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val>
            <c:numRef>
              <c:f>'Задача 2'!$C$6:$H$6</c:f>
              <c:numCache>
                <c:formatCode>0</c:formatCode>
                <c:ptCount val="6"/>
                <c:pt idx="0" formatCode="0.0">
                  <c:v>167</c:v>
                </c:pt>
                <c:pt idx="1">
                  <c:v>23</c:v>
                </c:pt>
                <c:pt idx="2" formatCode="0.0">
                  <c:v>73.8</c:v>
                </c:pt>
                <c:pt idx="3" formatCode="0.0">
                  <c:v>57</c:v>
                </c:pt>
                <c:pt idx="4" formatCode="0.0">
                  <c:v>16.799999999999997</c:v>
                </c:pt>
                <c:pt idx="5" formatCode="General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4F-4FC3-82F9-8C00950F5F59}"/>
            </c:ext>
          </c:extLst>
        </c:ser>
        <c:ser>
          <c:idx val="2"/>
          <c:order val="2"/>
          <c:tx>
            <c:strRef>
              <c:f>'Задача 2'!$B$7</c:f>
              <c:strCache>
                <c:ptCount val="1"/>
                <c:pt idx="0">
                  <c:v>Киселева М.И.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val>
            <c:numRef>
              <c:f>'Задача 2'!$C$7:$H$7</c:f>
              <c:numCache>
                <c:formatCode>0</c:formatCode>
                <c:ptCount val="6"/>
                <c:pt idx="0" formatCode="0.0">
                  <c:v>155</c:v>
                </c:pt>
                <c:pt idx="1">
                  <c:v>45</c:v>
                </c:pt>
                <c:pt idx="2" formatCode="0.0">
                  <c:v>65.2</c:v>
                </c:pt>
                <c:pt idx="3" formatCode="0.0">
                  <c:v>55</c:v>
                </c:pt>
                <c:pt idx="4" formatCode="0.0">
                  <c:v>10.200000000000003</c:v>
                </c:pt>
                <c:pt idx="5" formatCode="General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C4F-4FC3-82F9-8C00950F5F59}"/>
            </c:ext>
          </c:extLst>
        </c:ser>
        <c:ser>
          <c:idx val="3"/>
          <c:order val="3"/>
          <c:tx>
            <c:strRef>
              <c:f>'Задача 2'!$B$8</c:f>
              <c:strCache>
                <c:ptCount val="1"/>
                <c:pt idx="0">
                  <c:v>Капустина Л.Н.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val>
            <c:numRef>
              <c:f>'Задача 2'!$C$8:$H$8</c:f>
              <c:numCache>
                <c:formatCode>0</c:formatCode>
                <c:ptCount val="6"/>
                <c:pt idx="0" formatCode="0.0">
                  <c:v>159</c:v>
                </c:pt>
                <c:pt idx="1">
                  <c:v>48</c:v>
                </c:pt>
                <c:pt idx="2" formatCode="0.0">
                  <c:v>99.7</c:v>
                </c:pt>
                <c:pt idx="3" formatCode="0.0">
                  <c:v>59</c:v>
                </c:pt>
                <c:pt idx="4" formatCode="0.0">
                  <c:v>40.700000000000003</c:v>
                </c:pt>
                <c:pt idx="5" formatCode="General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C4F-4FC3-82F9-8C00950F5F59}"/>
            </c:ext>
          </c:extLst>
        </c:ser>
        <c:ser>
          <c:idx val="4"/>
          <c:order val="4"/>
          <c:tx>
            <c:strRef>
              <c:f>'Задача 2'!$B$9</c:f>
              <c:strCache>
                <c:ptCount val="1"/>
                <c:pt idx="0">
                  <c:v>Шаньгина Т.А.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val>
            <c:numRef>
              <c:f>'Задача 2'!$C$9:$H$9</c:f>
              <c:numCache>
                <c:formatCode>0</c:formatCode>
                <c:ptCount val="6"/>
                <c:pt idx="0" formatCode="0.0">
                  <c:v>165</c:v>
                </c:pt>
                <c:pt idx="1">
                  <c:v>49</c:v>
                </c:pt>
                <c:pt idx="2" formatCode="0.0">
                  <c:v>77.400000000000006</c:v>
                </c:pt>
                <c:pt idx="3" formatCode="0.0">
                  <c:v>65</c:v>
                </c:pt>
                <c:pt idx="4" formatCode="0.0">
                  <c:v>12.400000000000006</c:v>
                </c:pt>
                <c:pt idx="5" formatCode="General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C4F-4FC3-82F9-8C00950F5F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5683024"/>
        <c:axId val="655684992"/>
      </c:lineChart>
      <c:catAx>
        <c:axId val="655683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5684992"/>
        <c:crosses val="autoZero"/>
        <c:auto val="1"/>
        <c:lblAlgn val="ctr"/>
        <c:lblOffset val="100"/>
        <c:noMultiLvlLbl val="0"/>
      </c:catAx>
      <c:valAx>
        <c:axId val="655684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5683024"/>
        <c:crosses val="autoZero"/>
        <c:crossBetween val="between"/>
      </c:valAx>
      <c:dTable>
        <c:showHorzBorder val="1"/>
        <c:showVertBorder val="1"/>
        <c:showOutline val="0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dTable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gradFill>
      <a:gsLst>
        <a:gs pos="98000">
          <a:schemeClr val="bg1"/>
        </a:gs>
        <a:gs pos="0">
          <a:schemeClr val="accent1">
            <a:lumMod val="40000"/>
            <a:lumOff val="60000"/>
          </a:schemeClr>
        </a:gs>
      </a:gsLst>
      <a:lin ang="162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3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8100" tIns="19050" rIns="38100" bIns="19050" anchor="ctr" anchorCtr="1">
      <a:spAutoFit/>
    </cs:bodyPr>
  </cs:dataLabel>
  <cs:dataLabelCallout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90000"/>
        </a:schemeClr>
      </a:solidFill>
      <a:ln w="19050">
        <a:solidFill>
          <a:schemeClr val="phClr">
            <a:lumMod val="75000"/>
          </a:schemeClr>
        </a:solidFill>
      </a:ln>
      <a:effectLst>
        <a:innerShdw blurRad="114300">
          <a:schemeClr val="phClr">
            <a:lumMod val="75000"/>
          </a:schemeClr>
        </a:innerShdw>
      </a:effectLst>
      <a:scene3d>
        <a:camera prst="orthographicFront"/>
        <a:lightRig rig="threePt" dir="t"/>
      </a:scene3d>
      <a:sp3d contourW="19050" prstMaterial="flat">
        <a:contourClr>
          <a:schemeClr val="accent4">
            <a:lumMod val="75000"/>
          </a:schemeClr>
        </a:contourClr>
      </a:sp3d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298175</xdr:colOff>
      <xdr:row>0</xdr:row>
      <xdr:rowOff>93801</xdr:rowOff>
    </xdr:from>
    <xdr:to>
      <xdr:col>16</xdr:col>
      <xdr:colOff>148674</xdr:colOff>
      <xdr:row>17</xdr:row>
      <xdr:rowOff>57979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C85C471-B433-4F7A-9E42-116CB820CE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33130</xdr:colOff>
      <xdr:row>18</xdr:row>
      <xdr:rowOff>69575</xdr:rowOff>
    </xdr:from>
    <xdr:to>
      <xdr:col>15</xdr:col>
      <xdr:colOff>62120</xdr:colOff>
      <xdr:row>41</xdr:row>
      <xdr:rowOff>8283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76ADAF9E-B01F-4EEB-92DD-2E51006062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271461</xdr:colOff>
      <xdr:row>12</xdr:row>
      <xdr:rowOff>71437</xdr:rowOff>
    </xdr:from>
    <xdr:to>
      <xdr:col>14</xdr:col>
      <xdr:colOff>76199</xdr:colOff>
      <xdr:row>33</xdr:row>
      <xdr:rowOff>85725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1382A99-208F-4B90-A1D0-EA235870B1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B1F5E-612C-4473-AE7F-691DCD90E936}">
  <dimension ref="A1:E19"/>
  <sheetViews>
    <sheetView zoomScale="115" zoomScaleNormal="115" workbookViewId="0">
      <selection activeCell="Q32" sqref="Q32"/>
    </sheetView>
  </sheetViews>
  <sheetFormatPr defaultRowHeight="15" x14ac:dyDescent="0.25"/>
  <cols>
    <col min="1" max="1" width="9.140625" style="1"/>
    <col min="2" max="2" width="15.42578125" style="1" customWidth="1"/>
    <col min="3" max="3" width="14" style="1" customWidth="1"/>
    <col min="4" max="4" width="15.5703125" style="1" bestFit="1" customWidth="1"/>
    <col min="5" max="5" width="12.7109375" style="1" bestFit="1" customWidth="1"/>
    <col min="6" max="16384" width="9.140625" style="1"/>
  </cols>
  <sheetData>
    <row r="1" spans="1:5" ht="31.5" thickTop="1" thickBot="1" x14ac:dyDescent="0.3">
      <c r="A1" s="5" t="s">
        <v>0</v>
      </c>
      <c r="B1" s="5" t="s">
        <v>1</v>
      </c>
      <c r="C1" s="6" t="s">
        <v>2</v>
      </c>
      <c r="D1" s="5" t="s">
        <v>3</v>
      </c>
      <c r="E1" s="5" t="s">
        <v>4</v>
      </c>
    </row>
    <row r="2" spans="1:5" ht="16.5" thickTop="1" thickBot="1" x14ac:dyDescent="0.3">
      <c r="A2" s="5">
        <v>1</v>
      </c>
      <c r="B2" s="7" t="s">
        <v>5</v>
      </c>
      <c r="C2" s="5">
        <v>20</v>
      </c>
      <c r="D2" s="14">
        <f>C2*$D$15</f>
        <v>38314.176245210729</v>
      </c>
      <c r="E2" s="16">
        <f>D2/$D$16</f>
        <v>414.61071577979362</v>
      </c>
    </row>
    <row r="3" spans="1:5" ht="16.5" thickTop="1" thickBot="1" x14ac:dyDescent="0.3">
      <c r="A3" s="5">
        <v>2</v>
      </c>
      <c r="B3" s="7" t="s">
        <v>6</v>
      </c>
      <c r="C3" s="5">
        <v>34</v>
      </c>
      <c r="D3" s="14">
        <f t="shared" ref="D3:D12" si="0">C3*$D$15</f>
        <v>65134.099616858235</v>
      </c>
      <c r="E3" s="16">
        <f t="shared" ref="E3:E12" si="1">D3/$D$16</f>
        <v>704.83821682564917</v>
      </c>
    </row>
    <row r="4" spans="1:5" ht="16.5" thickTop="1" thickBot="1" x14ac:dyDescent="0.3">
      <c r="A4" s="5">
        <v>3</v>
      </c>
      <c r="B4" s="7" t="s">
        <v>7</v>
      </c>
      <c r="C4" s="5">
        <v>12</v>
      </c>
      <c r="D4" s="14">
        <f t="shared" si="0"/>
        <v>22988.505747126437</v>
      </c>
      <c r="E4" s="16">
        <f t="shared" si="1"/>
        <v>248.76642946787618</v>
      </c>
    </row>
    <row r="5" spans="1:5" ht="16.5" thickTop="1" thickBot="1" x14ac:dyDescent="0.3">
      <c r="A5" s="5">
        <v>4</v>
      </c>
      <c r="B5" s="7" t="s">
        <v>8</v>
      </c>
      <c r="C5" s="5">
        <v>23</v>
      </c>
      <c r="D5" s="14">
        <f t="shared" si="0"/>
        <v>44061.30268199234</v>
      </c>
      <c r="E5" s="16">
        <f t="shared" si="1"/>
        <v>476.80232314676272</v>
      </c>
    </row>
    <row r="6" spans="1:5" ht="16.5" thickTop="1" thickBot="1" x14ac:dyDescent="0.3">
      <c r="A6" s="5">
        <v>5</v>
      </c>
      <c r="B6" s="7" t="s">
        <v>9</v>
      </c>
      <c r="C6" s="5">
        <v>15</v>
      </c>
      <c r="D6" s="14">
        <f t="shared" si="0"/>
        <v>28735.632183908048</v>
      </c>
      <c r="E6" s="16">
        <f t="shared" si="1"/>
        <v>310.95803683484525</v>
      </c>
    </row>
    <row r="7" spans="1:5" ht="16.5" thickTop="1" thickBot="1" x14ac:dyDescent="0.3">
      <c r="A7" s="5">
        <v>6</v>
      </c>
      <c r="B7" s="7" t="s">
        <v>10</v>
      </c>
      <c r="C7" s="5">
        <v>20</v>
      </c>
      <c r="D7" s="14">
        <f t="shared" si="0"/>
        <v>38314.176245210729</v>
      </c>
      <c r="E7" s="16">
        <f t="shared" si="1"/>
        <v>414.61071577979362</v>
      </c>
    </row>
    <row r="8" spans="1:5" ht="16.5" thickTop="1" thickBot="1" x14ac:dyDescent="0.3">
      <c r="A8" s="5">
        <v>7</v>
      </c>
      <c r="B8" s="7" t="s">
        <v>11</v>
      </c>
      <c r="C8" s="5">
        <v>31</v>
      </c>
      <c r="D8" s="14">
        <f t="shared" si="0"/>
        <v>59386.973180076631</v>
      </c>
      <c r="E8" s="16">
        <f t="shared" si="1"/>
        <v>642.64660945868013</v>
      </c>
    </row>
    <row r="9" spans="1:5" ht="16.5" thickTop="1" thickBot="1" x14ac:dyDescent="0.3">
      <c r="A9" s="5">
        <v>8</v>
      </c>
      <c r="B9" s="7" t="s">
        <v>12</v>
      </c>
      <c r="C9" s="5">
        <v>28</v>
      </c>
      <c r="D9" s="14">
        <f t="shared" si="0"/>
        <v>53639.84674329502</v>
      </c>
      <c r="E9" s="16">
        <f t="shared" si="1"/>
        <v>580.45500209171109</v>
      </c>
    </row>
    <row r="10" spans="1:5" ht="16.5" thickTop="1" thickBot="1" x14ac:dyDescent="0.3">
      <c r="A10" s="5">
        <v>9</v>
      </c>
      <c r="B10" s="7" t="s">
        <v>13</v>
      </c>
      <c r="C10" s="5">
        <v>11</v>
      </c>
      <c r="D10" s="14">
        <f t="shared" si="0"/>
        <v>21072.796934865903</v>
      </c>
      <c r="E10" s="16">
        <f t="shared" si="1"/>
        <v>228.03589367888651</v>
      </c>
    </row>
    <row r="11" spans="1:5" ht="16.5" thickTop="1" thickBot="1" x14ac:dyDescent="0.3">
      <c r="A11" s="5">
        <v>10</v>
      </c>
      <c r="B11" s="7" t="s">
        <v>14</v>
      </c>
      <c r="C11" s="5">
        <v>27</v>
      </c>
      <c r="D11" s="14">
        <f t="shared" si="0"/>
        <v>51724.137931034486</v>
      </c>
      <c r="E11" s="16">
        <f t="shared" si="1"/>
        <v>559.72446630272145</v>
      </c>
    </row>
    <row r="12" spans="1:5" ht="16.5" thickTop="1" thickBot="1" x14ac:dyDescent="0.3">
      <c r="A12" s="5">
        <v>11</v>
      </c>
      <c r="B12" s="7" t="s">
        <v>15</v>
      </c>
      <c r="C12" s="5">
        <v>40</v>
      </c>
      <c r="D12" s="14">
        <f t="shared" si="0"/>
        <v>76628.352490421457</v>
      </c>
      <c r="E12" s="16">
        <f t="shared" si="1"/>
        <v>829.22143155958724</v>
      </c>
    </row>
    <row r="13" spans="1:5" ht="16.5" thickTop="1" thickBot="1" x14ac:dyDescent="0.3">
      <c r="A13" s="9" t="s">
        <v>16</v>
      </c>
      <c r="B13" s="9"/>
      <c r="C13" s="9"/>
      <c r="D13" s="8">
        <f>SUM(C2:C12)</f>
        <v>261</v>
      </c>
      <c r="E13" s="8"/>
    </row>
    <row r="14" spans="1:5" ht="16.5" thickTop="1" thickBot="1" x14ac:dyDescent="0.3">
      <c r="A14" s="9" t="s">
        <v>17</v>
      </c>
      <c r="B14" s="9"/>
      <c r="C14" s="9"/>
      <c r="D14" s="13">
        <v>500000</v>
      </c>
      <c r="E14" s="13"/>
    </row>
    <row r="15" spans="1:5" ht="16.5" thickTop="1" thickBot="1" x14ac:dyDescent="0.3">
      <c r="A15" s="10" t="s">
        <v>18</v>
      </c>
      <c r="B15" s="11"/>
      <c r="C15" s="12"/>
      <c r="D15" s="13">
        <f>D14/D13</f>
        <v>1915.7088122605364</v>
      </c>
      <c r="E15" s="8"/>
    </row>
    <row r="16" spans="1:5" ht="16.5" thickTop="1" thickBot="1" x14ac:dyDescent="0.3">
      <c r="A16" s="9" t="s">
        <v>19</v>
      </c>
      <c r="B16" s="9"/>
      <c r="C16" s="9"/>
      <c r="D16" s="13">
        <v>92.41</v>
      </c>
      <c r="E16" s="13"/>
    </row>
    <row r="17" spans="4:4" ht="15.75" thickTop="1" x14ac:dyDescent="0.25"/>
    <row r="19" spans="4:4" x14ac:dyDescent="0.25">
      <c r="D19" s="15"/>
    </row>
  </sheetData>
  <mergeCells count="8">
    <mergeCell ref="A13:C13"/>
    <mergeCell ref="A15:C15"/>
    <mergeCell ref="A14:C14"/>
    <mergeCell ref="A16:C16"/>
    <mergeCell ref="D13:E13"/>
    <mergeCell ref="D14:E14"/>
    <mergeCell ref="D15:E15"/>
    <mergeCell ref="D16:E1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44974-D6E8-4868-A454-248E9AB201AC}">
  <dimension ref="A1:I9"/>
  <sheetViews>
    <sheetView tabSelected="1" workbookViewId="0">
      <selection activeCell="Q8" sqref="Q8"/>
    </sheetView>
  </sheetViews>
  <sheetFormatPr defaultRowHeight="15" x14ac:dyDescent="0.25"/>
  <cols>
    <col min="1" max="1" width="9.140625" style="1"/>
    <col min="2" max="2" width="15.28515625" style="1" bestFit="1" customWidth="1"/>
    <col min="3" max="3" width="9.140625" style="1"/>
    <col min="4" max="4" width="10.5703125" style="1" customWidth="1"/>
    <col min="5" max="6" width="9.140625" style="1"/>
    <col min="7" max="7" width="16" style="1" customWidth="1"/>
    <col min="8" max="8" width="11.85546875" style="1" customWidth="1"/>
    <col min="9" max="9" width="11.42578125" style="1" customWidth="1"/>
    <col min="10" max="16384" width="9.140625" style="1"/>
  </cols>
  <sheetData>
    <row r="1" spans="1:9" x14ac:dyDescent="0.25">
      <c r="A1" s="17" t="s">
        <v>20</v>
      </c>
      <c r="B1" s="17"/>
      <c r="C1" s="17"/>
      <c r="D1" s="17"/>
      <c r="E1" s="17"/>
      <c r="F1" s="17"/>
      <c r="G1" s="17"/>
      <c r="H1" s="17"/>
      <c r="I1" s="17"/>
    </row>
    <row r="2" spans="1:9" x14ac:dyDescent="0.25">
      <c r="A2" s="2" t="s">
        <v>21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B3" s="24">
        <f ca="1">TODAY()</f>
        <v>45562</v>
      </c>
    </row>
    <row r="4" spans="1:9" ht="42.75" x14ac:dyDescent="0.25">
      <c r="A4" s="20" t="s">
        <v>0</v>
      </c>
      <c r="B4" s="20" t="s">
        <v>1</v>
      </c>
      <c r="C4" s="20" t="s">
        <v>22</v>
      </c>
      <c r="D4" s="20" t="s">
        <v>23</v>
      </c>
      <c r="E4" s="20" t="s">
        <v>24</v>
      </c>
      <c r="F4" s="20" t="s">
        <v>25</v>
      </c>
      <c r="G4" s="20" t="s">
        <v>26</v>
      </c>
      <c r="H4" s="20" t="s">
        <v>27</v>
      </c>
      <c r="I4" s="20" t="s">
        <v>28</v>
      </c>
    </row>
    <row r="5" spans="1:9" x14ac:dyDescent="0.25">
      <c r="A5" s="19">
        <v>1</v>
      </c>
      <c r="B5" s="21" t="s">
        <v>29</v>
      </c>
      <c r="C5" s="22">
        <v>188</v>
      </c>
      <c r="D5" s="23">
        <v>18</v>
      </c>
      <c r="E5" s="22">
        <v>81</v>
      </c>
      <c r="F5" s="22">
        <f>_xlfn.IFS(D5&lt;25,C5-110,D5&gt;35,C5-100,D5&lt;35,C5-105)</f>
        <v>78</v>
      </c>
      <c r="G5" s="22">
        <f>E5-F5</f>
        <v>3</v>
      </c>
      <c r="H5" s="18">
        <f>_xlfn.IFS(G5&gt;=15,3,G5&gt;=10,2,G5&gt;=5,1,G5&lt;5,0)</f>
        <v>0</v>
      </c>
      <c r="I5" s="18">
        <f>_xlfn.IFS(H5=3,1200,H5=2,1400,H5=1,1600,H5=0,1800)</f>
        <v>1800</v>
      </c>
    </row>
    <row r="6" spans="1:9" x14ac:dyDescent="0.25">
      <c r="A6" s="19">
        <v>2</v>
      </c>
      <c r="B6" s="21" t="s">
        <v>30</v>
      </c>
      <c r="C6" s="22">
        <v>167</v>
      </c>
      <c r="D6" s="23">
        <v>23</v>
      </c>
      <c r="E6" s="22">
        <v>73.8</v>
      </c>
      <c r="F6" s="22">
        <f t="shared" ref="F6:F9" si="0">_xlfn.IFS(D6&lt;25,C6-110,D6&gt;35,C6-100,D6&lt;35,C6-105)</f>
        <v>57</v>
      </c>
      <c r="G6" s="22">
        <f t="shared" ref="G6:G9" si="1">E6-F6</f>
        <v>16.799999999999997</v>
      </c>
      <c r="H6" s="18">
        <f t="shared" ref="H6:H9" si="2">_xlfn.IFS(G6&gt;=15,3,G6&gt;=10,2,G6&gt;=5,1,G6&lt;5,0)</f>
        <v>3</v>
      </c>
      <c r="I6" s="18">
        <f t="shared" ref="I6:I9" si="3">_xlfn.IFS(H6=3,1200,H6=2,1400,H6=1,1600,H6=0,1800)</f>
        <v>1200</v>
      </c>
    </row>
    <row r="7" spans="1:9" x14ac:dyDescent="0.25">
      <c r="A7" s="19">
        <v>3</v>
      </c>
      <c r="B7" s="21" t="s">
        <v>31</v>
      </c>
      <c r="C7" s="22">
        <v>155</v>
      </c>
      <c r="D7" s="23">
        <v>45</v>
      </c>
      <c r="E7" s="22">
        <v>65.2</v>
      </c>
      <c r="F7" s="22">
        <f t="shared" si="0"/>
        <v>55</v>
      </c>
      <c r="G7" s="22">
        <f t="shared" si="1"/>
        <v>10.200000000000003</v>
      </c>
      <c r="H7" s="18">
        <f t="shared" si="2"/>
        <v>2</v>
      </c>
      <c r="I7" s="18">
        <f t="shared" si="3"/>
        <v>1400</v>
      </c>
    </row>
    <row r="8" spans="1:9" x14ac:dyDescent="0.25">
      <c r="A8" s="19">
        <v>4</v>
      </c>
      <c r="B8" s="21" t="s">
        <v>32</v>
      </c>
      <c r="C8" s="22">
        <v>159</v>
      </c>
      <c r="D8" s="23">
        <v>48</v>
      </c>
      <c r="E8" s="22">
        <v>99.7</v>
      </c>
      <c r="F8" s="22">
        <f t="shared" si="0"/>
        <v>59</v>
      </c>
      <c r="G8" s="22">
        <f t="shared" si="1"/>
        <v>40.700000000000003</v>
      </c>
      <c r="H8" s="18">
        <f t="shared" si="2"/>
        <v>3</v>
      </c>
      <c r="I8" s="18">
        <f t="shared" si="3"/>
        <v>1200</v>
      </c>
    </row>
    <row r="9" spans="1:9" x14ac:dyDescent="0.25">
      <c r="A9" s="19">
        <v>5</v>
      </c>
      <c r="B9" s="21" t="s">
        <v>33</v>
      </c>
      <c r="C9" s="22">
        <v>165</v>
      </c>
      <c r="D9" s="23">
        <v>49</v>
      </c>
      <c r="E9" s="22">
        <v>77.400000000000006</v>
      </c>
      <c r="F9" s="22">
        <f t="shared" si="0"/>
        <v>65</v>
      </c>
      <c r="G9" s="22">
        <f t="shared" si="1"/>
        <v>12.400000000000006</v>
      </c>
      <c r="H9" s="18">
        <f t="shared" si="2"/>
        <v>2</v>
      </c>
      <c r="I9" s="18">
        <f t="shared" si="3"/>
        <v>1400</v>
      </c>
    </row>
  </sheetData>
  <mergeCells count="2">
    <mergeCell ref="A1:I1"/>
    <mergeCell ref="A2:I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9C7B8-A5C1-4CE2-99EC-787ED662BC57}">
  <dimension ref="A1:H36"/>
  <sheetViews>
    <sheetView workbookViewId="0">
      <selection activeCell="I24" sqref="I24"/>
    </sheetView>
  </sheetViews>
  <sheetFormatPr defaultRowHeight="15" x14ac:dyDescent="0.25"/>
  <cols>
    <col min="1" max="1" width="8" style="1" customWidth="1"/>
    <col min="2" max="2" width="12.42578125" style="1" bestFit="1" customWidth="1"/>
    <col min="3" max="3" width="11.28515625" style="1" bestFit="1" customWidth="1"/>
    <col min="4" max="4" width="9.42578125" style="1" customWidth="1"/>
    <col min="5" max="5" width="9.140625" style="1"/>
    <col min="6" max="6" width="12.42578125" style="1" bestFit="1" customWidth="1"/>
    <col min="7" max="7" width="11.28515625" style="1" bestFit="1" customWidth="1"/>
    <col min="8" max="16384" width="9.140625" style="1"/>
  </cols>
  <sheetData>
    <row r="1" spans="1:8" ht="29.25" customHeight="1" x14ac:dyDescent="0.25">
      <c r="A1" s="25" t="s">
        <v>34</v>
      </c>
      <c r="B1" s="25" t="s">
        <v>35</v>
      </c>
      <c r="C1" s="25" t="s">
        <v>36</v>
      </c>
      <c r="D1" s="25" t="s">
        <v>37</v>
      </c>
      <c r="F1" s="25" t="s">
        <v>35</v>
      </c>
      <c r="G1" s="25" t="s">
        <v>36</v>
      </c>
      <c r="H1" s="25" t="s">
        <v>37</v>
      </c>
    </row>
    <row r="2" spans="1:8" x14ac:dyDescent="0.25">
      <c r="A2" s="26">
        <v>1990</v>
      </c>
      <c r="B2" s="26">
        <f>MOD(A2+2397,60)</f>
        <v>7</v>
      </c>
      <c r="C2" s="21" t="str">
        <f>VLOOKUP(MOD(B2-1,12),$F$2:$H$13,2)</f>
        <v>лошадь</v>
      </c>
      <c r="D2" s="21" t="str">
        <f>VLOOKUP(MOD(TRUNC((B2-1)/2),5),$F$2:$H$6,3)</f>
        <v>белый</v>
      </c>
      <c r="F2" s="26">
        <v>0</v>
      </c>
      <c r="G2" s="21" t="s">
        <v>38</v>
      </c>
      <c r="H2" s="21" t="s">
        <v>50</v>
      </c>
    </row>
    <row r="3" spans="1:8" x14ac:dyDescent="0.25">
      <c r="A3" s="26">
        <v>1991</v>
      </c>
      <c r="B3" s="26">
        <f t="shared" ref="B3:B18" si="0">MOD(A3+2397,60)</f>
        <v>8</v>
      </c>
      <c r="C3" s="21" t="str">
        <f t="shared" ref="C3:C36" si="1">VLOOKUP(MOD(B3-1,12),$F$2:$H$13,2)</f>
        <v>овца</v>
      </c>
      <c r="D3" s="21" t="str">
        <f t="shared" ref="D3:D36" si="2">VLOOKUP(MOD(TRUNC((B3-1)/2),5),$F$2:$H$6,3)</f>
        <v>белый</v>
      </c>
      <c r="F3" s="26">
        <v>1</v>
      </c>
      <c r="G3" s="21" t="s">
        <v>39</v>
      </c>
      <c r="H3" s="21" t="s">
        <v>51</v>
      </c>
    </row>
    <row r="4" spans="1:8" x14ac:dyDescent="0.25">
      <c r="A4" s="26">
        <v>1992</v>
      </c>
      <c r="B4" s="26">
        <f t="shared" si="0"/>
        <v>9</v>
      </c>
      <c r="C4" s="21" t="str">
        <f t="shared" si="1"/>
        <v>обезьяна</v>
      </c>
      <c r="D4" s="21" t="str">
        <f t="shared" si="2"/>
        <v>черный</v>
      </c>
      <c r="F4" s="26">
        <v>2</v>
      </c>
      <c r="G4" s="21" t="s">
        <v>40</v>
      </c>
      <c r="H4" s="21" t="s">
        <v>52</v>
      </c>
    </row>
    <row r="5" spans="1:8" x14ac:dyDescent="0.25">
      <c r="A5" s="26">
        <v>1993</v>
      </c>
      <c r="B5" s="26">
        <f t="shared" si="0"/>
        <v>10</v>
      </c>
      <c r="C5" s="21" t="str">
        <f t="shared" si="1"/>
        <v>петух</v>
      </c>
      <c r="D5" s="21" t="str">
        <f t="shared" si="2"/>
        <v>черный</v>
      </c>
      <c r="F5" s="26">
        <v>3</v>
      </c>
      <c r="G5" s="21" t="s">
        <v>41</v>
      </c>
      <c r="H5" s="21" t="s">
        <v>53</v>
      </c>
    </row>
    <row r="6" spans="1:8" x14ac:dyDescent="0.25">
      <c r="A6" s="26">
        <v>1994</v>
      </c>
      <c r="B6" s="26">
        <f t="shared" si="0"/>
        <v>11</v>
      </c>
      <c r="C6" s="21" t="str">
        <f t="shared" si="1"/>
        <v>собака</v>
      </c>
      <c r="D6" s="21" t="str">
        <f t="shared" si="2"/>
        <v>зеленый</v>
      </c>
      <c r="F6" s="26">
        <v>4</v>
      </c>
      <c r="G6" s="21" t="s">
        <v>42</v>
      </c>
      <c r="H6" s="21" t="s">
        <v>54</v>
      </c>
    </row>
    <row r="7" spans="1:8" x14ac:dyDescent="0.25">
      <c r="A7" s="26">
        <v>1995</v>
      </c>
      <c r="B7" s="26">
        <f t="shared" si="0"/>
        <v>12</v>
      </c>
      <c r="C7" s="21" t="str">
        <f t="shared" si="1"/>
        <v>свинья</v>
      </c>
      <c r="D7" s="21" t="str">
        <f t="shared" si="2"/>
        <v>зеленый</v>
      </c>
      <c r="F7" s="26">
        <v>5</v>
      </c>
      <c r="G7" s="21" t="s">
        <v>43</v>
      </c>
      <c r="H7" s="18"/>
    </row>
    <row r="8" spans="1:8" x14ac:dyDescent="0.25">
      <c r="A8" s="26">
        <v>1996</v>
      </c>
      <c r="B8" s="26">
        <f t="shared" si="0"/>
        <v>13</v>
      </c>
      <c r="C8" s="21" t="str">
        <f t="shared" si="1"/>
        <v>крыса</v>
      </c>
      <c r="D8" s="21" t="str">
        <f t="shared" si="2"/>
        <v>красный</v>
      </c>
      <c r="F8" s="26">
        <v>6</v>
      </c>
      <c r="G8" s="21" t="s">
        <v>44</v>
      </c>
      <c r="H8" s="18"/>
    </row>
    <row r="9" spans="1:8" x14ac:dyDescent="0.25">
      <c r="A9" s="26">
        <v>1997</v>
      </c>
      <c r="B9" s="26">
        <f t="shared" si="0"/>
        <v>14</v>
      </c>
      <c r="C9" s="21" t="str">
        <f t="shared" si="1"/>
        <v>корова</v>
      </c>
      <c r="D9" s="21" t="str">
        <f t="shared" si="2"/>
        <v>красный</v>
      </c>
      <c r="F9" s="26">
        <v>7</v>
      </c>
      <c r="G9" s="21" t="s">
        <v>45</v>
      </c>
      <c r="H9" s="18"/>
    </row>
    <row r="10" spans="1:8" x14ac:dyDescent="0.25">
      <c r="A10" s="26">
        <v>1998</v>
      </c>
      <c r="B10" s="26">
        <f t="shared" si="0"/>
        <v>15</v>
      </c>
      <c r="C10" s="21" t="str">
        <f t="shared" si="1"/>
        <v>тигр</v>
      </c>
      <c r="D10" s="21" t="str">
        <f t="shared" si="2"/>
        <v>желтый</v>
      </c>
      <c r="F10" s="26">
        <v>8</v>
      </c>
      <c r="G10" s="21" t="s">
        <v>46</v>
      </c>
      <c r="H10" s="18"/>
    </row>
    <row r="11" spans="1:8" x14ac:dyDescent="0.25">
      <c r="A11" s="26">
        <v>1999</v>
      </c>
      <c r="B11" s="26">
        <f t="shared" si="0"/>
        <v>16</v>
      </c>
      <c r="C11" s="21" t="str">
        <f t="shared" si="1"/>
        <v>заяц</v>
      </c>
      <c r="D11" s="21" t="str">
        <f t="shared" si="2"/>
        <v>желтый</v>
      </c>
      <c r="F11" s="26">
        <v>9</v>
      </c>
      <c r="G11" s="21" t="s">
        <v>47</v>
      </c>
      <c r="H11" s="18"/>
    </row>
    <row r="12" spans="1:8" x14ac:dyDescent="0.25">
      <c r="A12" s="26">
        <v>2000</v>
      </c>
      <c r="B12" s="26">
        <f t="shared" si="0"/>
        <v>17</v>
      </c>
      <c r="C12" s="21" t="str">
        <f t="shared" si="1"/>
        <v>дракон</v>
      </c>
      <c r="D12" s="21" t="str">
        <f t="shared" si="2"/>
        <v>белый</v>
      </c>
      <c r="F12" s="27">
        <v>10</v>
      </c>
      <c r="G12" s="28" t="s">
        <v>48</v>
      </c>
      <c r="H12" s="29"/>
    </row>
    <row r="13" spans="1:8" x14ac:dyDescent="0.25">
      <c r="A13" s="26">
        <v>2001</v>
      </c>
      <c r="B13" s="26">
        <f t="shared" si="0"/>
        <v>18</v>
      </c>
      <c r="C13" s="21" t="str">
        <f t="shared" si="1"/>
        <v>змея</v>
      </c>
      <c r="D13" s="21" t="str">
        <f t="shared" si="2"/>
        <v>белый</v>
      </c>
      <c r="F13" s="26">
        <v>11</v>
      </c>
      <c r="G13" s="21" t="s">
        <v>49</v>
      </c>
      <c r="H13" s="18"/>
    </row>
    <row r="14" spans="1:8" x14ac:dyDescent="0.25">
      <c r="A14" s="26">
        <v>2002</v>
      </c>
      <c r="B14" s="26">
        <f t="shared" si="0"/>
        <v>19</v>
      </c>
      <c r="C14" s="21" t="str">
        <f t="shared" si="1"/>
        <v>лошадь</v>
      </c>
      <c r="D14" s="21" t="str">
        <f t="shared" si="2"/>
        <v>черный</v>
      </c>
      <c r="F14" s="30"/>
      <c r="G14" s="4"/>
      <c r="H14" s="3"/>
    </row>
    <row r="15" spans="1:8" x14ac:dyDescent="0.25">
      <c r="A15" s="26">
        <v>2003</v>
      </c>
      <c r="B15" s="26">
        <f t="shared" si="0"/>
        <v>20</v>
      </c>
      <c r="C15" s="21" t="str">
        <f t="shared" si="1"/>
        <v>овца</v>
      </c>
      <c r="D15" s="21" t="str">
        <f t="shared" si="2"/>
        <v>черный</v>
      </c>
      <c r="F15" s="30"/>
      <c r="G15" s="4"/>
      <c r="H15" s="3"/>
    </row>
    <row r="16" spans="1:8" x14ac:dyDescent="0.25">
      <c r="A16" s="26">
        <v>2004</v>
      </c>
      <c r="B16" s="26">
        <f t="shared" si="0"/>
        <v>21</v>
      </c>
      <c r="C16" s="21" t="str">
        <f t="shared" si="1"/>
        <v>обезьяна</v>
      </c>
      <c r="D16" s="21" t="str">
        <f t="shared" si="2"/>
        <v>зеленый</v>
      </c>
      <c r="F16" s="30"/>
      <c r="G16" s="4"/>
      <c r="H16" s="3"/>
    </row>
    <row r="17" spans="1:8" x14ac:dyDescent="0.25">
      <c r="A17" s="26">
        <v>2005</v>
      </c>
      <c r="B17" s="26">
        <f t="shared" si="0"/>
        <v>22</v>
      </c>
      <c r="C17" s="21" t="str">
        <f t="shared" si="1"/>
        <v>петух</v>
      </c>
      <c r="D17" s="21" t="str">
        <f t="shared" si="2"/>
        <v>зеленый</v>
      </c>
      <c r="F17" s="30"/>
      <c r="G17" s="4"/>
      <c r="H17" s="3"/>
    </row>
    <row r="18" spans="1:8" x14ac:dyDescent="0.25">
      <c r="A18" s="26">
        <v>2006</v>
      </c>
      <c r="B18" s="26">
        <f>MOD(A18+2397,60)</f>
        <v>23</v>
      </c>
      <c r="C18" s="21" t="str">
        <f t="shared" si="1"/>
        <v>собака</v>
      </c>
      <c r="D18" s="21" t="str">
        <f t="shared" si="2"/>
        <v>красный</v>
      </c>
      <c r="F18" s="30"/>
      <c r="G18" s="4"/>
      <c r="H18" s="3"/>
    </row>
    <row r="19" spans="1:8" x14ac:dyDescent="0.25">
      <c r="A19" s="26">
        <v>2007</v>
      </c>
      <c r="B19" s="26">
        <f t="shared" ref="B19:B36" si="3">MOD(A19+2397,60)</f>
        <v>24</v>
      </c>
      <c r="C19" s="21" t="str">
        <f t="shared" si="1"/>
        <v>свинья</v>
      </c>
      <c r="D19" s="21" t="str">
        <f t="shared" si="2"/>
        <v>красный</v>
      </c>
      <c r="F19" s="3"/>
      <c r="G19" s="3"/>
      <c r="H19" s="3"/>
    </row>
    <row r="20" spans="1:8" x14ac:dyDescent="0.25">
      <c r="A20" s="26">
        <v>2008</v>
      </c>
      <c r="B20" s="26">
        <f t="shared" si="3"/>
        <v>25</v>
      </c>
      <c r="C20" s="21" t="str">
        <f t="shared" si="1"/>
        <v>крыса</v>
      </c>
      <c r="D20" s="21" t="str">
        <f t="shared" si="2"/>
        <v>желтый</v>
      </c>
    </row>
    <row r="21" spans="1:8" x14ac:dyDescent="0.25">
      <c r="A21" s="26">
        <v>2009</v>
      </c>
      <c r="B21" s="26">
        <f t="shared" si="3"/>
        <v>26</v>
      </c>
      <c r="C21" s="21" t="str">
        <f t="shared" si="1"/>
        <v>корова</v>
      </c>
      <c r="D21" s="21" t="str">
        <f t="shared" si="2"/>
        <v>желтый</v>
      </c>
    </row>
    <row r="22" spans="1:8" x14ac:dyDescent="0.25">
      <c r="A22" s="26">
        <v>2010</v>
      </c>
      <c r="B22" s="26">
        <f t="shared" si="3"/>
        <v>27</v>
      </c>
      <c r="C22" s="21" t="str">
        <f t="shared" si="1"/>
        <v>тигр</v>
      </c>
      <c r="D22" s="21" t="str">
        <f t="shared" si="2"/>
        <v>белый</v>
      </c>
    </row>
    <row r="23" spans="1:8" x14ac:dyDescent="0.25">
      <c r="A23" s="26">
        <v>2011</v>
      </c>
      <c r="B23" s="26">
        <f t="shared" si="3"/>
        <v>28</v>
      </c>
      <c r="C23" s="21" t="str">
        <f t="shared" si="1"/>
        <v>заяц</v>
      </c>
      <c r="D23" s="21" t="str">
        <f t="shared" si="2"/>
        <v>белый</v>
      </c>
    </row>
    <row r="24" spans="1:8" x14ac:dyDescent="0.25">
      <c r="A24" s="26">
        <v>2012</v>
      </c>
      <c r="B24" s="26">
        <f t="shared" si="3"/>
        <v>29</v>
      </c>
      <c r="C24" s="21" t="str">
        <f t="shared" si="1"/>
        <v>дракон</v>
      </c>
      <c r="D24" s="21" t="str">
        <f t="shared" si="2"/>
        <v>черный</v>
      </c>
    </row>
    <row r="25" spans="1:8" x14ac:dyDescent="0.25">
      <c r="A25" s="26">
        <v>2013</v>
      </c>
      <c r="B25" s="26">
        <f t="shared" si="3"/>
        <v>30</v>
      </c>
      <c r="C25" s="21" t="str">
        <f t="shared" si="1"/>
        <v>змея</v>
      </c>
      <c r="D25" s="21" t="str">
        <f t="shared" si="2"/>
        <v>черный</v>
      </c>
    </row>
    <row r="26" spans="1:8" x14ac:dyDescent="0.25">
      <c r="A26" s="26">
        <v>2014</v>
      </c>
      <c r="B26" s="26">
        <f t="shared" si="3"/>
        <v>31</v>
      </c>
      <c r="C26" s="21" t="str">
        <f t="shared" si="1"/>
        <v>лошадь</v>
      </c>
      <c r="D26" s="21" t="str">
        <f t="shared" si="2"/>
        <v>зеленый</v>
      </c>
    </row>
    <row r="27" spans="1:8" x14ac:dyDescent="0.25">
      <c r="A27" s="26">
        <v>2015</v>
      </c>
      <c r="B27" s="26">
        <f t="shared" si="3"/>
        <v>32</v>
      </c>
      <c r="C27" s="21" t="str">
        <f t="shared" si="1"/>
        <v>овца</v>
      </c>
      <c r="D27" s="21" t="str">
        <f t="shared" si="2"/>
        <v>зеленый</v>
      </c>
    </row>
    <row r="28" spans="1:8" x14ac:dyDescent="0.25">
      <c r="A28" s="26">
        <v>2016</v>
      </c>
      <c r="B28" s="26">
        <f t="shared" si="3"/>
        <v>33</v>
      </c>
      <c r="C28" s="21" t="str">
        <f t="shared" si="1"/>
        <v>обезьяна</v>
      </c>
      <c r="D28" s="21" t="str">
        <f t="shared" si="2"/>
        <v>красный</v>
      </c>
    </row>
    <row r="29" spans="1:8" x14ac:dyDescent="0.25">
      <c r="A29" s="26">
        <v>2017</v>
      </c>
      <c r="B29" s="26">
        <f t="shared" si="3"/>
        <v>34</v>
      </c>
      <c r="C29" s="21" t="str">
        <f t="shared" si="1"/>
        <v>петух</v>
      </c>
      <c r="D29" s="21" t="str">
        <f t="shared" si="2"/>
        <v>красный</v>
      </c>
    </row>
    <row r="30" spans="1:8" x14ac:dyDescent="0.25">
      <c r="A30" s="26">
        <v>2018</v>
      </c>
      <c r="B30" s="26">
        <f t="shared" si="3"/>
        <v>35</v>
      </c>
      <c r="C30" s="21" t="str">
        <f t="shared" si="1"/>
        <v>собака</v>
      </c>
      <c r="D30" s="21" t="str">
        <f t="shared" si="2"/>
        <v>желтый</v>
      </c>
    </row>
    <row r="31" spans="1:8" x14ac:dyDescent="0.25">
      <c r="A31" s="26">
        <v>2019</v>
      </c>
      <c r="B31" s="26">
        <f t="shared" si="3"/>
        <v>36</v>
      </c>
      <c r="C31" s="21" t="str">
        <f t="shared" si="1"/>
        <v>свинья</v>
      </c>
      <c r="D31" s="21" t="str">
        <f t="shared" si="2"/>
        <v>желтый</v>
      </c>
    </row>
    <row r="32" spans="1:8" x14ac:dyDescent="0.25">
      <c r="A32" s="26">
        <v>2020</v>
      </c>
      <c r="B32" s="26">
        <f t="shared" si="3"/>
        <v>37</v>
      </c>
      <c r="C32" s="21" t="str">
        <f t="shared" si="1"/>
        <v>крыса</v>
      </c>
      <c r="D32" s="21" t="str">
        <f t="shared" si="2"/>
        <v>белый</v>
      </c>
    </row>
    <row r="33" spans="1:4" x14ac:dyDescent="0.25">
      <c r="A33" s="26">
        <v>2021</v>
      </c>
      <c r="B33" s="26">
        <f t="shared" si="3"/>
        <v>38</v>
      </c>
      <c r="C33" s="21" t="str">
        <f t="shared" si="1"/>
        <v>корова</v>
      </c>
      <c r="D33" s="21" t="str">
        <f t="shared" si="2"/>
        <v>белый</v>
      </c>
    </row>
    <row r="34" spans="1:4" x14ac:dyDescent="0.25">
      <c r="A34" s="26">
        <v>2022</v>
      </c>
      <c r="B34" s="26">
        <f t="shared" si="3"/>
        <v>39</v>
      </c>
      <c r="C34" s="21" t="str">
        <f t="shared" si="1"/>
        <v>тигр</v>
      </c>
      <c r="D34" s="21" t="str">
        <f t="shared" si="2"/>
        <v>черный</v>
      </c>
    </row>
    <row r="35" spans="1:4" x14ac:dyDescent="0.25">
      <c r="A35" s="26">
        <v>2023</v>
      </c>
      <c r="B35" s="26">
        <f t="shared" si="3"/>
        <v>40</v>
      </c>
      <c r="C35" s="21" t="str">
        <f t="shared" si="1"/>
        <v>заяц</v>
      </c>
      <c r="D35" s="21" t="str">
        <f t="shared" si="2"/>
        <v>черный</v>
      </c>
    </row>
    <row r="36" spans="1:4" x14ac:dyDescent="0.25">
      <c r="A36" s="26">
        <v>2024</v>
      </c>
      <c r="B36" s="26">
        <f t="shared" si="3"/>
        <v>41</v>
      </c>
      <c r="C36" s="21" t="str">
        <f t="shared" si="1"/>
        <v>дракон</v>
      </c>
      <c r="D36" s="21" t="str">
        <f t="shared" si="2"/>
        <v>зеленый</v>
      </c>
    </row>
  </sheetData>
  <conditionalFormatting sqref="D2:D36">
    <cfRule type="containsText" dxfId="1" priority="3" operator="containsText" text="красный">
      <formula>NOT(ISERROR(SEARCH("красный",D2)))</formula>
    </cfRule>
    <cfRule type="containsText" dxfId="2" priority="2" operator="containsText" text="зеленый">
      <formula>NOT(ISERROR(SEARCH("зеленый",D2)))</formula>
    </cfRule>
    <cfRule type="containsText" dxfId="0" priority="1" operator="containsText" text="желтый">
      <formula>NOT(ISERROR(SEARCH("желтый",D2)))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Задача 1</vt:lpstr>
      <vt:lpstr>Задача 2</vt:lpstr>
      <vt:lpstr>Задача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2024-09-27T08:41:41Z</dcterms:created>
  <dcterms:modified xsi:type="dcterms:W3CDTF">2024-09-27T09:59:07Z</dcterms:modified>
</cp:coreProperties>
</file>