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gramming\University\[ ДЗ ]\"/>
    </mc:Choice>
  </mc:AlternateContent>
  <xr:revisionPtr revIDLastSave="0" documentId="13_ncr:1_{F71CD94E-057B-4395-AD98-2E4E0D1B2E32}" xr6:coauthVersionLast="47" xr6:coauthVersionMax="47" xr10:uidLastSave="{00000000-0000-0000-0000-000000000000}"/>
  <bookViews>
    <workbookView xWindow="-120" yWindow="330" windowWidth="20730" windowHeight="11310" tabRatio="844" firstSheet="5" activeTab="21" xr2:uid="{00000000-000D-0000-FFFF-FFFF00000000}"/>
  </bookViews>
  <sheets>
    <sheet name="Справочники" sheetId="23" r:id="rId1"/>
    <sheet name="База данных" sheetId="22" r:id="rId2"/>
    <sheet name="Октябрь" sheetId="29" r:id="rId3"/>
    <sheet name="Ноябрь" sheetId="30" r:id="rId4"/>
    <sheet name="Декабрь" sheetId="31" r:id="rId5"/>
    <sheet name="2.1" sheetId="36" r:id="rId6"/>
    <sheet name="2.2" sheetId="37" r:id="rId7"/>
    <sheet name="2.3" sheetId="38" r:id="rId8"/>
    <sheet name="2.4" sheetId="39" r:id="rId9"/>
    <sheet name="2.5" sheetId="40" r:id="rId10"/>
    <sheet name="2.6" sheetId="41" r:id="rId11"/>
    <sheet name="3.1" sheetId="42" r:id="rId12"/>
    <sheet name="3.2" sheetId="44" r:id="rId13"/>
    <sheet name="3.3" sheetId="43" r:id="rId14"/>
    <sheet name="3.4" sheetId="45" r:id="rId15"/>
    <sheet name="4.1" sheetId="51" r:id="rId16"/>
    <sheet name="4.2" sheetId="52" r:id="rId17"/>
    <sheet name="4.3" sheetId="53" r:id="rId18"/>
    <sheet name="4.4" sheetId="54" r:id="rId19"/>
    <sheet name="Квартал IV" sheetId="33" r:id="rId20"/>
    <sheet name="Диаграммы-1" sheetId="34" r:id="rId21"/>
    <sheet name="Диаграмма-2" sheetId="35" r:id="rId22"/>
  </sheets>
  <externalReferences>
    <externalReference r:id="rId23"/>
  </externalReferences>
  <definedNames>
    <definedName name="_xlnm._FilterDatabase" localSheetId="5" hidden="1">'2.1'!$A$1:$N$65</definedName>
    <definedName name="_xlnm._FilterDatabase" localSheetId="6" hidden="1">'2.2'!$A$1:$N$65</definedName>
    <definedName name="_xlnm._FilterDatabase" localSheetId="7" hidden="1">'2.3'!$A$1:$N$65</definedName>
    <definedName name="_xlnm._FilterDatabase" localSheetId="8" hidden="1">'2.4'!$A$6:$N$70</definedName>
    <definedName name="_xlnm._FilterDatabase" localSheetId="9" hidden="1">'2.5'!$A$6:$N$70</definedName>
    <definedName name="_xlnm._FilterDatabase" localSheetId="10" hidden="1">'2.6'!$A$7:$N$71</definedName>
    <definedName name="_xlnm._FilterDatabase" localSheetId="11" hidden="1">'3.1'!$A$1:$N$73</definedName>
    <definedName name="_xlnm._FilterDatabase" localSheetId="12" hidden="1">'3.2'!$A$1:$N$66</definedName>
    <definedName name="_xlnm._FilterDatabase" localSheetId="13" hidden="1">'3.3'!$A$1:$N$73</definedName>
    <definedName name="_xlnm._FilterDatabase" localSheetId="14" hidden="1">'3.4'!$A$1:$N$68</definedName>
    <definedName name="_xlnm._FilterDatabase" localSheetId="1" hidden="1">'База данных'!$A$1:$N$65</definedName>
    <definedName name="_xlnm._FilterDatabase" localSheetId="4" hidden="1">Декабрь!$A$3:$S$67</definedName>
    <definedName name="_xlnm._FilterDatabase" localSheetId="3" hidden="1">Ноябрь!$A$3:$S$67</definedName>
    <definedName name="_xlnm._FilterDatabase" localSheetId="2" hidden="1">Октябрь!$A$3:$S$67</definedName>
    <definedName name="_xlnm.Criteria" localSheetId="8">'2.4'!$D$1:$N$3</definedName>
    <definedName name="_xlnm.Criteria" localSheetId="9">'2.5'!$A$1:$N$3</definedName>
    <definedName name="_xlnm.Criteria" localSheetId="10">'2.6'!$A$1:$N$5</definedName>
    <definedName name="нгн" localSheetId="5">#REF!</definedName>
    <definedName name="нгн" localSheetId="6">#REF!</definedName>
    <definedName name="нгн" localSheetId="7">#REF!</definedName>
    <definedName name="нгн" localSheetId="8">#REF!</definedName>
    <definedName name="нгн" localSheetId="9">#REF!</definedName>
    <definedName name="нгн" localSheetId="10">#REF!</definedName>
    <definedName name="нгн" localSheetId="11">#REF!</definedName>
    <definedName name="нгн" localSheetId="12">#REF!</definedName>
    <definedName name="нгн" localSheetId="13">#REF!</definedName>
    <definedName name="нгн" localSheetId="14">#REF!</definedName>
    <definedName name="нгн" localSheetId="19">#REF!</definedName>
    <definedName name="нгн">#REF!</definedName>
    <definedName name="ннннннн" localSheetId="5">#REF!</definedName>
    <definedName name="ннннннн" localSheetId="6">#REF!</definedName>
    <definedName name="ннннннн" localSheetId="7">#REF!</definedName>
    <definedName name="ннннннн" localSheetId="8">#REF!</definedName>
    <definedName name="ннннннн" localSheetId="9">#REF!</definedName>
    <definedName name="ннннннн" localSheetId="10">#REF!</definedName>
    <definedName name="ннннннн" localSheetId="11">#REF!</definedName>
    <definedName name="ннннннн" localSheetId="12">#REF!</definedName>
    <definedName name="ннннннн" localSheetId="13">#REF!</definedName>
    <definedName name="ннннннн" localSheetId="14">#REF!</definedName>
    <definedName name="ннннннн" localSheetId="4">#REF!</definedName>
    <definedName name="ннннннн" localSheetId="19">#REF!</definedName>
    <definedName name="ннннннн" localSheetId="3">#REF!</definedName>
    <definedName name="ннннннн" localSheetId="2">#REF!</definedName>
    <definedName name="ннннннн">#REF!</definedName>
    <definedName name="оло" localSheetId="5">#REF!</definedName>
    <definedName name="оло" localSheetId="6">#REF!</definedName>
    <definedName name="оло" localSheetId="7">#REF!</definedName>
    <definedName name="оло" localSheetId="8">#REF!</definedName>
    <definedName name="оло" localSheetId="9">#REF!</definedName>
    <definedName name="оло" localSheetId="10">#REF!</definedName>
    <definedName name="оло" localSheetId="11">#REF!</definedName>
    <definedName name="оло" localSheetId="12">#REF!</definedName>
    <definedName name="оло" localSheetId="13">#REF!</definedName>
    <definedName name="оло" localSheetId="14">#REF!</definedName>
    <definedName name="оло" localSheetId="4">#REF!</definedName>
    <definedName name="оло" localSheetId="19">#REF!</definedName>
    <definedName name="оло" localSheetId="3">#REF!</definedName>
    <definedName name="оло" localSheetId="2">#REF!</definedName>
    <definedName name="оло">#REF!</definedName>
    <definedName name="Условие" localSheetId="5">#REF!</definedName>
    <definedName name="Условие" localSheetId="6">#REF!</definedName>
    <definedName name="Условие" localSheetId="7">#REF!</definedName>
    <definedName name="Условие" localSheetId="8">#REF!</definedName>
    <definedName name="Условие" localSheetId="9">#REF!</definedName>
    <definedName name="Условие" localSheetId="10">#REF!</definedName>
    <definedName name="Условие" localSheetId="11">#REF!</definedName>
    <definedName name="Условие" localSheetId="12">#REF!</definedName>
    <definedName name="Условие" localSheetId="13">#REF!</definedName>
    <definedName name="Условие" localSheetId="14">#REF!</definedName>
    <definedName name="Условие" localSheetId="1">#REF!</definedName>
    <definedName name="Условие" localSheetId="4">#REF!</definedName>
    <definedName name="Условие" localSheetId="19">#REF!</definedName>
    <definedName name="Условие" localSheetId="3">#REF!</definedName>
    <definedName name="Условие" localSheetId="2">#REF!</definedName>
    <definedName name="Условие">#REF!</definedName>
  </definedNames>
  <calcPr calcId="191029"/>
  <pivotCaches>
    <pivotCache cacheId="20" r:id="rId24"/>
    <pivotCache cacheId="19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41" l="1"/>
  <c r="L8" i="41"/>
  <c r="H8" i="41"/>
  <c r="F8" i="41"/>
  <c r="N8" i="41" s="1"/>
  <c r="F7" i="40"/>
  <c r="H7" i="40"/>
  <c r="L7" i="40"/>
  <c r="M7" i="40"/>
  <c r="N7" i="40"/>
  <c r="M53" i="45" l="1"/>
  <c r="L53" i="45"/>
  <c r="H53" i="45"/>
  <c r="F53" i="45"/>
  <c r="M30" i="45"/>
  <c r="L30" i="45"/>
  <c r="H30" i="45"/>
  <c r="F30" i="45"/>
  <c r="M68" i="45"/>
  <c r="L68" i="45"/>
  <c r="H68" i="45"/>
  <c r="F68" i="45"/>
  <c r="M67" i="45"/>
  <c r="L67" i="45"/>
  <c r="H67" i="45"/>
  <c r="F67" i="45"/>
  <c r="M29" i="45"/>
  <c r="L29" i="45"/>
  <c r="H29" i="45"/>
  <c r="F29" i="45"/>
  <c r="M28" i="45"/>
  <c r="L28" i="45"/>
  <c r="H28" i="45"/>
  <c r="F28" i="45"/>
  <c r="M27" i="45"/>
  <c r="L27" i="45"/>
  <c r="H27" i="45"/>
  <c r="F27" i="45"/>
  <c r="M66" i="45"/>
  <c r="L66" i="45"/>
  <c r="H66" i="45"/>
  <c r="F66" i="45"/>
  <c r="M42" i="45"/>
  <c r="L42" i="45"/>
  <c r="H42" i="45"/>
  <c r="F42" i="45"/>
  <c r="M26" i="45"/>
  <c r="L26" i="45"/>
  <c r="H26" i="45"/>
  <c r="F26" i="45"/>
  <c r="M25" i="45"/>
  <c r="L25" i="45"/>
  <c r="H25" i="45"/>
  <c r="F25" i="45"/>
  <c r="M24" i="45"/>
  <c r="L24" i="45"/>
  <c r="H24" i="45"/>
  <c r="F24" i="45"/>
  <c r="M41" i="45"/>
  <c r="L41" i="45"/>
  <c r="H41" i="45"/>
  <c r="F41" i="45"/>
  <c r="M40" i="45"/>
  <c r="L40" i="45"/>
  <c r="H40" i="45"/>
  <c r="F40" i="45"/>
  <c r="M23" i="45"/>
  <c r="L23" i="45"/>
  <c r="H23" i="45"/>
  <c r="F23" i="45"/>
  <c r="M52" i="45"/>
  <c r="L52" i="45"/>
  <c r="H52" i="45"/>
  <c r="F52" i="45"/>
  <c r="M22" i="45"/>
  <c r="L22" i="45"/>
  <c r="H22" i="45"/>
  <c r="F22" i="45"/>
  <c r="M51" i="45"/>
  <c r="L51" i="45"/>
  <c r="H51" i="45"/>
  <c r="F51" i="45"/>
  <c r="M50" i="45"/>
  <c r="L50" i="45"/>
  <c r="H50" i="45"/>
  <c r="F50" i="45"/>
  <c r="M39" i="45"/>
  <c r="L39" i="45"/>
  <c r="H39" i="45"/>
  <c r="F39" i="45"/>
  <c r="M49" i="45"/>
  <c r="L49" i="45"/>
  <c r="H49" i="45"/>
  <c r="F49" i="45"/>
  <c r="M48" i="45"/>
  <c r="L48" i="45"/>
  <c r="H48" i="45"/>
  <c r="F48" i="45"/>
  <c r="M47" i="45"/>
  <c r="L47" i="45"/>
  <c r="H47" i="45"/>
  <c r="F47" i="45"/>
  <c r="M21" i="45"/>
  <c r="L21" i="45"/>
  <c r="H21" i="45"/>
  <c r="F21" i="45"/>
  <c r="M38" i="45"/>
  <c r="L38" i="45"/>
  <c r="H38" i="45"/>
  <c r="F38" i="45"/>
  <c r="M65" i="45"/>
  <c r="L65" i="45"/>
  <c r="H65" i="45"/>
  <c r="F65" i="45"/>
  <c r="M20" i="45"/>
  <c r="L20" i="45"/>
  <c r="H20" i="45"/>
  <c r="F20" i="45"/>
  <c r="M37" i="45"/>
  <c r="L37" i="45"/>
  <c r="H37" i="45"/>
  <c r="F37" i="45"/>
  <c r="M36" i="45"/>
  <c r="L36" i="45"/>
  <c r="H36" i="45"/>
  <c r="F36" i="45"/>
  <c r="M35" i="45"/>
  <c r="L35" i="45"/>
  <c r="H35" i="45"/>
  <c r="F35" i="45"/>
  <c r="M19" i="45"/>
  <c r="L19" i="45"/>
  <c r="H19" i="45"/>
  <c r="F19" i="45"/>
  <c r="M18" i="45"/>
  <c r="L18" i="45"/>
  <c r="H18" i="45"/>
  <c r="F18" i="45"/>
  <c r="M64" i="45"/>
  <c r="L64" i="45"/>
  <c r="H64" i="45"/>
  <c r="F64" i="45"/>
  <c r="M17" i="45"/>
  <c r="L17" i="45"/>
  <c r="H17" i="45"/>
  <c r="F17" i="45"/>
  <c r="M34" i="45"/>
  <c r="L34" i="45"/>
  <c r="H34" i="45"/>
  <c r="F34" i="45"/>
  <c r="M16" i="45"/>
  <c r="L16" i="45"/>
  <c r="H16" i="45"/>
  <c r="F16" i="45"/>
  <c r="M63" i="45"/>
  <c r="L63" i="45"/>
  <c r="H63" i="45"/>
  <c r="F63" i="45"/>
  <c r="M15" i="45"/>
  <c r="L15" i="45"/>
  <c r="H15" i="45"/>
  <c r="F15" i="45"/>
  <c r="M14" i="45"/>
  <c r="L14" i="45"/>
  <c r="H14" i="45"/>
  <c r="F14" i="45"/>
  <c r="M46" i="45"/>
  <c r="L46" i="45"/>
  <c r="H46" i="45"/>
  <c r="F46" i="45"/>
  <c r="M45" i="45"/>
  <c r="L45" i="45"/>
  <c r="H45" i="45"/>
  <c r="F45" i="45"/>
  <c r="M13" i="45"/>
  <c r="L13" i="45"/>
  <c r="H13" i="45"/>
  <c r="F13" i="45"/>
  <c r="M62" i="45"/>
  <c r="L62" i="45"/>
  <c r="H62" i="45"/>
  <c r="F62" i="45"/>
  <c r="M61" i="45"/>
  <c r="L61" i="45"/>
  <c r="H61" i="45"/>
  <c r="F61" i="45"/>
  <c r="M60" i="45"/>
  <c r="L60" i="45"/>
  <c r="H60" i="45"/>
  <c r="F60" i="45"/>
  <c r="M12" i="45"/>
  <c r="L12" i="45"/>
  <c r="H12" i="45"/>
  <c r="F12" i="45"/>
  <c r="M59" i="45"/>
  <c r="L59" i="45"/>
  <c r="H59" i="45"/>
  <c r="F59" i="45"/>
  <c r="M44" i="45"/>
  <c r="L44" i="45"/>
  <c r="H44" i="45"/>
  <c r="H54" i="45" s="1"/>
  <c r="F44" i="45"/>
  <c r="M58" i="45"/>
  <c r="L58" i="45"/>
  <c r="H58" i="45"/>
  <c r="F58" i="45"/>
  <c r="M57" i="45"/>
  <c r="L57" i="45"/>
  <c r="H57" i="45"/>
  <c r="F57" i="45"/>
  <c r="M11" i="45"/>
  <c r="L11" i="45"/>
  <c r="H11" i="45"/>
  <c r="F11" i="45"/>
  <c r="M10" i="45"/>
  <c r="L10" i="45"/>
  <c r="H10" i="45"/>
  <c r="F10" i="45"/>
  <c r="M9" i="45"/>
  <c r="L9" i="45"/>
  <c r="H9" i="45"/>
  <c r="F9" i="45"/>
  <c r="M33" i="45"/>
  <c r="L33" i="45"/>
  <c r="H33" i="45"/>
  <c r="F33" i="45"/>
  <c r="M8" i="45"/>
  <c r="L8" i="45"/>
  <c r="H8" i="45"/>
  <c r="F8" i="45"/>
  <c r="M7" i="45"/>
  <c r="L7" i="45"/>
  <c r="H7" i="45"/>
  <c r="F7" i="45"/>
  <c r="M6" i="45"/>
  <c r="L6" i="45"/>
  <c r="H6" i="45"/>
  <c r="F6" i="45"/>
  <c r="M56" i="45"/>
  <c r="L56" i="45"/>
  <c r="H56" i="45"/>
  <c r="F56" i="45"/>
  <c r="M32" i="45"/>
  <c r="L32" i="45"/>
  <c r="H32" i="45"/>
  <c r="H43" i="45" s="1"/>
  <c r="F32" i="45"/>
  <c r="M5" i="45"/>
  <c r="L5" i="45"/>
  <c r="H5" i="45"/>
  <c r="F5" i="45"/>
  <c r="M4" i="45"/>
  <c r="L4" i="45"/>
  <c r="H4" i="45"/>
  <c r="F4" i="45"/>
  <c r="M55" i="45"/>
  <c r="L55" i="45"/>
  <c r="H55" i="45"/>
  <c r="F55" i="45"/>
  <c r="M3" i="45"/>
  <c r="L3" i="45"/>
  <c r="H3" i="45"/>
  <c r="F3" i="45"/>
  <c r="M2" i="45"/>
  <c r="L2" i="45"/>
  <c r="H2" i="45"/>
  <c r="F2" i="45"/>
  <c r="M2" i="44"/>
  <c r="L2" i="44"/>
  <c r="H2" i="44"/>
  <c r="F2" i="44"/>
  <c r="M62" i="44"/>
  <c r="L62" i="44"/>
  <c r="H62" i="44"/>
  <c r="F62" i="44"/>
  <c r="M65" i="44"/>
  <c r="L65" i="44"/>
  <c r="H65" i="44"/>
  <c r="F65" i="44"/>
  <c r="M66" i="44"/>
  <c r="L66" i="44"/>
  <c r="H66" i="44"/>
  <c r="F66" i="44"/>
  <c r="M7" i="44"/>
  <c r="L7" i="44"/>
  <c r="H7" i="44"/>
  <c r="F7" i="44"/>
  <c r="M35" i="44"/>
  <c r="L35" i="44"/>
  <c r="H35" i="44"/>
  <c r="F35" i="44"/>
  <c r="M32" i="44"/>
  <c r="L32" i="44"/>
  <c r="H32" i="44"/>
  <c r="F32" i="44"/>
  <c r="M14" i="44"/>
  <c r="L14" i="44"/>
  <c r="H14" i="44"/>
  <c r="F14" i="44"/>
  <c r="M27" i="44"/>
  <c r="L27" i="44"/>
  <c r="H27" i="44"/>
  <c r="F27" i="44"/>
  <c r="M26" i="44"/>
  <c r="L26" i="44"/>
  <c r="H26" i="44"/>
  <c r="F26" i="44"/>
  <c r="M36" i="44"/>
  <c r="L36" i="44"/>
  <c r="H36" i="44"/>
  <c r="F36" i="44"/>
  <c r="M19" i="44"/>
  <c r="L19" i="44"/>
  <c r="H19" i="44"/>
  <c r="F19" i="44"/>
  <c r="M11" i="44"/>
  <c r="L11" i="44"/>
  <c r="H11" i="44"/>
  <c r="F11" i="44"/>
  <c r="M24" i="44"/>
  <c r="L24" i="44"/>
  <c r="H24" i="44"/>
  <c r="F24" i="44"/>
  <c r="M39" i="44"/>
  <c r="L39" i="44"/>
  <c r="H39" i="44"/>
  <c r="F39" i="44"/>
  <c r="M64" i="44"/>
  <c r="L64" i="44"/>
  <c r="H64" i="44"/>
  <c r="F64" i="44"/>
  <c r="M44" i="44"/>
  <c r="L44" i="44"/>
  <c r="H44" i="44"/>
  <c r="F44" i="44"/>
  <c r="M46" i="44"/>
  <c r="L46" i="44"/>
  <c r="H46" i="44"/>
  <c r="F46" i="44"/>
  <c r="M61" i="44"/>
  <c r="L61" i="44"/>
  <c r="H61" i="44"/>
  <c r="F61" i="44"/>
  <c r="M63" i="44"/>
  <c r="L63" i="44"/>
  <c r="H63" i="44"/>
  <c r="F63" i="44"/>
  <c r="M45" i="44"/>
  <c r="L45" i="44"/>
  <c r="H45" i="44"/>
  <c r="F45" i="44"/>
  <c r="M50" i="44"/>
  <c r="L50" i="44"/>
  <c r="H50" i="44"/>
  <c r="F50" i="44"/>
  <c r="M38" i="44"/>
  <c r="L38" i="44"/>
  <c r="H38" i="44"/>
  <c r="F38" i="44"/>
  <c r="M60" i="44"/>
  <c r="L60" i="44"/>
  <c r="H60" i="44"/>
  <c r="F60" i="44"/>
  <c r="M15" i="44"/>
  <c r="L15" i="44"/>
  <c r="H15" i="44"/>
  <c r="F15" i="44"/>
  <c r="M9" i="44"/>
  <c r="L9" i="44"/>
  <c r="H9" i="44"/>
  <c r="F9" i="44"/>
  <c r="M42" i="44"/>
  <c r="L42" i="44"/>
  <c r="H42" i="44"/>
  <c r="F42" i="44"/>
  <c r="M8" i="44"/>
  <c r="L8" i="44"/>
  <c r="H8" i="44"/>
  <c r="F8" i="44"/>
  <c r="M17" i="44"/>
  <c r="L17" i="44"/>
  <c r="H17" i="44"/>
  <c r="F17" i="44"/>
  <c r="M31" i="44"/>
  <c r="L31" i="44"/>
  <c r="H31" i="44"/>
  <c r="F31" i="44"/>
  <c r="M30" i="44"/>
  <c r="L30" i="44"/>
  <c r="H30" i="44"/>
  <c r="F30" i="44"/>
  <c r="M51" i="44"/>
  <c r="L51" i="44"/>
  <c r="H51" i="44"/>
  <c r="F51" i="44"/>
  <c r="M52" i="44"/>
  <c r="L52" i="44"/>
  <c r="H52" i="44"/>
  <c r="F52" i="44"/>
  <c r="M57" i="44"/>
  <c r="L57" i="44"/>
  <c r="H57" i="44"/>
  <c r="F57" i="44"/>
  <c r="M5" i="44"/>
  <c r="L5" i="44"/>
  <c r="H5" i="44"/>
  <c r="F5" i="44"/>
  <c r="M48" i="44"/>
  <c r="L48" i="44"/>
  <c r="H48" i="44"/>
  <c r="F48" i="44"/>
  <c r="M49" i="44"/>
  <c r="L49" i="44"/>
  <c r="H49" i="44"/>
  <c r="F49" i="44"/>
  <c r="M55" i="44"/>
  <c r="L55" i="44"/>
  <c r="H55" i="44"/>
  <c r="F55" i="44"/>
  <c r="M56" i="44"/>
  <c r="L56" i="44"/>
  <c r="H56" i="44"/>
  <c r="F56" i="44"/>
  <c r="M34" i="44"/>
  <c r="L34" i="44"/>
  <c r="H34" i="44"/>
  <c r="F34" i="44"/>
  <c r="M22" i="44"/>
  <c r="L22" i="44"/>
  <c r="H22" i="44"/>
  <c r="F22" i="44"/>
  <c r="M33" i="44"/>
  <c r="L33" i="44"/>
  <c r="H33" i="44"/>
  <c r="F33" i="44"/>
  <c r="M21" i="44"/>
  <c r="L21" i="44"/>
  <c r="H21" i="44"/>
  <c r="F21" i="44"/>
  <c r="M12" i="44"/>
  <c r="L12" i="44"/>
  <c r="H12" i="44"/>
  <c r="F12" i="44"/>
  <c r="M25" i="44"/>
  <c r="L25" i="44"/>
  <c r="H25" i="44"/>
  <c r="F25" i="44"/>
  <c r="M16" i="44"/>
  <c r="L16" i="44"/>
  <c r="H16" i="44"/>
  <c r="F16" i="44"/>
  <c r="M20" i="44"/>
  <c r="L20" i="44"/>
  <c r="H20" i="44"/>
  <c r="F20" i="44"/>
  <c r="M23" i="44"/>
  <c r="L23" i="44"/>
  <c r="H23" i="44"/>
  <c r="F23" i="44"/>
  <c r="M29" i="44"/>
  <c r="L29" i="44"/>
  <c r="H29" i="44"/>
  <c r="F29" i="44"/>
  <c r="M28" i="44"/>
  <c r="L28" i="44"/>
  <c r="H28" i="44"/>
  <c r="F28" i="44"/>
  <c r="M3" i="44"/>
  <c r="L3" i="44"/>
  <c r="H3" i="44"/>
  <c r="F3" i="44"/>
  <c r="M37" i="44"/>
  <c r="L37" i="44"/>
  <c r="H37" i="44"/>
  <c r="F37" i="44"/>
  <c r="M53" i="44"/>
  <c r="L53" i="44"/>
  <c r="H53" i="44"/>
  <c r="F53" i="44"/>
  <c r="M6" i="44"/>
  <c r="L6" i="44"/>
  <c r="H6" i="44"/>
  <c r="F6" i="44"/>
  <c r="M40" i="44"/>
  <c r="L40" i="44"/>
  <c r="H40" i="44"/>
  <c r="F40" i="44"/>
  <c r="M58" i="44"/>
  <c r="L58" i="44"/>
  <c r="H58" i="44"/>
  <c r="F58" i="44"/>
  <c r="M59" i="44"/>
  <c r="L59" i="44"/>
  <c r="H59" i="44"/>
  <c r="F59" i="44"/>
  <c r="M13" i="44"/>
  <c r="L13" i="44"/>
  <c r="H13" i="44"/>
  <c r="F13" i="44"/>
  <c r="M47" i="44"/>
  <c r="L47" i="44"/>
  <c r="H47" i="44"/>
  <c r="F47" i="44"/>
  <c r="M54" i="44"/>
  <c r="L54" i="44"/>
  <c r="H54" i="44"/>
  <c r="F54" i="44"/>
  <c r="M10" i="44"/>
  <c r="L10" i="44"/>
  <c r="H10" i="44"/>
  <c r="F10" i="44"/>
  <c r="M4" i="44"/>
  <c r="L4" i="44"/>
  <c r="H4" i="44"/>
  <c r="F4" i="44"/>
  <c r="M41" i="44"/>
  <c r="L41" i="44"/>
  <c r="H41" i="44"/>
  <c r="F41" i="44"/>
  <c r="M18" i="44"/>
  <c r="L18" i="44"/>
  <c r="H18" i="44"/>
  <c r="F18" i="44"/>
  <c r="M64" i="43"/>
  <c r="L64" i="43"/>
  <c r="H64" i="43"/>
  <c r="F64" i="43"/>
  <c r="M24" i="43"/>
  <c r="L24" i="43"/>
  <c r="H24" i="43"/>
  <c r="F24" i="43"/>
  <c r="M63" i="43"/>
  <c r="L63" i="43"/>
  <c r="H63" i="43"/>
  <c r="F63" i="43"/>
  <c r="M62" i="43"/>
  <c r="L62" i="43"/>
  <c r="H62" i="43"/>
  <c r="F62" i="43"/>
  <c r="M23" i="43"/>
  <c r="L23" i="43"/>
  <c r="H23" i="43"/>
  <c r="F23" i="43"/>
  <c r="M22" i="43"/>
  <c r="L22" i="43"/>
  <c r="H22" i="43"/>
  <c r="F22" i="43"/>
  <c r="M21" i="43"/>
  <c r="L21" i="43"/>
  <c r="H21" i="43"/>
  <c r="F21" i="43"/>
  <c r="M59" i="43"/>
  <c r="L59" i="43"/>
  <c r="H59" i="43"/>
  <c r="F59" i="43"/>
  <c r="M20" i="43"/>
  <c r="L20" i="43"/>
  <c r="H20" i="43"/>
  <c r="F20" i="43"/>
  <c r="M19" i="43"/>
  <c r="L19" i="43"/>
  <c r="H19" i="43"/>
  <c r="F19" i="43"/>
  <c r="M18" i="43"/>
  <c r="L18" i="43"/>
  <c r="H18" i="43"/>
  <c r="F18" i="43"/>
  <c r="M17" i="43"/>
  <c r="L17" i="43"/>
  <c r="H17" i="43"/>
  <c r="F17" i="43"/>
  <c r="M16" i="43"/>
  <c r="L16" i="43"/>
  <c r="H16" i="43"/>
  <c r="F16" i="43"/>
  <c r="M15" i="43"/>
  <c r="L15" i="43"/>
  <c r="H15" i="43"/>
  <c r="F15" i="43"/>
  <c r="M14" i="43"/>
  <c r="L14" i="43"/>
  <c r="H14" i="43"/>
  <c r="H25" i="43" s="1"/>
  <c r="F14" i="43"/>
  <c r="M61" i="43"/>
  <c r="L61" i="43"/>
  <c r="H61" i="43"/>
  <c r="H65" i="43" s="1"/>
  <c r="F61" i="43"/>
  <c r="M35" i="43"/>
  <c r="L35" i="43"/>
  <c r="H35" i="43"/>
  <c r="F35" i="43"/>
  <c r="M42" i="43"/>
  <c r="L42" i="43"/>
  <c r="H42" i="43"/>
  <c r="F42" i="43"/>
  <c r="M41" i="43"/>
  <c r="L41" i="43"/>
  <c r="H41" i="43"/>
  <c r="F41" i="43"/>
  <c r="M40" i="43"/>
  <c r="L40" i="43"/>
  <c r="H40" i="43"/>
  <c r="F40" i="43"/>
  <c r="M39" i="43"/>
  <c r="L39" i="43"/>
  <c r="H39" i="43"/>
  <c r="F39" i="43"/>
  <c r="M38" i="43"/>
  <c r="L38" i="43"/>
  <c r="H38" i="43"/>
  <c r="F38" i="43"/>
  <c r="M37" i="43"/>
  <c r="L37" i="43"/>
  <c r="H37" i="43"/>
  <c r="H43" i="43" s="1"/>
  <c r="F37" i="43"/>
  <c r="M12" i="43"/>
  <c r="L12" i="43"/>
  <c r="H12" i="43"/>
  <c r="F12" i="43"/>
  <c r="M34" i="43"/>
  <c r="L34" i="43"/>
  <c r="H34" i="43"/>
  <c r="F34" i="43"/>
  <c r="M73" i="43"/>
  <c r="L73" i="43"/>
  <c r="H73" i="43"/>
  <c r="F73" i="43"/>
  <c r="M11" i="43"/>
  <c r="L11" i="43"/>
  <c r="H11" i="43"/>
  <c r="H13" i="43" s="1"/>
  <c r="F11" i="43"/>
  <c r="M72" i="43"/>
  <c r="L72" i="43"/>
  <c r="H72" i="43"/>
  <c r="F72" i="43"/>
  <c r="M33" i="43"/>
  <c r="L33" i="43"/>
  <c r="H33" i="43"/>
  <c r="F33" i="43"/>
  <c r="M58" i="43"/>
  <c r="L58" i="43"/>
  <c r="H58" i="43"/>
  <c r="F58" i="43"/>
  <c r="M57" i="43"/>
  <c r="L57" i="43"/>
  <c r="H57" i="43"/>
  <c r="F57" i="43"/>
  <c r="M32" i="43"/>
  <c r="L32" i="43"/>
  <c r="H32" i="43"/>
  <c r="F32" i="43"/>
  <c r="M9" i="43"/>
  <c r="L9" i="43"/>
  <c r="H9" i="43"/>
  <c r="H10" i="43" s="1"/>
  <c r="F9" i="43"/>
  <c r="M31" i="43"/>
  <c r="L31" i="43"/>
  <c r="H31" i="43"/>
  <c r="F31" i="43"/>
  <c r="M71" i="43"/>
  <c r="L71" i="43"/>
  <c r="H71" i="43"/>
  <c r="F71" i="43"/>
  <c r="M30" i="43"/>
  <c r="L30" i="43"/>
  <c r="H30" i="43"/>
  <c r="F30" i="43"/>
  <c r="M29" i="43"/>
  <c r="L29" i="43"/>
  <c r="H29" i="43"/>
  <c r="F29" i="43"/>
  <c r="M56" i="43"/>
  <c r="L56" i="43"/>
  <c r="H56" i="43"/>
  <c r="F56" i="43"/>
  <c r="M28" i="43"/>
  <c r="L28" i="43"/>
  <c r="H28" i="43"/>
  <c r="F28" i="43"/>
  <c r="M55" i="43"/>
  <c r="L55" i="43"/>
  <c r="H55" i="43"/>
  <c r="F55" i="43"/>
  <c r="M54" i="43"/>
  <c r="L54" i="43"/>
  <c r="H54" i="43"/>
  <c r="F54" i="43"/>
  <c r="M53" i="43"/>
  <c r="L53" i="43"/>
  <c r="H53" i="43"/>
  <c r="F53" i="43"/>
  <c r="M52" i="43"/>
  <c r="L52" i="43"/>
  <c r="H52" i="43"/>
  <c r="F52" i="43"/>
  <c r="M51" i="43"/>
  <c r="L51" i="43"/>
  <c r="H51" i="43"/>
  <c r="F51" i="43"/>
  <c r="M50" i="43"/>
  <c r="L50" i="43"/>
  <c r="H50" i="43"/>
  <c r="F50" i="43"/>
  <c r="M49" i="43"/>
  <c r="L49" i="43"/>
  <c r="H49" i="43"/>
  <c r="F49" i="43"/>
  <c r="M48" i="43"/>
  <c r="L48" i="43"/>
  <c r="H48" i="43"/>
  <c r="F48" i="43"/>
  <c r="M47" i="43"/>
  <c r="L47" i="43"/>
  <c r="H47" i="43"/>
  <c r="F47" i="43"/>
  <c r="M46" i="43"/>
  <c r="L46" i="43"/>
  <c r="H46" i="43"/>
  <c r="F46" i="43"/>
  <c r="M45" i="43"/>
  <c r="L45" i="43"/>
  <c r="H45" i="43"/>
  <c r="F45" i="43"/>
  <c r="M44" i="43"/>
  <c r="L44" i="43"/>
  <c r="H44" i="43"/>
  <c r="H60" i="43" s="1"/>
  <c r="F44" i="43"/>
  <c r="M27" i="43"/>
  <c r="L27" i="43"/>
  <c r="H27" i="43"/>
  <c r="F27" i="43"/>
  <c r="M26" i="43"/>
  <c r="L26" i="43"/>
  <c r="H26" i="43"/>
  <c r="H36" i="43" s="1"/>
  <c r="F26" i="43"/>
  <c r="M70" i="43"/>
  <c r="L70" i="43"/>
  <c r="H70" i="43"/>
  <c r="F70" i="43"/>
  <c r="M69" i="43"/>
  <c r="L69" i="43"/>
  <c r="H69" i="43"/>
  <c r="F69" i="43"/>
  <c r="M68" i="43"/>
  <c r="L68" i="43"/>
  <c r="H68" i="43"/>
  <c r="F68" i="43"/>
  <c r="M67" i="43"/>
  <c r="L67" i="43"/>
  <c r="H67" i="43"/>
  <c r="F67" i="43"/>
  <c r="M66" i="43"/>
  <c r="L66" i="43"/>
  <c r="H66" i="43"/>
  <c r="H74" i="43" s="1"/>
  <c r="F66" i="43"/>
  <c r="M7" i="43"/>
  <c r="L7" i="43"/>
  <c r="H7" i="43"/>
  <c r="F7" i="43"/>
  <c r="M6" i="43"/>
  <c r="L6" i="43"/>
  <c r="H6" i="43"/>
  <c r="F6" i="43"/>
  <c r="M5" i="43"/>
  <c r="L5" i="43"/>
  <c r="H5" i="43"/>
  <c r="F5" i="43"/>
  <c r="M4" i="43"/>
  <c r="L4" i="43"/>
  <c r="H4" i="43"/>
  <c r="F4" i="43"/>
  <c r="M3" i="43"/>
  <c r="L3" i="43"/>
  <c r="H3" i="43"/>
  <c r="F3" i="43"/>
  <c r="M2" i="43"/>
  <c r="L2" i="43"/>
  <c r="H2" i="43"/>
  <c r="F2" i="43"/>
  <c r="M64" i="42"/>
  <c r="L64" i="42"/>
  <c r="H64" i="42"/>
  <c r="F64" i="42"/>
  <c r="M24" i="42"/>
  <c r="L24" i="42"/>
  <c r="H24" i="42"/>
  <c r="F24" i="42"/>
  <c r="M63" i="42"/>
  <c r="L63" i="42"/>
  <c r="H63" i="42"/>
  <c r="F63" i="42"/>
  <c r="M62" i="42"/>
  <c r="L62" i="42"/>
  <c r="H62" i="42"/>
  <c r="F62" i="42"/>
  <c r="M23" i="42"/>
  <c r="L23" i="42"/>
  <c r="H23" i="42"/>
  <c r="F23" i="42"/>
  <c r="M22" i="42"/>
  <c r="L22" i="42"/>
  <c r="H22" i="42"/>
  <c r="F22" i="42"/>
  <c r="M21" i="42"/>
  <c r="L21" i="42"/>
  <c r="H21" i="42"/>
  <c r="F21" i="42"/>
  <c r="M59" i="42"/>
  <c r="L59" i="42"/>
  <c r="H59" i="42"/>
  <c r="F59" i="42"/>
  <c r="M20" i="42"/>
  <c r="L20" i="42"/>
  <c r="H20" i="42"/>
  <c r="F20" i="42"/>
  <c r="M19" i="42"/>
  <c r="L19" i="42"/>
  <c r="H19" i="42"/>
  <c r="F19" i="42"/>
  <c r="M18" i="42"/>
  <c r="L18" i="42"/>
  <c r="H18" i="42"/>
  <c r="F18" i="42"/>
  <c r="M17" i="42"/>
  <c r="L17" i="42"/>
  <c r="H17" i="42"/>
  <c r="F17" i="42"/>
  <c r="M16" i="42"/>
  <c r="L16" i="42"/>
  <c r="H16" i="42"/>
  <c r="F16" i="42"/>
  <c r="M15" i="42"/>
  <c r="L15" i="42"/>
  <c r="H15" i="42"/>
  <c r="F15" i="42"/>
  <c r="M14" i="42"/>
  <c r="L14" i="42"/>
  <c r="H14" i="42"/>
  <c r="F14" i="42"/>
  <c r="M61" i="42"/>
  <c r="L61" i="42"/>
  <c r="H61" i="42"/>
  <c r="F61" i="42"/>
  <c r="M35" i="42"/>
  <c r="L35" i="42"/>
  <c r="H35" i="42"/>
  <c r="F35" i="42"/>
  <c r="M42" i="42"/>
  <c r="L42" i="42"/>
  <c r="H42" i="42"/>
  <c r="F42" i="42"/>
  <c r="M41" i="42"/>
  <c r="L41" i="42"/>
  <c r="H41" i="42"/>
  <c r="F41" i="42"/>
  <c r="M40" i="42"/>
  <c r="L40" i="42"/>
  <c r="H40" i="42"/>
  <c r="F40" i="42"/>
  <c r="M39" i="42"/>
  <c r="L39" i="42"/>
  <c r="H39" i="42"/>
  <c r="F39" i="42"/>
  <c r="M38" i="42"/>
  <c r="L38" i="42"/>
  <c r="H38" i="42"/>
  <c r="F38" i="42"/>
  <c r="M37" i="42"/>
  <c r="L37" i="42"/>
  <c r="H37" i="42"/>
  <c r="F37" i="42"/>
  <c r="M12" i="42"/>
  <c r="L12" i="42"/>
  <c r="H12" i="42"/>
  <c r="F12" i="42"/>
  <c r="M34" i="42"/>
  <c r="L34" i="42"/>
  <c r="H34" i="42"/>
  <c r="F34" i="42"/>
  <c r="M73" i="42"/>
  <c r="L73" i="42"/>
  <c r="H73" i="42"/>
  <c r="F73" i="42"/>
  <c r="M11" i="42"/>
  <c r="L11" i="42"/>
  <c r="H11" i="42"/>
  <c r="F11" i="42"/>
  <c r="M72" i="42"/>
  <c r="L72" i="42"/>
  <c r="H72" i="42"/>
  <c r="F72" i="42"/>
  <c r="M33" i="42"/>
  <c r="L33" i="42"/>
  <c r="H33" i="42"/>
  <c r="F33" i="42"/>
  <c r="M58" i="42"/>
  <c r="L58" i="42"/>
  <c r="H58" i="42"/>
  <c r="F58" i="42"/>
  <c r="M57" i="42"/>
  <c r="L57" i="42"/>
  <c r="H57" i="42"/>
  <c r="F57" i="42"/>
  <c r="M32" i="42"/>
  <c r="L32" i="42"/>
  <c r="H32" i="42"/>
  <c r="F32" i="42"/>
  <c r="M9" i="42"/>
  <c r="L9" i="42"/>
  <c r="H9" i="42"/>
  <c r="F9" i="42"/>
  <c r="M31" i="42"/>
  <c r="L31" i="42"/>
  <c r="H31" i="42"/>
  <c r="F31" i="42"/>
  <c r="M71" i="42"/>
  <c r="L71" i="42"/>
  <c r="H71" i="42"/>
  <c r="F71" i="42"/>
  <c r="M30" i="42"/>
  <c r="L30" i="42"/>
  <c r="H30" i="42"/>
  <c r="F30" i="42"/>
  <c r="M29" i="42"/>
  <c r="L29" i="42"/>
  <c r="H29" i="42"/>
  <c r="F29" i="42"/>
  <c r="M56" i="42"/>
  <c r="L56" i="42"/>
  <c r="H56" i="42"/>
  <c r="F56" i="42"/>
  <c r="M28" i="42"/>
  <c r="L28" i="42"/>
  <c r="H28" i="42"/>
  <c r="F28" i="42"/>
  <c r="M55" i="42"/>
  <c r="L55" i="42"/>
  <c r="H55" i="42"/>
  <c r="F55" i="42"/>
  <c r="M54" i="42"/>
  <c r="L54" i="42"/>
  <c r="H54" i="42"/>
  <c r="F54" i="42"/>
  <c r="M53" i="42"/>
  <c r="L53" i="42"/>
  <c r="H53" i="42"/>
  <c r="F53" i="42"/>
  <c r="M52" i="42"/>
  <c r="L52" i="42"/>
  <c r="H52" i="42"/>
  <c r="F52" i="42"/>
  <c r="M51" i="42"/>
  <c r="L51" i="42"/>
  <c r="H51" i="42"/>
  <c r="F51" i="42"/>
  <c r="M50" i="42"/>
  <c r="L50" i="42"/>
  <c r="H50" i="42"/>
  <c r="F50" i="42"/>
  <c r="M49" i="42"/>
  <c r="L49" i="42"/>
  <c r="H49" i="42"/>
  <c r="F49" i="42"/>
  <c r="M48" i="42"/>
  <c r="L48" i="42"/>
  <c r="H48" i="42"/>
  <c r="F48" i="42"/>
  <c r="M47" i="42"/>
  <c r="L47" i="42"/>
  <c r="H47" i="42"/>
  <c r="F47" i="42"/>
  <c r="M46" i="42"/>
  <c r="L46" i="42"/>
  <c r="H46" i="42"/>
  <c r="F46" i="42"/>
  <c r="M45" i="42"/>
  <c r="L45" i="42"/>
  <c r="H45" i="42"/>
  <c r="F45" i="42"/>
  <c r="M44" i="42"/>
  <c r="L44" i="42"/>
  <c r="H44" i="42"/>
  <c r="F44" i="42"/>
  <c r="M27" i="42"/>
  <c r="L27" i="42"/>
  <c r="H27" i="42"/>
  <c r="F27" i="42"/>
  <c r="M26" i="42"/>
  <c r="L26" i="42"/>
  <c r="H26" i="42"/>
  <c r="F26" i="42"/>
  <c r="M70" i="42"/>
  <c r="L70" i="42"/>
  <c r="H70" i="42"/>
  <c r="F70" i="42"/>
  <c r="M69" i="42"/>
  <c r="L69" i="42"/>
  <c r="H69" i="42"/>
  <c r="F69" i="42"/>
  <c r="M68" i="42"/>
  <c r="L68" i="42"/>
  <c r="H68" i="42"/>
  <c r="F68" i="42"/>
  <c r="M67" i="42"/>
  <c r="L67" i="42"/>
  <c r="H67" i="42"/>
  <c r="F67" i="42"/>
  <c r="M66" i="42"/>
  <c r="L66" i="42"/>
  <c r="H66" i="42"/>
  <c r="F66" i="42"/>
  <c r="M7" i="42"/>
  <c r="L7" i="42"/>
  <c r="H7" i="42"/>
  <c r="F7" i="42"/>
  <c r="M6" i="42"/>
  <c r="L6" i="42"/>
  <c r="H6" i="42"/>
  <c r="F6" i="42"/>
  <c r="M5" i="42"/>
  <c r="L5" i="42"/>
  <c r="H5" i="42"/>
  <c r="F5" i="42"/>
  <c r="M4" i="42"/>
  <c r="L4" i="42"/>
  <c r="H4" i="42"/>
  <c r="F4" i="42"/>
  <c r="M3" i="42"/>
  <c r="L3" i="42"/>
  <c r="H3" i="42"/>
  <c r="F3" i="42"/>
  <c r="M2" i="42"/>
  <c r="L2" i="42"/>
  <c r="H2" i="42"/>
  <c r="F2" i="42"/>
  <c r="M71" i="41"/>
  <c r="L71" i="41"/>
  <c r="H71" i="41"/>
  <c r="F71" i="41"/>
  <c r="M70" i="41"/>
  <c r="L70" i="41"/>
  <c r="H70" i="41"/>
  <c r="F70" i="41"/>
  <c r="M69" i="41"/>
  <c r="L69" i="41"/>
  <c r="H69" i="41"/>
  <c r="F69" i="41"/>
  <c r="M68" i="41"/>
  <c r="L68" i="41"/>
  <c r="H68" i="41"/>
  <c r="F68" i="41"/>
  <c r="M67" i="41"/>
  <c r="L67" i="41"/>
  <c r="H67" i="41"/>
  <c r="F67" i="41"/>
  <c r="M66" i="41"/>
  <c r="L66" i="41"/>
  <c r="H66" i="41"/>
  <c r="F66" i="41"/>
  <c r="M65" i="41"/>
  <c r="L65" i="41"/>
  <c r="H65" i="41"/>
  <c r="F65" i="41"/>
  <c r="M64" i="41"/>
  <c r="L64" i="41"/>
  <c r="H64" i="41"/>
  <c r="F64" i="41"/>
  <c r="M63" i="41"/>
  <c r="L63" i="41"/>
  <c r="H63" i="41"/>
  <c r="F63" i="41"/>
  <c r="M62" i="41"/>
  <c r="L62" i="41"/>
  <c r="H62" i="41"/>
  <c r="F62" i="41"/>
  <c r="M61" i="41"/>
  <c r="L61" i="41"/>
  <c r="H61" i="41"/>
  <c r="F61" i="41"/>
  <c r="M60" i="41"/>
  <c r="L60" i="41"/>
  <c r="H60" i="41"/>
  <c r="F60" i="41"/>
  <c r="M59" i="41"/>
  <c r="L59" i="41"/>
  <c r="H59" i="41"/>
  <c r="F59" i="41"/>
  <c r="M58" i="41"/>
  <c r="L58" i="41"/>
  <c r="H58" i="41"/>
  <c r="F58" i="41"/>
  <c r="M57" i="41"/>
  <c r="L57" i="41"/>
  <c r="H57" i="41"/>
  <c r="F57" i="41"/>
  <c r="M56" i="41"/>
  <c r="L56" i="41"/>
  <c r="H56" i="41"/>
  <c r="F56" i="41"/>
  <c r="M55" i="41"/>
  <c r="L55" i="41"/>
  <c r="H55" i="41"/>
  <c r="F55" i="41"/>
  <c r="M54" i="41"/>
  <c r="L54" i="41"/>
  <c r="H54" i="41"/>
  <c r="F54" i="41"/>
  <c r="M53" i="41"/>
  <c r="L53" i="41"/>
  <c r="H53" i="41"/>
  <c r="F53" i="41"/>
  <c r="M52" i="41"/>
  <c r="L52" i="41"/>
  <c r="H52" i="41"/>
  <c r="F52" i="41"/>
  <c r="M51" i="41"/>
  <c r="L51" i="41"/>
  <c r="H51" i="41"/>
  <c r="F51" i="41"/>
  <c r="M50" i="41"/>
  <c r="L50" i="41"/>
  <c r="H50" i="41"/>
  <c r="F50" i="41"/>
  <c r="M49" i="41"/>
  <c r="L49" i="41"/>
  <c r="H49" i="41"/>
  <c r="F49" i="41"/>
  <c r="M48" i="41"/>
  <c r="L48" i="41"/>
  <c r="H48" i="41"/>
  <c r="F48" i="41"/>
  <c r="M47" i="41"/>
  <c r="L47" i="41"/>
  <c r="H47" i="41"/>
  <c r="F47" i="41"/>
  <c r="M46" i="41"/>
  <c r="L46" i="41"/>
  <c r="H46" i="41"/>
  <c r="F46" i="41"/>
  <c r="M45" i="41"/>
  <c r="L45" i="41"/>
  <c r="H45" i="41"/>
  <c r="F45" i="41"/>
  <c r="M44" i="41"/>
  <c r="L44" i="41"/>
  <c r="H44" i="41"/>
  <c r="F44" i="41"/>
  <c r="M43" i="41"/>
  <c r="L43" i="41"/>
  <c r="H43" i="41"/>
  <c r="F43" i="41"/>
  <c r="M42" i="41"/>
  <c r="L42" i="41"/>
  <c r="H42" i="41"/>
  <c r="F42" i="41"/>
  <c r="M41" i="41"/>
  <c r="L41" i="41"/>
  <c r="H41" i="41"/>
  <c r="F41" i="41"/>
  <c r="M40" i="41"/>
  <c r="L40" i="41"/>
  <c r="H40" i="41"/>
  <c r="F40" i="41"/>
  <c r="M39" i="41"/>
  <c r="L39" i="41"/>
  <c r="H39" i="41"/>
  <c r="F39" i="41"/>
  <c r="M38" i="41"/>
  <c r="L38" i="41"/>
  <c r="H38" i="41"/>
  <c r="F38" i="41"/>
  <c r="M37" i="41"/>
  <c r="L37" i="41"/>
  <c r="H37" i="41"/>
  <c r="F37" i="41"/>
  <c r="M36" i="41"/>
  <c r="L36" i="41"/>
  <c r="H36" i="41"/>
  <c r="F36" i="41"/>
  <c r="M35" i="41"/>
  <c r="L35" i="41"/>
  <c r="H35" i="41"/>
  <c r="F35" i="41"/>
  <c r="M34" i="41"/>
  <c r="L34" i="41"/>
  <c r="H34" i="41"/>
  <c r="F34" i="41"/>
  <c r="M33" i="41"/>
  <c r="L33" i="41"/>
  <c r="H33" i="41"/>
  <c r="F33" i="41"/>
  <c r="M32" i="41"/>
  <c r="L32" i="41"/>
  <c r="H32" i="41"/>
  <c r="F32" i="41"/>
  <c r="M31" i="41"/>
  <c r="L31" i="41"/>
  <c r="H31" i="41"/>
  <c r="F31" i="41"/>
  <c r="M30" i="41"/>
  <c r="L30" i="41"/>
  <c r="H30" i="41"/>
  <c r="F30" i="41"/>
  <c r="M29" i="41"/>
  <c r="L29" i="41"/>
  <c r="H29" i="41"/>
  <c r="F29" i="41"/>
  <c r="M28" i="41"/>
  <c r="L28" i="41"/>
  <c r="H28" i="41"/>
  <c r="F28" i="41"/>
  <c r="M27" i="41"/>
  <c r="L27" i="41"/>
  <c r="H27" i="41"/>
  <c r="F27" i="41"/>
  <c r="M26" i="41"/>
  <c r="L26" i="41"/>
  <c r="H26" i="41"/>
  <c r="F26" i="41"/>
  <c r="M25" i="41"/>
  <c r="L25" i="41"/>
  <c r="H25" i="41"/>
  <c r="F25" i="41"/>
  <c r="M24" i="41"/>
  <c r="L24" i="41"/>
  <c r="H24" i="41"/>
  <c r="F24" i="41"/>
  <c r="M23" i="41"/>
  <c r="L23" i="41"/>
  <c r="H23" i="41"/>
  <c r="F23" i="41"/>
  <c r="M22" i="41"/>
  <c r="L22" i="41"/>
  <c r="H22" i="41"/>
  <c r="F22" i="41"/>
  <c r="M21" i="41"/>
  <c r="L21" i="41"/>
  <c r="H21" i="41"/>
  <c r="F21" i="41"/>
  <c r="M20" i="41"/>
  <c r="L20" i="41"/>
  <c r="H20" i="41"/>
  <c r="F20" i="41"/>
  <c r="M19" i="41"/>
  <c r="L19" i="41"/>
  <c r="H19" i="41"/>
  <c r="F19" i="41"/>
  <c r="M18" i="41"/>
  <c r="L18" i="41"/>
  <c r="H18" i="41"/>
  <c r="F18" i="41"/>
  <c r="M17" i="41"/>
  <c r="L17" i="41"/>
  <c r="H17" i="41"/>
  <c r="F17" i="41"/>
  <c r="M16" i="41"/>
  <c r="L16" i="41"/>
  <c r="H16" i="41"/>
  <c r="F16" i="41"/>
  <c r="M15" i="41"/>
  <c r="L15" i="41"/>
  <c r="H15" i="41"/>
  <c r="F15" i="41"/>
  <c r="M14" i="41"/>
  <c r="L14" i="41"/>
  <c r="H14" i="41"/>
  <c r="F14" i="41"/>
  <c r="M13" i="41"/>
  <c r="L13" i="41"/>
  <c r="H13" i="41"/>
  <c r="F13" i="41"/>
  <c r="M12" i="41"/>
  <c r="L12" i="41"/>
  <c r="H12" i="41"/>
  <c r="F12" i="41"/>
  <c r="M11" i="41"/>
  <c r="L11" i="41"/>
  <c r="H11" i="41"/>
  <c r="F11" i="41"/>
  <c r="M10" i="41"/>
  <c r="L10" i="41"/>
  <c r="H10" i="41"/>
  <c r="F10" i="41"/>
  <c r="M9" i="41"/>
  <c r="L9" i="41"/>
  <c r="H9" i="41"/>
  <c r="F9" i="41"/>
  <c r="M70" i="40"/>
  <c r="L70" i="40"/>
  <c r="H70" i="40"/>
  <c r="F70" i="40"/>
  <c r="M69" i="40"/>
  <c r="L69" i="40"/>
  <c r="H69" i="40"/>
  <c r="F69" i="40"/>
  <c r="M68" i="40"/>
  <c r="L68" i="40"/>
  <c r="H68" i="40"/>
  <c r="F68" i="40"/>
  <c r="M67" i="40"/>
  <c r="L67" i="40"/>
  <c r="H67" i="40"/>
  <c r="F67" i="40"/>
  <c r="M66" i="40"/>
  <c r="L66" i="40"/>
  <c r="H66" i="40"/>
  <c r="F66" i="40"/>
  <c r="M65" i="40"/>
  <c r="L65" i="40"/>
  <c r="H65" i="40"/>
  <c r="F65" i="40"/>
  <c r="M64" i="40"/>
  <c r="L64" i="40"/>
  <c r="H64" i="40"/>
  <c r="F64" i="40"/>
  <c r="M63" i="40"/>
  <c r="L63" i="40"/>
  <c r="H63" i="40"/>
  <c r="F63" i="40"/>
  <c r="M62" i="40"/>
  <c r="L62" i="40"/>
  <c r="H62" i="40"/>
  <c r="F62" i="40"/>
  <c r="M61" i="40"/>
  <c r="L61" i="40"/>
  <c r="H61" i="40"/>
  <c r="F61" i="40"/>
  <c r="M60" i="40"/>
  <c r="L60" i="40"/>
  <c r="H60" i="40"/>
  <c r="F60" i="40"/>
  <c r="M59" i="40"/>
  <c r="L59" i="40"/>
  <c r="H59" i="40"/>
  <c r="F59" i="40"/>
  <c r="M58" i="40"/>
  <c r="L58" i="40"/>
  <c r="H58" i="40"/>
  <c r="F58" i="40"/>
  <c r="M57" i="40"/>
  <c r="L57" i="40"/>
  <c r="H57" i="40"/>
  <c r="F57" i="40"/>
  <c r="M56" i="40"/>
  <c r="L56" i="40"/>
  <c r="H56" i="40"/>
  <c r="F56" i="40"/>
  <c r="M55" i="40"/>
  <c r="L55" i="40"/>
  <c r="H55" i="40"/>
  <c r="F55" i="40"/>
  <c r="M54" i="40"/>
  <c r="L54" i="40"/>
  <c r="H54" i="40"/>
  <c r="F54" i="40"/>
  <c r="M53" i="40"/>
  <c r="L53" i="40"/>
  <c r="H53" i="40"/>
  <c r="F53" i="40"/>
  <c r="M52" i="40"/>
  <c r="L52" i="40"/>
  <c r="H52" i="40"/>
  <c r="F52" i="40"/>
  <c r="M51" i="40"/>
  <c r="L51" i="40"/>
  <c r="H51" i="40"/>
  <c r="F51" i="40"/>
  <c r="M50" i="40"/>
  <c r="L50" i="40"/>
  <c r="H50" i="40"/>
  <c r="F50" i="40"/>
  <c r="M49" i="40"/>
  <c r="L49" i="40"/>
  <c r="H49" i="40"/>
  <c r="F49" i="40"/>
  <c r="M48" i="40"/>
  <c r="L48" i="40"/>
  <c r="H48" i="40"/>
  <c r="F48" i="40"/>
  <c r="M47" i="40"/>
  <c r="L47" i="40"/>
  <c r="H47" i="40"/>
  <c r="F47" i="40"/>
  <c r="M46" i="40"/>
  <c r="L46" i="40"/>
  <c r="H46" i="40"/>
  <c r="F46" i="40"/>
  <c r="M45" i="40"/>
  <c r="L45" i="40"/>
  <c r="H45" i="40"/>
  <c r="F45" i="40"/>
  <c r="M44" i="40"/>
  <c r="L44" i="40"/>
  <c r="H44" i="40"/>
  <c r="F44" i="40"/>
  <c r="M43" i="40"/>
  <c r="L43" i="40"/>
  <c r="H43" i="40"/>
  <c r="F43" i="40"/>
  <c r="M42" i="40"/>
  <c r="L42" i="40"/>
  <c r="H42" i="40"/>
  <c r="F42" i="40"/>
  <c r="M41" i="40"/>
  <c r="L41" i="40"/>
  <c r="H41" i="40"/>
  <c r="F41" i="40"/>
  <c r="M40" i="40"/>
  <c r="L40" i="40"/>
  <c r="H40" i="40"/>
  <c r="F40" i="40"/>
  <c r="M39" i="40"/>
  <c r="L39" i="40"/>
  <c r="H39" i="40"/>
  <c r="F39" i="40"/>
  <c r="M38" i="40"/>
  <c r="L38" i="40"/>
  <c r="H38" i="40"/>
  <c r="F38" i="40"/>
  <c r="M37" i="40"/>
  <c r="L37" i="40"/>
  <c r="H37" i="40"/>
  <c r="F37" i="40"/>
  <c r="M36" i="40"/>
  <c r="L36" i="40"/>
  <c r="H36" i="40"/>
  <c r="F36" i="40"/>
  <c r="M35" i="40"/>
  <c r="L35" i="40"/>
  <c r="H35" i="40"/>
  <c r="F35" i="40"/>
  <c r="M34" i="40"/>
  <c r="L34" i="40"/>
  <c r="H34" i="40"/>
  <c r="F34" i="40"/>
  <c r="M33" i="40"/>
  <c r="L33" i="40"/>
  <c r="H33" i="40"/>
  <c r="F33" i="40"/>
  <c r="M32" i="40"/>
  <c r="L32" i="40"/>
  <c r="H32" i="40"/>
  <c r="F32" i="40"/>
  <c r="M31" i="40"/>
  <c r="L31" i="40"/>
  <c r="H31" i="40"/>
  <c r="F31" i="40"/>
  <c r="M30" i="40"/>
  <c r="L30" i="40"/>
  <c r="H30" i="40"/>
  <c r="F30" i="40"/>
  <c r="M29" i="40"/>
  <c r="L29" i="40"/>
  <c r="H29" i="40"/>
  <c r="F29" i="40"/>
  <c r="M28" i="40"/>
  <c r="L28" i="40"/>
  <c r="H28" i="40"/>
  <c r="F28" i="40"/>
  <c r="M27" i="40"/>
  <c r="L27" i="40"/>
  <c r="H27" i="40"/>
  <c r="F27" i="40"/>
  <c r="M26" i="40"/>
  <c r="L26" i="40"/>
  <c r="H26" i="40"/>
  <c r="F26" i="40"/>
  <c r="M25" i="40"/>
  <c r="L25" i="40"/>
  <c r="H25" i="40"/>
  <c r="F25" i="40"/>
  <c r="M24" i="40"/>
  <c r="L24" i="40"/>
  <c r="H24" i="40"/>
  <c r="F24" i="40"/>
  <c r="M23" i="40"/>
  <c r="L23" i="40"/>
  <c r="H23" i="40"/>
  <c r="F23" i="40"/>
  <c r="M22" i="40"/>
  <c r="L22" i="40"/>
  <c r="H22" i="40"/>
  <c r="F22" i="40"/>
  <c r="M21" i="40"/>
  <c r="L21" i="40"/>
  <c r="H21" i="40"/>
  <c r="F21" i="40"/>
  <c r="M20" i="40"/>
  <c r="L20" i="40"/>
  <c r="H20" i="40"/>
  <c r="F20" i="40"/>
  <c r="M19" i="40"/>
  <c r="L19" i="40"/>
  <c r="H19" i="40"/>
  <c r="F19" i="40"/>
  <c r="M18" i="40"/>
  <c r="L18" i="40"/>
  <c r="H18" i="40"/>
  <c r="F18" i="40"/>
  <c r="M17" i="40"/>
  <c r="L17" i="40"/>
  <c r="H17" i="40"/>
  <c r="F17" i="40"/>
  <c r="M16" i="40"/>
  <c r="L16" i="40"/>
  <c r="H16" i="40"/>
  <c r="F16" i="40"/>
  <c r="M15" i="40"/>
  <c r="L15" i="40"/>
  <c r="H15" i="40"/>
  <c r="F15" i="40"/>
  <c r="M14" i="40"/>
  <c r="L14" i="40"/>
  <c r="H14" i="40"/>
  <c r="F14" i="40"/>
  <c r="M13" i="40"/>
  <c r="L13" i="40"/>
  <c r="H13" i="40"/>
  <c r="F13" i="40"/>
  <c r="M12" i="40"/>
  <c r="L12" i="40"/>
  <c r="H12" i="40"/>
  <c r="F12" i="40"/>
  <c r="M11" i="40"/>
  <c r="L11" i="40"/>
  <c r="H11" i="40"/>
  <c r="F11" i="40"/>
  <c r="M10" i="40"/>
  <c r="L10" i="40"/>
  <c r="H10" i="40"/>
  <c r="F10" i="40"/>
  <c r="M9" i="40"/>
  <c r="L9" i="40"/>
  <c r="H9" i="40"/>
  <c r="F9" i="40"/>
  <c r="M8" i="40"/>
  <c r="L8" i="40"/>
  <c r="H8" i="40"/>
  <c r="F8" i="40"/>
  <c r="M70" i="39"/>
  <c r="L70" i="39"/>
  <c r="H70" i="39"/>
  <c r="F70" i="39"/>
  <c r="M69" i="39"/>
  <c r="L69" i="39"/>
  <c r="H69" i="39"/>
  <c r="F69" i="39"/>
  <c r="M68" i="39"/>
  <c r="L68" i="39"/>
  <c r="H68" i="39"/>
  <c r="F68" i="39"/>
  <c r="M67" i="39"/>
  <c r="L67" i="39"/>
  <c r="H67" i="39"/>
  <c r="F67" i="39"/>
  <c r="M66" i="39"/>
  <c r="L66" i="39"/>
  <c r="H66" i="39"/>
  <c r="F66" i="39"/>
  <c r="M65" i="39"/>
  <c r="L65" i="39"/>
  <c r="H65" i="39"/>
  <c r="F65" i="39"/>
  <c r="M64" i="39"/>
  <c r="L64" i="39"/>
  <c r="H64" i="39"/>
  <c r="F64" i="39"/>
  <c r="M63" i="39"/>
  <c r="L63" i="39"/>
  <c r="H63" i="39"/>
  <c r="F63" i="39"/>
  <c r="M62" i="39"/>
  <c r="L62" i="39"/>
  <c r="H62" i="39"/>
  <c r="F62" i="39"/>
  <c r="M61" i="39"/>
  <c r="L61" i="39"/>
  <c r="H61" i="39"/>
  <c r="F61" i="39"/>
  <c r="M60" i="39"/>
  <c r="L60" i="39"/>
  <c r="H60" i="39"/>
  <c r="F60" i="39"/>
  <c r="M59" i="39"/>
  <c r="L59" i="39"/>
  <c r="H59" i="39"/>
  <c r="F59" i="39"/>
  <c r="M58" i="39"/>
  <c r="L58" i="39"/>
  <c r="H58" i="39"/>
  <c r="F58" i="39"/>
  <c r="M57" i="39"/>
  <c r="L57" i="39"/>
  <c r="H57" i="39"/>
  <c r="F57" i="39"/>
  <c r="M56" i="39"/>
  <c r="L56" i="39"/>
  <c r="H56" i="39"/>
  <c r="F56" i="39"/>
  <c r="M55" i="39"/>
  <c r="L55" i="39"/>
  <c r="H55" i="39"/>
  <c r="F55" i="39"/>
  <c r="M54" i="39"/>
  <c r="L54" i="39"/>
  <c r="H54" i="39"/>
  <c r="F54" i="39"/>
  <c r="M53" i="39"/>
  <c r="L53" i="39"/>
  <c r="H53" i="39"/>
  <c r="F53" i="39"/>
  <c r="M52" i="39"/>
  <c r="L52" i="39"/>
  <c r="H52" i="39"/>
  <c r="F52" i="39"/>
  <c r="M51" i="39"/>
  <c r="L51" i="39"/>
  <c r="H51" i="39"/>
  <c r="F51" i="39"/>
  <c r="M50" i="39"/>
  <c r="L50" i="39"/>
  <c r="H50" i="39"/>
  <c r="F50" i="39"/>
  <c r="M49" i="39"/>
  <c r="L49" i="39"/>
  <c r="H49" i="39"/>
  <c r="F49" i="39"/>
  <c r="M48" i="39"/>
  <c r="L48" i="39"/>
  <c r="H48" i="39"/>
  <c r="F48" i="39"/>
  <c r="M47" i="39"/>
  <c r="L47" i="39"/>
  <c r="H47" i="39"/>
  <c r="F47" i="39"/>
  <c r="M46" i="39"/>
  <c r="L46" i="39"/>
  <c r="H46" i="39"/>
  <c r="F46" i="39"/>
  <c r="M45" i="39"/>
  <c r="L45" i="39"/>
  <c r="H45" i="39"/>
  <c r="F45" i="39"/>
  <c r="M44" i="39"/>
  <c r="L44" i="39"/>
  <c r="H44" i="39"/>
  <c r="F44" i="39"/>
  <c r="M43" i="39"/>
  <c r="L43" i="39"/>
  <c r="H43" i="39"/>
  <c r="F43" i="39"/>
  <c r="M42" i="39"/>
  <c r="L42" i="39"/>
  <c r="H42" i="39"/>
  <c r="F42" i="39"/>
  <c r="M41" i="39"/>
  <c r="L41" i="39"/>
  <c r="H41" i="39"/>
  <c r="F41" i="39"/>
  <c r="M40" i="39"/>
  <c r="L40" i="39"/>
  <c r="H40" i="39"/>
  <c r="F40" i="39"/>
  <c r="M39" i="39"/>
  <c r="L39" i="39"/>
  <c r="H39" i="39"/>
  <c r="F39" i="39"/>
  <c r="M38" i="39"/>
  <c r="L38" i="39"/>
  <c r="H38" i="39"/>
  <c r="F38" i="39"/>
  <c r="M37" i="39"/>
  <c r="L37" i="39"/>
  <c r="H37" i="39"/>
  <c r="F37" i="39"/>
  <c r="M36" i="39"/>
  <c r="L36" i="39"/>
  <c r="H36" i="39"/>
  <c r="F36" i="39"/>
  <c r="M35" i="39"/>
  <c r="L35" i="39"/>
  <c r="H35" i="39"/>
  <c r="F35" i="39"/>
  <c r="M34" i="39"/>
  <c r="L34" i="39"/>
  <c r="H34" i="39"/>
  <c r="F34" i="39"/>
  <c r="M33" i="39"/>
  <c r="L33" i="39"/>
  <c r="H33" i="39"/>
  <c r="F33" i="39"/>
  <c r="M32" i="39"/>
  <c r="L32" i="39"/>
  <c r="H32" i="39"/>
  <c r="F32" i="39"/>
  <c r="M31" i="39"/>
  <c r="L31" i="39"/>
  <c r="H31" i="39"/>
  <c r="F31" i="39"/>
  <c r="M30" i="39"/>
  <c r="L30" i="39"/>
  <c r="H30" i="39"/>
  <c r="F30" i="39"/>
  <c r="M29" i="39"/>
  <c r="L29" i="39"/>
  <c r="H29" i="39"/>
  <c r="F29" i="39"/>
  <c r="M28" i="39"/>
  <c r="L28" i="39"/>
  <c r="H28" i="39"/>
  <c r="F28" i="39"/>
  <c r="M27" i="39"/>
  <c r="L27" i="39"/>
  <c r="H27" i="39"/>
  <c r="F27" i="39"/>
  <c r="M26" i="39"/>
  <c r="L26" i="39"/>
  <c r="H26" i="39"/>
  <c r="F26" i="39"/>
  <c r="M25" i="39"/>
  <c r="L25" i="39"/>
  <c r="H25" i="39"/>
  <c r="F25" i="39"/>
  <c r="M24" i="39"/>
  <c r="L24" i="39"/>
  <c r="H24" i="39"/>
  <c r="F24" i="39"/>
  <c r="M23" i="39"/>
  <c r="L23" i="39"/>
  <c r="H23" i="39"/>
  <c r="F23" i="39"/>
  <c r="M22" i="39"/>
  <c r="L22" i="39"/>
  <c r="H22" i="39"/>
  <c r="F22" i="39"/>
  <c r="M21" i="39"/>
  <c r="L21" i="39"/>
  <c r="H21" i="39"/>
  <c r="F21" i="39"/>
  <c r="M20" i="39"/>
  <c r="L20" i="39"/>
  <c r="H20" i="39"/>
  <c r="F20" i="39"/>
  <c r="M19" i="39"/>
  <c r="L19" i="39"/>
  <c r="H19" i="39"/>
  <c r="F19" i="39"/>
  <c r="M18" i="39"/>
  <c r="L18" i="39"/>
  <c r="H18" i="39"/>
  <c r="F18" i="39"/>
  <c r="M17" i="39"/>
  <c r="L17" i="39"/>
  <c r="H17" i="39"/>
  <c r="F17" i="39"/>
  <c r="M16" i="39"/>
  <c r="L16" i="39"/>
  <c r="H16" i="39"/>
  <c r="F16" i="39"/>
  <c r="M15" i="39"/>
  <c r="L15" i="39"/>
  <c r="H15" i="39"/>
  <c r="F15" i="39"/>
  <c r="M14" i="39"/>
  <c r="L14" i="39"/>
  <c r="H14" i="39"/>
  <c r="F14" i="39"/>
  <c r="M13" i="39"/>
  <c r="L13" i="39"/>
  <c r="H13" i="39"/>
  <c r="F13" i="39"/>
  <c r="M12" i="39"/>
  <c r="L12" i="39"/>
  <c r="H12" i="39"/>
  <c r="F12" i="39"/>
  <c r="M11" i="39"/>
  <c r="L11" i="39"/>
  <c r="H11" i="39"/>
  <c r="F11" i="39"/>
  <c r="M10" i="39"/>
  <c r="L10" i="39"/>
  <c r="H10" i="39"/>
  <c r="F10" i="39"/>
  <c r="M9" i="39"/>
  <c r="L9" i="39"/>
  <c r="H9" i="39"/>
  <c r="F9" i="39"/>
  <c r="M8" i="39"/>
  <c r="L8" i="39"/>
  <c r="H8" i="39"/>
  <c r="F8" i="39"/>
  <c r="M7" i="39"/>
  <c r="L7" i="39"/>
  <c r="H7" i="39"/>
  <c r="F7" i="39"/>
  <c r="M65" i="38"/>
  <c r="L65" i="38"/>
  <c r="H65" i="38"/>
  <c r="F65" i="38"/>
  <c r="M64" i="38"/>
  <c r="L64" i="38"/>
  <c r="H64" i="38"/>
  <c r="F64" i="38"/>
  <c r="M63" i="38"/>
  <c r="L63" i="38"/>
  <c r="H63" i="38"/>
  <c r="F63" i="38"/>
  <c r="M62" i="38"/>
  <c r="L62" i="38"/>
  <c r="H62" i="38"/>
  <c r="F62" i="38"/>
  <c r="M61" i="38"/>
  <c r="L61" i="38"/>
  <c r="H61" i="38"/>
  <c r="F61" i="38"/>
  <c r="M60" i="38"/>
  <c r="L60" i="38"/>
  <c r="H60" i="38"/>
  <c r="F60" i="38"/>
  <c r="M59" i="38"/>
  <c r="L59" i="38"/>
  <c r="H59" i="38"/>
  <c r="F59" i="38"/>
  <c r="M58" i="38"/>
  <c r="L58" i="38"/>
  <c r="H58" i="38"/>
  <c r="F58" i="38"/>
  <c r="M57" i="38"/>
  <c r="L57" i="38"/>
  <c r="H57" i="38"/>
  <c r="F57" i="38"/>
  <c r="M56" i="38"/>
  <c r="L56" i="38"/>
  <c r="H56" i="38"/>
  <c r="F56" i="38"/>
  <c r="M55" i="38"/>
  <c r="L55" i="38"/>
  <c r="H55" i="38"/>
  <c r="F55" i="38"/>
  <c r="M54" i="38"/>
  <c r="L54" i="38"/>
  <c r="H54" i="38"/>
  <c r="F54" i="38"/>
  <c r="M53" i="38"/>
  <c r="L53" i="38"/>
  <c r="H53" i="38"/>
  <c r="F53" i="38"/>
  <c r="M52" i="38"/>
  <c r="L52" i="38"/>
  <c r="H52" i="38"/>
  <c r="F52" i="38"/>
  <c r="M51" i="38"/>
  <c r="L51" i="38"/>
  <c r="H51" i="38"/>
  <c r="F51" i="38"/>
  <c r="M50" i="38"/>
  <c r="L50" i="38"/>
  <c r="H50" i="38"/>
  <c r="F50" i="38"/>
  <c r="M49" i="38"/>
  <c r="L49" i="38"/>
  <c r="H49" i="38"/>
  <c r="F49" i="38"/>
  <c r="M48" i="38"/>
  <c r="L48" i="38"/>
  <c r="H48" i="38"/>
  <c r="F48" i="38"/>
  <c r="M47" i="38"/>
  <c r="L47" i="38"/>
  <c r="H47" i="38"/>
  <c r="F47" i="38"/>
  <c r="M46" i="38"/>
  <c r="L46" i="38"/>
  <c r="H46" i="38"/>
  <c r="F46" i="38"/>
  <c r="M45" i="38"/>
  <c r="L45" i="38"/>
  <c r="H45" i="38"/>
  <c r="F45" i="38"/>
  <c r="M44" i="38"/>
  <c r="L44" i="38"/>
  <c r="H44" i="38"/>
  <c r="F44" i="38"/>
  <c r="M43" i="38"/>
  <c r="L43" i="38"/>
  <c r="H43" i="38"/>
  <c r="F43" i="38"/>
  <c r="M42" i="38"/>
  <c r="L42" i="38"/>
  <c r="H42" i="38"/>
  <c r="F42" i="38"/>
  <c r="M41" i="38"/>
  <c r="L41" i="38"/>
  <c r="H41" i="38"/>
  <c r="F41" i="38"/>
  <c r="M40" i="38"/>
  <c r="L40" i="38"/>
  <c r="H40" i="38"/>
  <c r="F40" i="38"/>
  <c r="M39" i="38"/>
  <c r="L39" i="38"/>
  <c r="H39" i="38"/>
  <c r="F39" i="38"/>
  <c r="M38" i="38"/>
  <c r="L38" i="38"/>
  <c r="H38" i="38"/>
  <c r="F38" i="38"/>
  <c r="M37" i="38"/>
  <c r="L37" i="38"/>
  <c r="H37" i="38"/>
  <c r="F37" i="38"/>
  <c r="M36" i="38"/>
  <c r="L36" i="38"/>
  <c r="H36" i="38"/>
  <c r="F36" i="38"/>
  <c r="M35" i="38"/>
  <c r="L35" i="38"/>
  <c r="H35" i="38"/>
  <c r="F35" i="38"/>
  <c r="M34" i="38"/>
  <c r="L34" i="38"/>
  <c r="H34" i="38"/>
  <c r="F34" i="38"/>
  <c r="M33" i="38"/>
  <c r="L33" i="38"/>
  <c r="H33" i="38"/>
  <c r="F33" i="38"/>
  <c r="M32" i="38"/>
  <c r="L32" i="38"/>
  <c r="H32" i="38"/>
  <c r="F32" i="38"/>
  <c r="M31" i="38"/>
  <c r="L31" i="38"/>
  <c r="H31" i="38"/>
  <c r="F31" i="38"/>
  <c r="M30" i="38"/>
  <c r="L30" i="38"/>
  <c r="H30" i="38"/>
  <c r="F30" i="38"/>
  <c r="M29" i="38"/>
  <c r="L29" i="38"/>
  <c r="H29" i="38"/>
  <c r="F29" i="38"/>
  <c r="M28" i="38"/>
  <c r="L28" i="38"/>
  <c r="H28" i="38"/>
  <c r="F28" i="38"/>
  <c r="M27" i="38"/>
  <c r="L27" i="38"/>
  <c r="H27" i="38"/>
  <c r="F27" i="38"/>
  <c r="M26" i="38"/>
  <c r="L26" i="38"/>
  <c r="H26" i="38"/>
  <c r="F26" i="38"/>
  <c r="M25" i="38"/>
  <c r="L25" i="38"/>
  <c r="H25" i="38"/>
  <c r="F25" i="38"/>
  <c r="M24" i="38"/>
  <c r="L24" i="38"/>
  <c r="H24" i="38"/>
  <c r="F24" i="38"/>
  <c r="M23" i="38"/>
  <c r="L23" i="38"/>
  <c r="H23" i="38"/>
  <c r="F23" i="38"/>
  <c r="M22" i="38"/>
  <c r="L22" i="38"/>
  <c r="H22" i="38"/>
  <c r="F22" i="38"/>
  <c r="M21" i="38"/>
  <c r="L21" i="38"/>
  <c r="H21" i="38"/>
  <c r="F21" i="38"/>
  <c r="M20" i="38"/>
  <c r="L20" i="38"/>
  <c r="H20" i="38"/>
  <c r="F20" i="38"/>
  <c r="M19" i="38"/>
  <c r="L19" i="38"/>
  <c r="H19" i="38"/>
  <c r="F19" i="38"/>
  <c r="M18" i="38"/>
  <c r="L18" i="38"/>
  <c r="H18" i="38"/>
  <c r="F18" i="38"/>
  <c r="M17" i="38"/>
  <c r="L17" i="38"/>
  <c r="H17" i="38"/>
  <c r="F17" i="38"/>
  <c r="M16" i="38"/>
  <c r="L16" i="38"/>
  <c r="H16" i="38"/>
  <c r="F16" i="38"/>
  <c r="M15" i="38"/>
  <c r="L15" i="38"/>
  <c r="H15" i="38"/>
  <c r="F15" i="38"/>
  <c r="M14" i="38"/>
  <c r="L14" i="38"/>
  <c r="H14" i="38"/>
  <c r="F14" i="38"/>
  <c r="M13" i="38"/>
  <c r="L13" i="38"/>
  <c r="H13" i="38"/>
  <c r="F13" i="38"/>
  <c r="M12" i="38"/>
  <c r="L12" i="38"/>
  <c r="H12" i="38"/>
  <c r="F12" i="38"/>
  <c r="M11" i="38"/>
  <c r="L11" i="38"/>
  <c r="H11" i="38"/>
  <c r="F11" i="38"/>
  <c r="M10" i="38"/>
  <c r="L10" i="38"/>
  <c r="H10" i="38"/>
  <c r="F10" i="38"/>
  <c r="M9" i="38"/>
  <c r="L9" i="38"/>
  <c r="H9" i="38"/>
  <c r="F9" i="38"/>
  <c r="M8" i="38"/>
  <c r="L8" i="38"/>
  <c r="H8" i="38"/>
  <c r="F8" i="38"/>
  <c r="M7" i="38"/>
  <c r="L7" i="38"/>
  <c r="H7" i="38"/>
  <c r="F7" i="38"/>
  <c r="M6" i="38"/>
  <c r="L6" i="38"/>
  <c r="H6" i="38"/>
  <c r="F6" i="38"/>
  <c r="M5" i="38"/>
  <c r="L5" i="38"/>
  <c r="H5" i="38"/>
  <c r="F5" i="38"/>
  <c r="M4" i="38"/>
  <c r="L4" i="38"/>
  <c r="H4" i="38"/>
  <c r="F4" i="38"/>
  <c r="M3" i="38"/>
  <c r="L3" i="38"/>
  <c r="H3" i="38"/>
  <c r="F3" i="38"/>
  <c r="M2" i="38"/>
  <c r="L2" i="38"/>
  <c r="H2" i="38"/>
  <c r="F2" i="38"/>
  <c r="M65" i="37"/>
  <c r="L65" i="37"/>
  <c r="H65" i="37"/>
  <c r="F65" i="37"/>
  <c r="M64" i="37"/>
  <c r="L64" i="37"/>
  <c r="H64" i="37"/>
  <c r="F64" i="37"/>
  <c r="M63" i="37"/>
  <c r="L63" i="37"/>
  <c r="H63" i="37"/>
  <c r="F63" i="37"/>
  <c r="M62" i="37"/>
  <c r="L62" i="37"/>
  <c r="H62" i="37"/>
  <c r="F62" i="37"/>
  <c r="M61" i="37"/>
  <c r="L61" i="37"/>
  <c r="H61" i="37"/>
  <c r="F61" i="37"/>
  <c r="M60" i="37"/>
  <c r="L60" i="37"/>
  <c r="H60" i="37"/>
  <c r="F60" i="37"/>
  <c r="M59" i="37"/>
  <c r="L59" i="37"/>
  <c r="H59" i="37"/>
  <c r="F59" i="37"/>
  <c r="M58" i="37"/>
  <c r="L58" i="37"/>
  <c r="H58" i="37"/>
  <c r="F58" i="37"/>
  <c r="M57" i="37"/>
  <c r="L57" i="37"/>
  <c r="H57" i="37"/>
  <c r="F57" i="37"/>
  <c r="M56" i="37"/>
  <c r="L56" i="37"/>
  <c r="H56" i="37"/>
  <c r="F56" i="37"/>
  <c r="M55" i="37"/>
  <c r="L55" i="37"/>
  <c r="H55" i="37"/>
  <c r="F55" i="37"/>
  <c r="M54" i="37"/>
  <c r="L54" i="37"/>
  <c r="H54" i="37"/>
  <c r="F54" i="37"/>
  <c r="M53" i="37"/>
  <c r="L53" i="37"/>
  <c r="H53" i="37"/>
  <c r="F53" i="37"/>
  <c r="M52" i="37"/>
  <c r="L52" i="37"/>
  <c r="H52" i="37"/>
  <c r="F52" i="37"/>
  <c r="M51" i="37"/>
  <c r="L51" i="37"/>
  <c r="H51" i="37"/>
  <c r="F51" i="37"/>
  <c r="M50" i="37"/>
  <c r="L50" i="37"/>
  <c r="H50" i="37"/>
  <c r="F50" i="37"/>
  <c r="M49" i="37"/>
  <c r="L49" i="37"/>
  <c r="H49" i="37"/>
  <c r="F49" i="37"/>
  <c r="M48" i="37"/>
  <c r="L48" i="37"/>
  <c r="H48" i="37"/>
  <c r="F48" i="37"/>
  <c r="M47" i="37"/>
  <c r="L47" i="37"/>
  <c r="H47" i="37"/>
  <c r="F47" i="37"/>
  <c r="M46" i="37"/>
  <c r="L46" i="37"/>
  <c r="H46" i="37"/>
  <c r="F46" i="37"/>
  <c r="M45" i="37"/>
  <c r="L45" i="37"/>
  <c r="H45" i="37"/>
  <c r="F45" i="37"/>
  <c r="M44" i="37"/>
  <c r="L44" i="37"/>
  <c r="H44" i="37"/>
  <c r="F44" i="37"/>
  <c r="M43" i="37"/>
  <c r="L43" i="37"/>
  <c r="H43" i="37"/>
  <c r="F43" i="37"/>
  <c r="M42" i="37"/>
  <c r="L42" i="37"/>
  <c r="H42" i="37"/>
  <c r="F42" i="37"/>
  <c r="M41" i="37"/>
  <c r="L41" i="37"/>
  <c r="H41" i="37"/>
  <c r="F41" i="37"/>
  <c r="M40" i="37"/>
  <c r="L40" i="37"/>
  <c r="H40" i="37"/>
  <c r="F40" i="37"/>
  <c r="M39" i="37"/>
  <c r="L39" i="37"/>
  <c r="H39" i="37"/>
  <c r="F39" i="37"/>
  <c r="M38" i="37"/>
  <c r="L38" i="37"/>
  <c r="H38" i="37"/>
  <c r="F38" i="37"/>
  <c r="M37" i="37"/>
  <c r="L37" i="37"/>
  <c r="H37" i="37"/>
  <c r="F37" i="37"/>
  <c r="M36" i="37"/>
  <c r="L36" i="37"/>
  <c r="H36" i="37"/>
  <c r="F36" i="37"/>
  <c r="M35" i="37"/>
  <c r="L35" i="37"/>
  <c r="H35" i="37"/>
  <c r="F35" i="37"/>
  <c r="M34" i="37"/>
  <c r="L34" i="37"/>
  <c r="H34" i="37"/>
  <c r="F34" i="37"/>
  <c r="M33" i="37"/>
  <c r="L33" i="37"/>
  <c r="H33" i="37"/>
  <c r="F33" i="37"/>
  <c r="M32" i="37"/>
  <c r="L32" i="37"/>
  <c r="H32" i="37"/>
  <c r="F32" i="37"/>
  <c r="M31" i="37"/>
  <c r="L31" i="37"/>
  <c r="H31" i="37"/>
  <c r="F31" i="37"/>
  <c r="M30" i="37"/>
  <c r="L30" i="37"/>
  <c r="H30" i="37"/>
  <c r="F30" i="37"/>
  <c r="M29" i="37"/>
  <c r="L29" i="37"/>
  <c r="H29" i="37"/>
  <c r="F29" i="37"/>
  <c r="M28" i="37"/>
  <c r="L28" i="37"/>
  <c r="H28" i="37"/>
  <c r="F28" i="37"/>
  <c r="M27" i="37"/>
  <c r="L27" i="37"/>
  <c r="H27" i="37"/>
  <c r="F27" i="37"/>
  <c r="M26" i="37"/>
  <c r="L26" i="37"/>
  <c r="H26" i="37"/>
  <c r="F26" i="37"/>
  <c r="M25" i="37"/>
  <c r="L25" i="37"/>
  <c r="H25" i="37"/>
  <c r="F25" i="37"/>
  <c r="M24" i="37"/>
  <c r="L24" i="37"/>
  <c r="H24" i="37"/>
  <c r="F24" i="37"/>
  <c r="M23" i="37"/>
  <c r="L23" i="37"/>
  <c r="H23" i="37"/>
  <c r="F23" i="37"/>
  <c r="M22" i="37"/>
  <c r="L22" i="37"/>
  <c r="H22" i="37"/>
  <c r="F22" i="37"/>
  <c r="M21" i="37"/>
  <c r="L21" i="37"/>
  <c r="H21" i="37"/>
  <c r="F21" i="37"/>
  <c r="M20" i="37"/>
  <c r="L20" i="37"/>
  <c r="H20" i="37"/>
  <c r="F20" i="37"/>
  <c r="M19" i="37"/>
  <c r="L19" i="37"/>
  <c r="H19" i="37"/>
  <c r="F19" i="37"/>
  <c r="M18" i="37"/>
  <c r="L18" i="37"/>
  <c r="H18" i="37"/>
  <c r="F18" i="37"/>
  <c r="M17" i="37"/>
  <c r="L17" i="37"/>
  <c r="H17" i="37"/>
  <c r="F17" i="37"/>
  <c r="M16" i="37"/>
  <c r="L16" i="37"/>
  <c r="H16" i="37"/>
  <c r="F16" i="37"/>
  <c r="M15" i="37"/>
  <c r="L15" i="37"/>
  <c r="H15" i="37"/>
  <c r="F15" i="37"/>
  <c r="M14" i="37"/>
  <c r="L14" i="37"/>
  <c r="H14" i="37"/>
  <c r="F14" i="37"/>
  <c r="M13" i="37"/>
  <c r="L13" i="37"/>
  <c r="H13" i="37"/>
  <c r="F13" i="37"/>
  <c r="M12" i="37"/>
  <c r="L12" i="37"/>
  <c r="H12" i="37"/>
  <c r="F12" i="37"/>
  <c r="M11" i="37"/>
  <c r="L11" i="37"/>
  <c r="H11" i="37"/>
  <c r="F11" i="37"/>
  <c r="M10" i="37"/>
  <c r="L10" i="37"/>
  <c r="H10" i="37"/>
  <c r="F10" i="37"/>
  <c r="M9" i="37"/>
  <c r="L9" i="37"/>
  <c r="H9" i="37"/>
  <c r="F9" i="37"/>
  <c r="M8" i="37"/>
  <c r="L8" i="37"/>
  <c r="H8" i="37"/>
  <c r="F8" i="37"/>
  <c r="M7" i="37"/>
  <c r="L7" i="37"/>
  <c r="H7" i="37"/>
  <c r="F7" i="37"/>
  <c r="M6" i="37"/>
  <c r="L6" i="37"/>
  <c r="H6" i="37"/>
  <c r="F6" i="37"/>
  <c r="M5" i="37"/>
  <c r="L5" i="37"/>
  <c r="H5" i="37"/>
  <c r="F5" i="37"/>
  <c r="M4" i="37"/>
  <c r="L4" i="37"/>
  <c r="H4" i="37"/>
  <c r="F4" i="37"/>
  <c r="M3" i="37"/>
  <c r="L3" i="37"/>
  <c r="H3" i="37"/>
  <c r="F3" i="37"/>
  <c r="M2" i="37"/>
  <c r="L2" i="37"/>
  <c r="H2" i="37"/>
  <c r="F2" i="37"/>
  <c r="M65" i="36"/>
  <c r="L65" i="36"/>
  <c r="H65" i="36"/>
  <c r="F65" i="36"/>
  <c r="M64" i="36"/>
  <c r="L64" i="36"/>
  <c r="H64" i="36"/>
  <c r="F64" i="36"/>
  <c r="M63" i="36"/>
  <c r="L63" i="36"/>
  <c r="H63" i="36"/>
  <c r="F63" i="36"/>
  <c r="M62" i="36"/>
  <c r="L62" i="36"/>
  <c r="H62" i="36"/>
  <c r="F62" i="36"/>
  <c r="M61" i="36"/>
  <c r="L61" i="36"/>
  <c r="H61" i="36"/>
  <c r="F61" i="36"/>
  <c r="M60" i="36"/>
  <c r="L60" i="36"/>
  <c r="H60" i="36"/>
  <c r="F60" i="36"/>
  <c r="M59" i="36"/>
  <c r="L59" i="36"/>
  <c r="H59" i="36"/>
  <c r="F59" i="36"/>
  <c r="M58" i="36"/>
  <c r="L58" i="36"/>
  <c r="H58" i="36"/>
  <c r="F58" i="36"/>
  <c r="M57" i="36"/>
  <c r="L57" i="36"/>
  <c r="H57" i="36"/>
  <c r="F57" i="36"/>
  <c r="M56" i="36"/>
  <c r="L56" i="36"/>
  <c r="H56" i="36"/>
  <c r="F56" i="36"/>
  <c r="M55" i="36"/>
  <c r="L55" i="36"/>
  <c r="H55" i="36"/>
  <c r="F55" i="36"/>
  <c r="M54" i="36"/>
  <c r="L54" i="36"/>
  <c r="H54" i="36"/>
  <c r="F54" i="36"/>
  <c r="M53" i="36"/>
  <c r="L53" i="36"/>
  <c r="H53" i="36"/>
  <c r="F53" i="36"/>
  <c r="M52" i="36"/>
  <c r="L52" i="36"/>
  <c r="H52" i="36"/>
  <c r="F52" i="36"/>
  <c r="M51" i="36"/>
  <c r="L51" i="36"/>
  <c r="H51" i="36"/>
  <c r="F51" i="36"/>
  <c r="M50" i="36"/>
  <c r="L50" i="36"/>
  <c r="H50" i="36"/>
  <c r="F50" i="36"/>
  <c r="M49" i="36"/>
  <c r="L49" i="36"/>
  <c r="H49" i="36"/>
  <c r="F49" i="36"/>
  <c r="M48" i="36"/>
  <c r="L48" i="36"/>
  <c r="H48" i="36"/>
  <c r="F48" i="36"/>
  <c r="M47" i="36"/>
  <c r="L47" i="36"/>
  <c r="H47" i="36"/>
  <c r="F47" i="36"/>
  <c r="M46" i="36"/>
  <c r="L46" i="36"/>
  <c r="H46" i="36"/>
  <c r="F46" i="36"/>
  <c r="M45" i="36"/>
  <c r="L45" i="36"/>
  <c r="H45" i="36"/>
  <c r="F45" i="36"/>
  <c r="M44" i="36"/>
  <c r="L44" i="36"/>
  <c r="H44" i="36"/>
  <c r="F44" i="36"/>
  <c r="M43" i="36"/>
  <c r="L43" i="36"/>
  <c r="H43" i="36"/>
  <c r="F43" i="36"/>
  <c r="M42" i="36"/>
  <c r="L42" i="36"/>
  <c r="H42" i="36"/>
  <c r="F42" i="36"/>
  <c r="M41" i="36"/>
  <c r="L41" i="36"/>
  <c r="H41" i="36"/>
  <c r="F41" i="36"/>
  <c r="M40" i="36"/>
  <c r="L40" i="36"/>
  <c r="H40" i="36"/>
  <c r="F40" i="36"/>
  <c r="M39" i="36"/>
  <c r="L39" i="36"/>
  <c r="H39" i="36"/>
  <c r="F39" i="36"/>
  <c r="M38" i="36"/>
  <c r="L38" i="36"/>
  <c r="H38" i="36"/>
  <c r="F38" i="36"/>
  <c r="M37" i="36"/>
  <c r="L37" i="36"/>
  <c r="H37" i="36"/>
  <c r="F37" i="36"/>
  <c r="M36" i="36"/>
  <c r="L36" i="36"/>
  <c r="H36" i="36"/>
  <c r="F36" i="36"/>
  <c r="M35" i="36"/>
  <c r="L35" i="36"/>
  <c r="H35" i="36"/>
  <c r="F35" i="36"/>
  <c r="M34" i="36"/>
  <c r="L34" i="36"/>
  <c r="H34" i="36"/>
  <c r="F34" i="36"/>
  <c r="M33" i="36"/>
  <c r="L33" i="36"/>
  <c r="H33" i="36"/>
  <c r="F33" i="36"/>
  <c r="M32" i="36"/>
  <c r="L32" i="36"/>
  <c r="H32" i="36"/>
  <c r="F32" i="36"/>
  <c r="M31" i="36"/>
  <c r="L31" i="36"/>
  <c r="H31" i="36"/>
  <c r="F31" i="36"/>
  <c r="M30" i="36"/>
  <c r="L30" i="36"/>
  <c r="H30" i="36"/>
  <c r="F30" i="36"/>
  <c r="M29" i="36"/>
  <c r="L29" i="36"/>
  <c r="H29" i="36"/>
  <c r="F29" i="36"/>
  <c r="M28" i="36"/>
  <c r="L28" i="36"/>
  <c r="H28" i="36"/>
  <c r="F28" i="36"/>
  <c r="M27" i="36"/>
  <c r="L27" i="36"/>
  <c r="H27" i="36"/>
  <c r="F27" i="36"/>
  <c r="M26" i="36"/>
  <c r="L26" i="36"/>
  <c r="H26" i="36"/>
  <c r="F26" i="36"/>
  <c r="M25" i="36"/>
  <c r="L25" i="36"/>
  <c r="H25" i="36"/>
  <c r="F25" i="36"/>
  <c r="M24" i="36"/>
  <c r="L24" i="36"/>
  <c r="H24" i="36"/>
  <c r="F24" i="36"/>
  <c r="M23" i="36"/>
  <c r="L23" i="36"/>
  <c r="H23" i="36"/>
  <c r="F23" i="36"/>
  <c r="M22" i="36"/>
  <c r="L22" i="36"/>
  <c r="H22" i="36"/>
  <c r="F22" i="36"/>
  <c r="M21" i="36"/>
  <c r="L21" i="36"/>
  <c r="H21" i="36"/>
  <c r="F21" i="36"/>
  <c r="M20" i="36"/>
  <c r="L20" i="36"/>
  <c r="H20" i="36"/>
  <c r="F20" i="36"/>
  <c r="M19" i="36"/>
  <c r="L19" i="36"/>
  <c r="H19" i="36"/>
  <c r="F19" i="36"/>
  <c r="M18" i="36"/>
  <c r="L18" i="36"/>
  <c r="H18" i="36"/>
  <c r="F18" i="36"/>
  <c r="M17" i="36"/>
  <c r="L17" i="36"/>
  <c r="H17" i="36"/>
  <c r="F17" i="36"/>
  <c r="M16" i="36"/>
  <c r="L16" i="36"/>
  <c r="H16" i="36"/>
  <c r="F16" i="36"/>
  <c r="M15" i="36"/>
  <c r="L15" i="36"/>
  <c r="H15" i="36"/>
  <c r="F15" i="36"/>
  <c r="M14" i="36"/>
  <c r="L14" i="36"/>
  <c r="H14" i="36"/>
  <c r="F14" i="36"/>
  <c r="M13" i="36"/>
  <c r="L13" i="36"/>
  <c r="H13" i="36"/>
  <c r="F13" i="36"/>
  <c r="M12" i="36"/>
  <c r="L12" i="36"/>
  <c r="H12" i="36"/>
  <c r="F12" i="36"/>
  <c r="M11" i="36"/>
  <c r="L11" i="36"/>
  <c r="H11" i="36"/>
  <c r="F11" i="36"/>
  <c r="M10" i="36"/>
  <c r="L10" i="36"/>
  <c r="H10" i="36"/>
  <c r="F10" i="36"/>
  <c r="M9" i="36"/>
  <c r="L9" i="36"/>
  <c r="H9" i="36"/>
  <c r="F9" i="36"/>
  <c r="M8" i="36"/>
  <c r="L8" i="36"/>
  <c r="H8" i="36"/>
  <c r="F8" i="36"/>
  <c r="M7" i="36"/>
  <c r="L7" i="36"/>
  <c r="H7" i="36"/>
  <c r="F7" i="36"/>
  <c r="M6" i="36"/>
  <c r="L6" i="36"/>
  <c r="H6" i="36"/>
  <c r="F6" i="36"/>
  <c r="M5" i="36"/>
  <c r="L5" i="36"/>
  <c r="H5" i="36"/>
  <c r="F5" i="36"/>
  <c r="M4" i="36"/>
  <c r="L4" i="36"/>
  <c r="H4" i="36"/>
  <c r="F4" i="36"/>
  <c r="M3" i="36"/>
  <c r="L3" i="36"/>
  <c r="H3" i="36"/>
  <c r="F3" i="36"/>
  <c r="M2" i="36"/>
  <c r="L2" i="36"/>
  <c r="H2" i="36"/>
  <c r="F2" i="36"/>
  <c r="A2" i="33"/>
  <c r="A3" i="33"/>
  <c r="A4" i="33"/>
  <c r="A5" i="33"/>
  <c r="A6" i="33"/>
  <c r="A7" i="33"/>
  <c r="A9" i="33"/>
  <c r="A11" i="33"/>
  <c r="A12" i="33"/>
  <c r="A14" i="33"/>
  <c r="A15" i="33"/>
  <c r="A16" i="33"/>
  <c r="A17" i="33"/>
  <c r="A18" i="33"/>
  <c r="A19" i="33"/>
  <c r="A20" i="33"/>
  <c r="A21" i="33"/>
  <c r="A22" i="33"/>
  <c r="A23" i="33"/>
  <c r="A24" i="33"/>
  <c r="A26" i="33"/>
  <c r="A27" i="33"/>
  <c r="A28" i="33"/>
  <c r="A29" i="33"/>
  <c r="A30" i="33"/>
  <c r="A31" i="33"/>
  <c r="A32" i="33"/>
  <c r="A33" i="33"/>
  <c r="A34" i="33"/>
  <c r="A35" i="33"/>
  <c r="A37" i="33"/>
  <c r="A38" i="33"/>
  <c r="A39" i="33"/>
  <c r="A40" i="33"/>
  <c r="A41" i="33"/>
  <c r="A42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1" i="33"/>
  <c r="A62" i="33"/>
  <c r="A63" i="33"/>
  <c r="A64" i="33"/>
  <c r="A66" i="33"/>
  <c r="A67" i="33"/>
  <c r="A68" i="33"/>
  <c r="A69" i="33"/>
  <c r="A70" i="33"/>
  <c r="A71" i="33"/>
  <c r="A72" i="33"/>
  <c r="A73" i="33"/>
  <c r="H31" i="45" l="1"/>
  <c r="H70" i="45" s="1"/>
  <c r="H69" i="45"/>
  <c r="H8" i="43"/>
  <c r="H75" i="43" s="1"/>
  <c r="L67" i="44"/>
  <c r="L43" i="44"/>
  <c r="L68" i="44" s="1"/>
  <c r="M67" i="44"/>
  <c r="M43" i="44"/>
  <c r="F74" i="42"/>
  <c r="F65" i="42"/>
  <c r="F60" i="42"/>
  <c r="F43" i="42"/>
  <c r="F36" i="42"/>
  <c r="F25" i="42"/>
  <c r="F13" i="42"/>
  <c r="F10" i="42"/>
  <c r="F8" i="42"/>
  <c r="R67" i="31"/>
  <c r="P67" i="31"/>
  <c r="L67" i="31"/>
  <c r="E67" i="31"/>
  <c r="G67" i="31" s="1"/>
  <c r="R66" i="31"/>
  <c r="P66" i="31"/>
  <c r="L66" i="31"/>
  <c r="E66" i="31"/>
  <c r="R65" i="31"/>
  <c r="P65" i="31"/>
  <c r="L65" i="31"/>
  <c r="G65" i="31"/>
  <c r="E65" i="31"/>
  <c r="R64" i="31"/>
  <c r="P64" i="31"/>
  <c r="F64" i="31" s="1"/>
  <c r="L64" i="31"/>
  <c r="E64" i="31"/>
  <c r="R63" i="31"/>
  <c r="P63" i="31"/>
  <c r="L63" i="31"/>
  <c r="E63" i="31"/>
  <c r="G63" i="31" s="1"/>
  <c r="R62" i="31"/>
  <c r="P62" i="31"/>
  <c r="L62" i="31"/>
  <c r="E62" i="31"/>
  <c r="R61" i="31"/>
  <c r="P61" i="31"/>
  <c r="L61" i="31"/>
  <c r="E61" i="31"/>
  <c r="G61" i="31" s="1"/>
  <c r="R60" i="31"/>
  <c r="P60" i="31"/>
  <c r="L60" i="31"/>
  <c r="E60" i="31"/>
  <c r="R59" i="31"/>
  <c r="P59" i="31"/>
  <c r="F59" i="31" s="1"/>
  <c r="H59" i="31" s="1"/>
  <c r="L59" i="31"/>
  <c r="E59" i="31"/>
  <c r="G59" i="31" s="1"/>
  <c r="R58" i="31"/>
  <c r="P58" i="31"/>
  <c r="F58" i="31" s="1"/>
  <c r="L58" i="31"/>
  <c r="E58" i="31"/>
  <c r="R57" i="31"/>
  <c r="P57" i="31"/>
  <c r="L57" i="31"/>
  <c r="G57" i="31"/>
  <c r="E57" i="31"/>
  <c r="R56" i="31"/>
  <c r="P56" i="31"/>
  <c r="L56" i="31"/>
  <c r="E56" i="31"/>
  <c r="R55" i="31"/>
  <c r="P55" i="31"/>
  <c r="F55" i="31" s="1"/>
  <c r="H55" i="31" s="1"/>
  <c r="L55" i="31"/>
  <c r="G55" i="31"/>
  <c r="E55" i="31"/>
  <c r="R54" i="31"/>
  <c r="P54" i="31"/>
  <c r="L54" i="31"/>
  <c r="E54" i="31"/>
  <c r="R53" i="31"/>
  <c r="P53" i="31"/>
  <c r="L53" i="31"/>
  <c r="G53" i="31"/>
  <c r="E53" i="31"/>
  <c r="R52" i="31"/>
  <c r="P52" i="31"/>
  <c r="L52" i="31"/>
  <c r="G52" i="31"/>
  <c r="E52" i="31"/>
  <c r="R51" i="31"/>
  <c r="P51" i="31"/>
  <c r="F51" i="31" s="1"/>
  <c r="L51" i="31"/>
  <c r="E51" i="31"/>
  <c r="G51" i="31" s="1"/>
  <c r="R50" i="31"/>
  <c r="P50" i="31"/>
  <c r="L50" i="31"/>
  <c r="E50" i="31"/>
  <c r="G50" i="31" s="1"/>
  <c r="R49" i="31"/>
  <c r="P49" i="31"/>
  <c r="L49" i="31"/>
  <c r="G49" i="31"/>
  <c r="E49" i="31"/>
  <c r="R48" i="31"/>
  <c r="P48" i="31"/>
  <c r="L48" i="31"/>
  <c r="G48" i="31"/>
  <c r="E48" i="31"/>
  <c r="R47" i="31"/>
  <c r="P47" i="31"/>
  <c r="F47" i="31" s="1"/>
  <c r="L47" i="31"/>
  <c r="E47" i="31"/>
  <c r="G47" i="31" s="1"/>
  <c r="R46" i="31"/>
  <c r="P46" i="31"/>
  <c r="L46" i="31"/>
  <c r="E46" i="31"/>
  <c r="G46" i="31" s="1"/>
  <c r="R45" i="31"/>
  <c r="P45" i="31"/>
  <c r="L45" i="31"/>
  <c r="G45" i="31"/>
  <c r="E45" i="31"/>
  <c r="R44" i="31"/>
  <c r="P44" i="31"/>
  <c r="F44" i="31" s="1"/>
  <c r="L44" i="31"/>
  <c r="G44" i="31"/>
  <c r="E44" i="31"/>
  <c r="R43" i="31"/>
  <c r="P43" i="31"/>
  <c r="L43" i="31"/>
  <c r="E43" i="31"/>
  <c r="G43" i="31" s="1"/>
  <c r="R42" i="31"/>
  <c r="P42" i="31"/>
  <c r="L42" i="31"/>
  <c r="E42" i="31"/>
  <c r="G42" i="31" s="1"/>
  <c r="R41" i="31"/>
  <c r="P41" i="31"/>
  <c r="L41" i="31"/>
  <c r="E41" i="31"/>
  <c r="G41" i="31" s="1"/>
  <c r="R40" i="31"/>
  <c r="P40" i="31"/>
  <c r="L40" i="31"/>
  <c r="G40" i="31"/>
  <c r="E40" i="31"/>
  <c r="R39" i="31"/>
  <c r="P39" i="31"/>
  <c r="L39" i="31"/>
  <c r="E39" i="31"/>
  <c r="R38" i="31"/>
  <c r="P38" i="31"/>
  <c r="F38" i="31" s="1"/>
  <c r="L38" i="31"/>
  <c r="G38" i="31"/>
  <c r="E38" i="31"/>
  <c r="R37" i="31"/>
  <c r="P37" i="31"/>
  <c r="L37" i="31"/>
  <c r="E37" i="31"/>
  <c r="R36" i="31"/>
  <c r="P36" i="31"/>
  <c r="F36" i="31" s="1"/>
  <c r="L36" i="31"/>
  <c r="E36" i="31"/>
  <c r="G36" i="31" s="1"/>
  <c r="R35" i="31"/>
  <c r="P35" i="31"/>
  <c r="L35" i="31"/>
  <c r="E35" i="31"/>
  <c r="G35" i="31" s="1"/>
  <c r="R34" i="31"/>
  <c r="P34" i="31"/>
  <c r="L34" i="31"/>
  <c r="G34" i="31"/>
  <c r="E34" i="31"/>
  <c r="R33" i="31"/>
  <c r="P33" i="31"/>
  <c r="L33" i="31"/>
  <c r="E33" i="31"/>
  <c r="G33" i="31" s="1"/>
  <c r="R32" i="31"/>
  <c r="P32" i="31"/>
  <c r="F32" i="31" s="1"/>
  <c r="L32" i="31"/>
  <c r="G32" i="31"/>
  <c r="E32" i="31"/>
  <c r="R31" i="31"/>
  <c r="P31" i="31"/>
  <c r="L31" i="31"/>
  <c r="E31" i="31"/>
  <c r="R30" i="31"/>
  <c r="P30" i="31"/>
  <c r="F30" i="31" s="1"/>
  <c r="L30" i="31"/>
  <c r="E30" i="31"/>
  <c r="G30" i="31" s="1"/>
  <c r="R29" i="31"/>
  <c r="P29" i="31"/>
  <c r="L29" i="31"/>
  <c r="E29" i="31"/>
  <c r="R28" i="31"/>
  <c r="P28" i="31"/>
  <c r="L28" i="31"/>
  <c r="E28" i="31"/>
  <c r="G28" i="31" s="1"/>
  <c r="R27" i="31"/>
  <c r="P27" i="31"/>
  <c r="L27" i="31"/>
  <c r="G27" i="31"/>
  <c r="E27" i="31"/>
  <c r="R26" i="31"/>
  <c r="P26" i="31"/>
  <c r="L26" i="31"/>
  <c r="E26" i="31"/>
  <c r="R25" i="31"/>
  <c r="P25" i="31"/>
  <c r="F25" i="31" s="1"/>
  <c r="L25" i="31"/>
  <c r="G25" i="31"/>
  <c r="E25" i="31"/>
  <c r="R24" i="31"/>
  <c r="P24" i="31"/>
  <c r="L24" i="31"/>
  <c r="E24" i="31"/>
  <c r="R23" i="31"/>
  <c r="P23" i="31"/>
  <c r="F23" i="31" s="1"/>
  <c r="L23" i="31"/>
  <c r="E23" i="31"/>
  <c r="G23" i="31" s="1"/>
  <c r="R22" i="31"/>
  <c r="P22" i="31"/>
  <c r="L22" i="31"/>
  <c r="E22" i="31"/>
  <c r="R21" i="31"/>
  <c r="P21" i="31"/>
  <c r="L21" i="31"/>
  <c r="E21" i="31"/>
  <c r="G21" i="31" s="1"/>
  <c r="R20" i="31"/>
  <c r="P20" i="31"/>
  <c r="L20" i="31"/>
  <c r="E20" i="31"/>
  <c r="R19" i="31"/>
  <c r="P19" i="31"/>
  <c r="L19" i="31"/>
  <c r="G19" i="31"/>
  <c r="E19" i="31"/>
  <c r="R18" i="31"/>
  <c r="P18" i="31"/>
  <c r="F18" i="31" s="1"/>
  <c r="L18" i="31"/>
  <c r="E18" i="31"/>
  <c r="R17" i="31"/>
  <c r="P17" i="31"/>
  <c r="F17" i="31" s="1"/>
  <c r="L17" i="31"/>
  <c r="G17" i="31"/>
  <c r="E17" i="31"/>
  <c r="R16" i="31"/>
  <c r="P16" i="31"/>
  <c r="L16" i="31"/>
  <c r="E16" i="31"/>
  <c r="R15" i="31"/>
  <c r="P15" i="31"/>
  <c r="F15" i="31" s="1"/>
  <c r="L15" i="31"/>
  <c r="E15" i="31"/>
  <c r="G15" i="31" s="1"/>
  <c r="R14" i="31"/>
  <c r="P14" i="31"/>
  <c r="L14" i="31"/>
  <c r="E14" i="31"/>
  <c r="G14" i="31" s="1"/>
  <c r="R13" i="31"/>
  <c r="P13" i="31"/>
  <c r="F13" i="31" s="1"/>
  <c r="L13" i="31"/>
  <c r="G13" i="31"/>
  <c r="E13" i="31"/>
  <c r="R12" i="31"/>
  <c r="P12" i="31"/>
  <c r="F12" i="31" s="1"/>
  <c r="L12" i="31"/>
  <c r="E12" i="31"/>
  <c r="G12" i="31" s="1"/>
  <c r="R11" i="31"/>
  <c r="P11" i="31"/>
  <c r="L11" i="31"/>
  <c r="E11" i="31"/>
  <c r="G11" i="31" s="1"/>
  <c r="R10" i="31"/>
  <c r="P10" i="31"/>
  <c r="L10" i="31"/>
  <c r="E10" i="31"/>
  <c r="G10" i="31" s="1"/>
  <c r="R9" i="31"/>
  <c r="P9" i="31"/>
  <c r="F9" i="31" s="1"/>
  <c r="L9" i="31"/>
  <c r="G9" i="31"/>
  <c r="E9" i="31"/>
  <c r="R8" i="31"/>
  <c r="P8" i="31"/>
  <c r="F8" i="31" s="1"/>
  <c r="L8" i="31"/>
  <c r="E8" i="31"/>
  <c r="G8" i="31" s="1"/>
  <c r="R7" i="31"/>
  <c r="P7" i="31"/>
  <c r="L7" i="31"/>
  <c r="E7" i="31"/>
  <c r="G7" i="31" s="1"/>
  <c r="R6" i="31"/>
  <c r="P6" i="31"/>
  <c r="L6" i="31"/>
  <c r="E6" i="31"/>
  <c r="G6" i="31" s="1"/>
  <c r="R5" i="31"/>
  <c r="P5" i="31"/>
  <c r="L5" i="31"/>
  <c r="G5" i="31"/>
  <c r="E5" i="31"/>
  <c r="R4" i="31"/>
  <c r="P4" i="31"/>
  <c r="F4" i="31" s="1"/>
  <c r="L4" i="31"/>
  <c r="E4" i="31"/>
  <c r="R67" i="30"/>
  <c r="P67" i="30"/>
  <c r="F67" i="30" s="1"/>
  <c r="L67" i="30"/>
  <c r="G67" i="30"/>
  <c r="E67" i="30"/>
  <c r="R66" i="30"/>
  <c r="P66" i="30"/>
  <c r="L66" i="30"/>
  <c r="E66" i="30"/>
  <c r="R65" i="30"/>
  <c r="P65" i="30"/>
  <c r="L65" i="30"/>
  <c r="E65" i="30"/>
  <c r="G65" i="30" s="1"/>
  <c r="R64" i="30"/>
  <c r="P64" i="30"/>
  <c r="L64" i="30"/>
  <c r="E64" i="30"/>
  <c r="R63" i="30"/>
  <c r="P63" i="30"/>
  <c r="L63" i="30"/>
  <c r="E63" i="30"/>
  <c r="R62" i="30"/>
  <c r="P62" i="30"/>
  <c r="L62" i="30"/>
  <c r="G62" i="30"/>
  <c r="E62" i="30"/>
  <c r="R61" i="30"/>
  <c r="P61" i="30"/>
  <c r="L61" i="30"/>
  <c r="E61" i="30"/>
  <c r="G61" i="30" s="1"/>
  <c r="R60" i="30"/>
  <c r="P60" i="30"/>
  <c r="L60" i="30"/>
  <c r="G60" i="30"/>
  <c r="E60" i="30"/>
  <c r="R59" i="30"/>
  <c r="P59" i="30"/>
  <c r="L59" i="30"/>
  <c r="E59" i="30"/>
  <c r="G59" i="30" s="1"/>
  <c r="R58" i="30"/>
  <c r="P58" i="30"/>
  <c r="F58" i="30" s="1"/>
  <c r="L58" i="30"/>
  <c r="E58" i="30"/>
  <c r="R57" i="30"/>
  <c r="P57" i="30"/>
  <c r="L57" i="30"/>
  <c r="E57" i="30"/>
  <c r="G57" i="30" s="1"/>
  <c r="R56" i="30"/>
  <c r="P56" i="30"/>
  <c r="L56" i="30"/>
  <c r="E56" i="30"/>
  <c r="R55" i="30"/>
  <c r="P55" i="30"/>
  <c r="F55" i="30" s="1"/>
  <c r="L55" i="30"/>
  <c r="E55" i="30"/>
  <c r="G55" i="30" s="1"/>
  <c r="R54" i="30"/>
  <c r="P54" i="30"/>
  <c r="L54" i="30"/>
  <c r="E54" i="30"/>
  <c r="R53" i="30"/>
  <c r="P53" i="30"/>
  <c r="L53" i="30"/>
  <c r="G53" i="30"/>
  <c r="E53" i="30"/>
  <c r="R52" i="30"/>
  <c r="P52" i="30"/>
  <c r="L52" i="30"/>
  <c r="E52" i="30"/>
  <c r="R51" i="30"/>
  <c r="P51" i="30"/>
  <c r="L51" i="30"/>
  <c r="G51" i="30"/>
  <c r="E51" i="30"/>
  <c r="R50" i="30"/>
  <c r="P50" i="30"/>
  <c r="L50" i="30"/>
  <c r="E50" i="30"/>
  <c r="R49" i="30"/>
  <c r="P49" i="30"/>
  <c r="L49" i="30"/>
  <c r="E49" i="30"/>
  <c r="G49" i="30" s="1"/>
  <c r="R48" i="30"/>
  <c r="P48" i="30"/>
  <c r="L48" i="30"/>
  <c r="E48" i="30"/>
  <c r="R47" i="30"/>
  <c r="P47" i="30"/>
  <c r="L47" i="30"/>
  <c r="E47" i="30"/>
  <c r="G47" i="30" s="1"/>
  <c r="R46" i="30"/>
  <c r="P46" i="30"/>
  <c r="L46" i="30"/>
  <c r="E46" i="30"/>
  <c r="R45" i="30"/>
  <c r="P45" i="30"/>
  <c r="L45" i="30"/>
  <c r="G45" i="30"/>
  <c r="E45" i="30"/>
  <c r="R44" i="30"/>
  <c r="P44" i="30"/>
  <c r="L44" i="30"/>
  <c r="E44" i="30"/>
  <c r="R43" i="30"/>
  <c r="P43" i="30"/>
  <c r="L43" i="30"/>
  <c r="G43" i="30"/>
  <c r="E43" i="30"/>
  <c r="R42" i="30"/>
  <c r="P42" i="30"/>
  <c r="L42" i="30"/>
  <c r="E42" i="30"/>
  <c r="R41" i="30"/>
  <c r="P41" i="30"/>
  <c r="L41" i="30"/>
  <c r="E41" i="30"/>
  <c r="G41" i="30" s="1"/>
  <c r="R40" i="30"/>
  <c r="P40" i="30"/>
  <c r="L40" i="30"/>
  <c r="E40" i="30"/>
  <c r="R39" i="30"/>
  <c r="P39" i="30"/>
  <c r="L39" i="30"/>
  <c r="E39" i="30"/>
  <c r="G39" i="30" s="1"/>
  <c r="R38" i="30"/>
  <c r="P38" i="30"/>
  <c r="L38" i="30"/>
  <c r="E38" i="30"/>
  <c r="R37" i="30"/>
  <c r="P37" i="30"/>
  <c r="L37" i="30"/>
  <c r="G37" i="30"/>
  <c r="E37" i="30"/>
  <c r="R36" i="30"/>
  <c r="P36" i="30"/>
  <c r="L36" i="30"/>
  <c r="E36" i="30"/>
  <c r="R35" i="30"/>
  <c r="P35" i="30"/>
  <c r="L35" i="30"/>
  <c r="G35" i="30"/>
  <c r="E35" i="30"/>
  <c r="R34" i="30"/>
  <c r="P34" i="30"/>
  <c r="L34" i="30"/>
  <c r="E34" i="30"/>
  <c r="R33" i="30"/>
  <c r="P33" i="30"/>
  <c r="L33" i="30"/>
  <c r="E33" i="30"/>
  <c r="G33" i="30" s="1"/>
  <c r="R32" i="30"/>
  <c r="P32" i="30"/>
  <c r="L32" i="30"/>
  <c r="E32" i="30"/>
  <c r="R31" i="30"/>
  <c r="P31" i="30"/>
  <c r="L31" i="30"/>
  <c r="E31" i="30"/>
  <c r="G31" i="30" s="1"/>
  <c r="R30" i="30"/>
  <c r="P30" i="30"/>
  <c r="L30" i="30"/>
  <c r="E30" i="30"/>
  <c r="R29" i="30"/>
  <c r="P29" i="30"/>
  <c r="L29" i="30"/>
  <c r="E29" i="30"/>
  <c r="G29" i="30" s="1"/>
  <c r="R28" i="30"/>
  <c r="P28" i="30"/>
  <c r="L28" i="30"/>
  <c r="E28" i="30"/>
  <c r="R27" i="30"/>
  <c r="P27" i="30"/>
  <c r="L27" i="30"/>
  <c r="E27" i="30"/>
  <c r="G27" i="30" s="1"/>
  <c r="R26" i="30"/>
  <c r="P26" i="30"/>
  <c r="L26" i="30"/>
  <c r="E26" i="30"/>
  <c r="R25" i="30"/>
  <c r="P25" i="30"/>
  <c r="F25" i="30" s="1"/>
  <c r="L25" i="30"/>
  <c r="E25" i="30"/>
  <c r="G25" i="30" s="1"/>
  <c r="R24" i="30"/>
  <c r="P24" i="30"/>
  <c r="L24" i="30"/>
  <c r="E24" i="30"/>
  <c r="R23" i="30"/>
  <c r="P23" i="30"/>
  <c r="L23" i="30"/>
  <c r="G23" i="30"/>
  <c r="E23" i="30"/>
  <c r="R22" i="30"/>
  <c r="P22" i="30"/>
  <c r="L22" i="30"/>
  <c r="E22" i="30"/>
  <c r="R21" i="30"/>
  <c r="P21" i="30"/>
  <c r="F21" i="30" s="1"/>
  <c r="L21" i="30"/>
  <c r="E21" i="30"/>
  <c r="G21" i="30" s="1"/>
  <c r="R20" i="30"/>
  <c r="P20" i="30"/>
  <c r="L20" i="30"/>
  <c r="E20" i="30"/>
  <c r="R19" i="30"/>
  <c r="P19" i="30"/>
  <c r="L19" i="30"/>
  <c r="G19" i="30"/>
  <c r="E19" i="30"/>
  <c r="R18" i="30"/>
  <c r="P18" i="30"/>
  <c r="F18" i="30" s="1"/>
  <c r="L18" i="30"/>
  <c r="E18" i="30"/>
  <c r="R17" i="30"/>
  <c r="P17" i="30"/>
  <c r="F17" i="30" s="1"/>
  <c r="L17" i="30"/>
  <c r="E17" i="30"/>
  <c r="G17" i="30" s="1"/>
  <c r="R16" i="30"/>
  <c r="P16" i="30"/>
  <c r="L16" i="30"/>
  <c r="E16" i="30"/>
  <c r="R15" i="30"/>
  <c r="P15" i="30"/>
  <c r="F15" i="30" s="1"/>
  <c r="L15" i="30"/>
  <c r="G15" i="30"/>
  <c r="E15" i="30"/>
  <c r="R14" i="30"/>
  <c r="P14" i="30"/>
  <c r="L14" i="30"/>
  <c r="E14" i="30"/>
  <c r="R13" i="30"/>
  <c r="P13" i="30"/>
  <c r="F13" i="30" s="1"/>
  <c r="L13" i="30"/>
  <c r="E13" i="30"/>
  <c r="G13" i="30" s="1"/>
  <c r="R12" i="30"/>
  <c r="P12" i="30"/>
  <c r="L12" i="30"/>
  <c r="E12" i="30"/>
  <c r="R11" i="30"/>
  <c r="P11" i="30"/>
  <c r="L11" i="30"/>
  <c r="G11" i="30"/>
  <c r="E11" i="30"/>
  <c r="R10" i="30"/>
  <c r="P10" i="30"/>
  <c r="L10" i="30"/>
  <c r="E10" i="30"/>
  <c r="R9" i="30"/>
  <c r="P9" i="30"/>
  <c r="F9" i="30" s="1"/>
  <c r="L9" i="30"/>
  <c r="E9" i="30"/>
  <c r="G9" i="30" s="1"/>
  <c r="R8" i="30"/>
  <c r="P8" i="30"/>
  <c r="L8" i="30"/>
  <c r="E8" i="30"/>
  <c r="R7" i="30"/>
  <c r="P7" i="30"/>
  <c r="L7" i="30"/>
  <c r="G7" i="30"/>
  <c r="E7" i="30"/>
  <c r="R6" i="30"/>
  <c r="P6" i="30"/>
  <c r="L6" i="30"/>
  <c r="E6" i="30"/>
  <c r="R5" i="30"/>
  <c r="P5" i="30"/>
  <c r="F5" i="30" s="1"/>
  <c r="L5" i="30"/>
  <c r="E5" i="30"/>
  <c r="G5" i="30" s="1"/>
  <c r="R4" i="30"/>
  <c r="P4" i="30"/>
  <c r="L4" i="30"/>
  <c r="E4" i="30"/>
  <c r="B74" i="30" s="1"/>
  <c r="P4" i="29"/>
  <c r="R55" i="29"/>
  <c r="P55" i="29"/>
  <c r="F55" i="29" s="1"/>
  <c r="E55" i="29"/>
  <c r="L55" i="29"/>
  <c r="R50" i="29"/>
  <c r="P50" i="29"/>
  <c r="E50" i="29"/>
  <c r="L50" i="29"/>
  <c r="R46" i="29"/>
  <c r="P46" i="29"/>
  <c r="E46" i="29"/>
  <c r="L46" i="29"/>
  <c r="R21" i="29"/>
  <c r="P21" i="29"/>
  <c r="E21" i="29"/>
  <c r="L21" i="29"/>
  <c r="R59" i="29"/>
  <c r="P59" i="29"/>
  <c r="E59" i="29"/>
  <c r="L59" i="29"/>
  <c r="R53" i="29"/>
  <c r="P53" i="29"/>
  <c r="E53" i="29"/>
  <c r="L53" i="29"/>
  <c r="R43" i="29"/>
  <c r="P43" i="29"/>
  <c r="E43" i="29"/>
  <c r="L43" i="29"/>
  <c r="R39" i="29"/>
  <c r="P39" i="29"/>
  <c r="E39" i="29"/>
  <c r="L39" i="29"/>
  <c r="R37" i="29"/>
  <c r="P37" i="29"/>
  <c r="E37" i="29"/>
  <c r="L37" i="29"/>
  <c r="R28" i="29"/>
  <c r="P28" i="29"/>
  <c r="E28" i="29"/>
  <c r="L28" i="29"/>
  <c r="R27" i="29"/>
  <c r="P27" i="29"/>
  <c r="E27" i="29"/>
  <c r="L27" i="29"/>
  <c r="R26" i="29"/>
  <c r="P26" i="29"/>
  <c r="E26" i="29"/>
  <c r="L26" i="29"/>
  <c r="R22" i="29"/>
  <c r="P22" i="29"/>
  <c r="E22" i="29"/>
  <c r="L22" i="29"/>
  <c r="R20" i="29"/>
  <c r="P20" i="29"/>
  <c r="E20" i="29"/>
  <c r="L20" i="29"/>
  <c r="R9" i="29"/>
  <c r="P9" i="29"/>
  <c r="E9" i="29"/>
  <c r="L9" i="29"/>
  <c r="R54" i="29"/>
  <c r="P54" i="29"/>
  <c r="E54" i="29"/>
  <c r="L54" i="29"/>
  <c r="R58" i="29"/>
  <c r="P58" i="29"/>
  <c r="F58" i="29" s="1"/>
  <c r="E58" i="29"/>
  <c r="L58" i="29"/>
  <c r="R51" i="29"/>
  <c r="P51" i="29"/>
  <c r="E51" i="29"/>
  <c r="L51" i="29"/>
  <c r="R40" i="29"/>
  <c r="P40" i="29"/>
  <c r="E40" i="29"/>
  <c r="L40" i="29"/>
  <c r="R35" i="29"/>
  <c r="P35" i="29"/>
  <c r="E35" i="29"/>
  <c r="L35" i="29"/>
  <c r="R18" i="29"/>
  <c r="P18" i="29"/>
  <c r="F18" i="29" s="1"/>
  <c r="E18" i="29"/>
  <c r="L18" i="29"/>
  <c r="R12" i="29"/>
  <c r="P12" i="29"/>
  <c r="E12" i="29"/>
  <c r="L12" i="29"/>
  <c r="R14" i="29"/>
  <c r="P14" i="29"/>
  <c r="E14" i="29"/>
  <c r="L14" i="29"/>
  <c r="R24" i="29"/>
  <c r="P24" i="29"/>
  <c r="E24" i="29"/>
  <c r="L24" i="29"/>
  <c r="R48" i="29"/>
  <c r="P48" i="29"/>
  <c r="E48" i="29"/>
  <c r="L48" i="29"/>
  <c r="R7" i="29"/>
  <c r="P7" i="29"/>
  <c r="E7" i="29"/>
  <c r="L7" i="29"/>
  <c r="R64" i="29"/>
  <c r="P64" i="29"/>
  <c r="E64" i="29"/>
  <c r="L64" i="29"/>
  <c r="R60" i="29"/>
  <c r="P60" i="29"/>
  <c r="E60" i="29"/>
  <c r="L60" i="29"/>
  <c r="R42" i="29"/>
  <c r="P42" i="29"/>
  <c r="E42" i="29"/>
  <c r="L42" i="29"/>
  <c r="R29" i="29"/>
  <c r="P29" i="29"/>
  <c r="E29" i="29"/>
  <c r="L29" i="29"/>
  <c r="R13" i="29"/>
  <c r="P13" i="29"/>
  <c r="E13" i="29"/>
  <c r="L13" i="29"/>
  <c r="R63" i="29"/>
  <c r="P63" i="29"/>
  <c r="E63" i="29"/>
  <c r="L63" i="29"/>
  <c r="R19" i="29"/>
  <c r="P19" i="29"/>
  <c r="E19" i="29"/>
  <c r="L19" i="29"/>
  <c r="R25" i="29"/>
  <c r="P25" i="29"/>
  <c r="E25" i="29"/>
  <c r="L25" i="29"/>
  <c r="R6" i="29"/>
  <c r="P6" i="29"/>
  <c r="E6" i="29"/>
  <c r="L6" i="29"/>
  <c r="R56" i="29"/>
  <c r="P56" i="29"/>
  <c r="E56" i="29"/>
  <c r="L56" i="29"/>
  <c r="R30" i="29"/>
  <c r="P30" i="29"/>
  <c r="E30" i="29"/>
  <c r="L30" i="29"/>
  <c r="R65" i="29"/>
  <c r="P65" i="29"/>
  <c r="E65" i="29"/>
  <c r="L65" i="29"/>
  <c r="R41" i="29"/>
  <c r="P41" i="29"/>
  <c r="E41" i="29"/>
  <c r="L41" i="29"/>
  <c r="R67" i="29"/>
  <c r="P67" i="29"/>
  <c r="E67" i="29"/>
  <c r="L67" i="29"/>
  <c r="R66" i="29"/>
  <c r="P66" i="29"/>
  <c r="E66" i="29"/>
  <c r="L66" i="29"/>
  <c r="R61" i="29"/>
  <c r="P61" i="29"/>
  <c r="E61" i="29"/>
  <c r="L61" i="29"/>
  <c r="R52" i="29"/>
  <c r="P52" i="29"/>
  <c r="E52" i="29"/>
  <c r="L52" i="29"/>
  <c r="R49" i="29"/>
  <c r="P49" i="29"/>
  <c r="E49" i="29"/>
  <c r="L49" i="29"/>
  <c r="R47" i="29"/>
  <c r="P47" i="29"/>
  <c r="E47" i="29"/>
  <c r="L47" i="29"/>
  <c r="R45" i="29"/>
  <c r="P45" i="29"/>
  <c r="E45" i="29"/>
  <c r="L45" i="29"/>
  <c r="R38" i="29"/>
  <c r="P38" i="29"/>
  <c r="E38" i="29"/>
  <c r="L38" i="29"/>
  <c r="R36" i="29"/>
  <c r="P36" i="29"/>
  <c r="E36" i="29"/>
  <c r="L36" i="29"/>
  <c r="R33" i="29"/>
  <c r="P33" i="29"/>
  <c r="E33" i="29"/>
  <c r="L33" i="29"/>
  <c r="R23" i="29"/>
  <c r="P23" i="29"/>
  <c r="E23" i="29"/>
  <c r="L23" i="29"/>
  <c r="R15" i="29"/>
  <c r="P15" i="29"/>
  <c r="F15" i="29" s="1"/>
  <c r="E15" i="29"/>
  <c r="L15" i="29"/>
  <c r="R62" i="29"/>
  <c r="P62" i="29"/>
  <c r="E62" i="29"/>
  <c r="L62" i="29"/>
  <c r="R34" i="29"/>
  <c r="P34" i="29"/>
  <c r="E34" i="29"/>
  <c r="L34" i="29"/>
  <c r="R44" i="29"/>
  <c r="P44" i="29"/>
  <c r="E44" i="29"/>
  <c r="L44" i="29"/>
  <c r="R57" i="29"/>
  <c r="P57" i="29"/>
  <c r="E57" i="29"/>
  <c r="L57" i="29"/>
  <c r="R10" i="29"/>
  <c r="P10" i="29"/>
  <c r="E10" i="29"/>
  <c r="L10" i="29"/>
  <c r="R16" i="29"/>
  <c r="P16" i="29"/>
  <c r="E16" i="29"/>
  <c r="L16" i="29"/>
  <c r="R8" i="29"/>
  <c r="P8" i="29"/>
  <c r="E8" i="29"/>
  <c r="L8" i="29"/>
  <c r="R31" i="29"/>
  <c r="P31" i="29"/>
  <c r="E31" i="29"/>
  <c r="L31" i="29"/>
  <c r="R5" i="29"/>
  <c r="P5" i="29"/>
  <c r="E5" i="29"/>
  <c r="L5" i="29"/>
  <c r="R32" i="29"/>
  <c r="P32" i="29"/>
  <c r="E32" i="29"/>
  <c r="L32" i="29"/>
  <c r="R17" i="29"/>
  <c r="P17" i="29"/>
  <c r="E17" i="29"/>
  <c r="L17" i="29"/>
  <c r="R11" i="29"/>
  <c r="P11" i="29"/>
  <c r="E11" i="29"/>
  <c r="L11" i="29"/>
  <c r="R4" i="29"/>
  <c r="E4" i="29"/>
  <c r="L4" i="29"/>
  <c r="M68" i="44" l="1"/>
  <c r="G17" i="29"/>
  <c r="D5" i="33" s="1"/>
  <c r="B5" i="33"/>
  <c r="G31" i="29"/>
  <c r="B6" i="33"/>
  <c r="G16" i="29"/>
  <c r="B70" i="33"/>
  <c r="G44" i="29"/>
  <c r="B71" i="33"/>
  <c r="G15" i="29"/>
  <c r="D45" i="33" s="1"/>
  <c r="B45" i="33"/>
  <c r="G36" i="29"/>
  <c r="B49" i="33"/>
  <c r="G49" i="29"/>
  <c r="D54" i="33" s="1"/>
  <c r="B54" i="33"/>
  <c r="G66" i="29"/>
  <c r="B58" i="33"/>
  <c r="G41" i="29"/>
  <c r="D29" i="33" s="1"/>
  <c r="B29" i="33"/>
  <c r="G56" i="29"/>
  <c r="B32" i="33"/>
  <c r="G25" i="29"/>
  <c r="D26" i="33" s="1"/>
  <c r="B26" i="33"/>
  <c r="G13" i="29"/>
  <c r="D44" i="33" s="1"/>
  <c r="B44" i="33"/>
  <c r="G60" i="29"/>
  <c r="B73" i="33"/>
  <c r="G48" i="29"/>
  <c r="B31" i="33"/>
  <c r="G12" i="29"/>
  <c r="B37" i="33"/>
  <c r="G40" i="29"/>
  <c r="B41" i="33"/>
  <c r="G54" i="29"/>
  <c r="B63" i="33"/>
  <c r="G22" i="29"/>
  <c r="B16" i="33"/>
  <c r="G28" i="29"/>
  <c r="B19" i="33"/>
  <c r="G37" i="29"/>
  <c r="B20" i="33"/>
  <c r="G53" i="29"/>
  <c r="D23" i="33" s="1"/>
  <c r="B23" i="33"/>
  <c r="G46" i="29"/>
  <c r="B62" i="33"/>
  <c r="G55" i="29"/>
  <c r="D64" i="33" s="1"/>
  <c r="B64" i="33"/>
  <c r="H5" i="30"/>
  <c r="I5" i="30" s="1"/>
  <c r="J5" i="30" s="1"/>
  <c r="H9" i="30"/>
  <c r="I9" i="30" s="1"/>
  <c r="J9" i="30" s="1"/>
  <c r="H17" i="30"/>
  <c r="I17" i="30" s="1"/>
  <c r="J17" i="30" s="1"/>
  <c r="H25" i="30"/>
  <c r="I25" i="30" s="1"/>
  <c r="J25" i="30" s="1"/>
  <c r="H47" i="31"/>
  <c r="I47" i="31" s="1"/>
  <c r="J47" i="31" s="1"/>
  <c r="G32" i="29"/>
  <c r="B7" i="33"/>
  <c r="G8" i="29"/>
  <c r="B68" i="33"/>
  <c r="G57" i="29"/>
  <c r="D72" i="33" s="1"/>
  <c r="B72" i="33"/>
  <c r="G62" i="29"/>
  <c r="B34" i="33"/>
  <c r="G33" i="29"/>
  <c r="D48" i="33" s="1"/>
  <c r="B48" i="33"/>
  <c r="G47" i="29"/>
  <c r="D53" i="33" s="1"/>
  <c r="B53" i="33"/>
  <c r="G61" i="29"/>
  <c r="D56" i="33" s="1"/>
  <c r="B56" i="33"/>
  <c r="G65" i="29"/>
  <c r="D57" i="33" s="1"/>
  <c r="B57" i="33"/>
  <c r="G6" i="29"/>
  <c r="B66" i="33"/>
  <c r="G63" i="29"/>
  <c r="B35" i="33"/>
  <c r="G42" i="29"/>
  <c r="B30" i="33"/>
  <c r="G7" i="29"/>
  <c r="D67" i="33" s="1"/>
  <c r="B67" i="33"/>
  <c r="G14" i="29"/>
  <c r="B38" i="33"/>
  <c r="G18" i="29"/>
  <c r="B39" i="33"/>
  <c r="G58" i="29"/>
  <c r="B33" i="33"/>
  <c r="G20" i="29"/>
  <c r="B15" i="33"/>
  <c r="G26" i="29"/>
  <c r="B17" i="33"/>
  <c r="G39" i="29"/>
  <c r="B51" i="33"/>
  <c r="G21" i="29"/>
  <c r="D61" i="33" s="1"/>
  <c r="B61" i="33"/>
  <c r="B65" i="33" s="1"/>
  <c r="G50" i="29"/>
  <c r="B22" i="33"/>
  <c r="H21" i="30"/>
  <c r="I21" i="30" s="1"/>
  <c r="J21" i="30" s="1"/>
  <c r="B2" i="33"/>
  <c r="F5" i="31"/>
  <c r="H5" i="31" s="1"/>
  <c r="I5" i="31" s="1"/>
  <c r="H13" i="31"/>
  <c r="I13" i="31" s="1"/>
  <c r="J13" i="31" s="1"/>
  <c r="F48" i="31"/>
  <c r="H48" i="31" s="1"/>
  <c r="F52" i="31"/>
  <c r="H52" i="31" s="1"/>
  <c r="G11" i="29"/>
  <c r="D4" i="33" s="1"/>
  <c r="B4" i="33"/>
  <c r="G5" i="29"/>
  <c r="D3" i="33" s="1"/>
  <c r="B3" i="33"/>
  <c r="G10" i="29"/>
  <c r="B69" i="33"/>
  <c r="G34" i="29"/>
  <c r="B28" i="33"/>
  <c r="G23" i="29"/>
  <c r="D46" i="33" s="1"/>
  <c r="B46" i="33"/>
  <c r="G38" i="29"/>
  <c r="B50" i="33"/>
  <c r="G45" i="29"/>
  <c r="D52" i="33" s="1"/>
  <c r="B52" i="33"/>
  <c r="G52" i="29"/>
  <c r="B55" i="33"/>
  <c r="G67" i="29"/>
  <c r="D59" i="33" s="1"/>
  <c r="B59" i="33"/>
  <c r="G30" i="29"/>
  <c r="B27" i="33"/>
  <c r="G19" i="29"/>
  <c r="D9" i="33" s="1"/>
  <c r="D10" i="33" s="1"/>
  <c r="B9" i="33"/>
  <c r="B10" i="33" s="1"/>
  <c r="G29" i="29"/>
  <c r="B47" i="33"/>
  <c r="G64" i="29"/>
  <c r="B12" i="33"/>
  <c r="G24" i="29"/>
  <c r="B11" i="33"/>
  <c r="G35" i="29"/>
  <c r="D40" i="33" s="1"/>
  <c r="B40" i="33"/>
  <c r="G51" i="29"/>
  <c r="D42" i="33" s="1"/>
  <c r="B42" i="33"/>
  <c r="G9" i="29"/>
  <c r="D14" i="33" s="1"/>
  <c r="B14" i="33"/>
  <c r="G27" i="29"/>
  <c r="D18" i="33" s="1"/>
  <c r="B18" i="33"/>
  <c r="G43" i="29"/>
  <c r="D21" i="33" s="1"/>
  <c r="B21" i="33"/>
  <c r="G59" i="29"/>
  <c r="D24" i="33" s="1"/>
  <c r="B24" i="33"/>
  <c r="H13" i="30"/>
  <c r="I13" i="30" s="1"/>
  <c r="J13" i="30" s="1"/>
  <c r="F7" i="30"/>
  <c r="H7" i="30" s="1"/>
  <c r="I7" i="30" s="1"/>
  <c r="J7" i="30" s="1"/>
  <c r="F11" i="30"/>
  <c r="H11" i="30" s="1"/>
  <c r="I11" i="30" s="1"/>
  <c r="J11" i="30" s="1"/>
  <c r="H15" i="30"/>
  <c r="I15" i="30" s="1"/>
  <c r="J15" i="30" s="1"/>
  <c r="F19" i="30"/>
  <c r="H19" i="30" s="1"/>
  <c r="I19" i="30" s="1"/>
  <c r="J19" i="30" s="1"/>
  <c r="F23" i="30"/>
  <c r="H23" i="30" s="1"/>
  <c r="I23" i="30" s="1"/>
  <c r="J23" i="30" s="1"/>
  <c r="F6" i="31"/>
  <c r="H6" i="31" s="1"/>
  <c r="I6" i="31" s="1"/>
  <c r="J6" i="31" s="1"/>
  <c r="F10" i="31"/>
  <c r="F14" i="31"/>
  <c r="H14" i="31" s="1"/>
  <c r="F19" i="31"/>
  <c r="H19" i="31" s="1"/>
  <c r="F34" i="31"/>
  <c r="H34" i="31" s="1"/>
  <c r="F40" i="31"/>
  <c r="H40" i="31" s="1"/>
  <c r="F45" i="31"/>
  <c r="H45" i="31" s="1"/>
  <c r="I45" i="31" s="1"/>
  <c r="J45" i="31" s="1"/>
  <c r="F49" i="31"/>
  <c r="H49" i="31" s="1"/>
  <c r="I49" i="31" s="1"/>
  <c r="J49" i="31" s="1"/>
  <c r="F53" i="31"/>
  <c r="H53" i="31" s="1"/>
  <c r="I53" i="31" s="1"/>
  <c r="J53" i="31" s="1"/>
  <c r="F54" i="31"/>
  <c r="F57" i="31"/>
  <c r="H57" i="31" s="1"/>
  <c r="I57" i="31" s="1"/>
  <c r="J57" i="31" s="1"/>
  <c r="F65" i="30"/>
  <c r="H65" i="30" s="1"/>
  <c r="F7" i="31"/>
  <c r="H7" i="31" s="1"/>
  <c r="I7" i="31" s="1"/>
  <c r="F11" i="31"/>
  <c r="F21" i="31"/>
  <c r="H21" i="31" s="1"/>
  <c r="F28" i="31"/>
  <c r="H28" i="31" s="1"/>
  <c r="F42" i="31"/>
  <c r="H42" i="31" s="1"/>
  <c r="F46" i="31"/>
  <c r="H46" i="31" s="1"/>
  <c r="F50" i="31"/>
  <c r="H50" i="31" s="1"/>
  <c r="F61" i="31"/>
  <c r="H61" i="31" s="1"/>
  <c r="F62" i="31"/>
  <c r="F65" i="31"/>
  <c r="H65" i="31" s="1"/>
  <c r="F63" i="31"/>
  <c r="H63" i="31" s="1"/>
  <c r="I63" i="31" s="1"/>
  <c r="J63" i="31" s="1"/>
  <c r="F67" i="31"/>
  <c r="H67" i="31" s="1"/>
  <c r="I67" i="31" s="1"/>
  <c r="J67" i="31" s="1"/>
  <c r="F75" i="42"/>
  <c r="C45" i="33"/>
  <c r="E45" i="33" s="1"/>
  <c r="C39" i="33"/>
  <c r="C33" i="33"/>
  <c r="C64" i="33"/>
  <c r="E64" i="33" s="1"/>
  <c r="H11" i="31"/>
  <c r="I11" i="31" s="1"/>
  <c r="J11" i="31" s="1"/>
  <c r="H9" i="31"/>
  <c r="I9" i="31" s="1"/>
  <c r="J9" i="31" s="1"/>
  <c r="H51" i="31"/>
  <c r="I51" i="31" s="1"/>
  <c r="J51" i="31" s="1"/>
  <c r="H12" i="31"/>
  <c r="H10" i="31"/>
  <c r="I14" i="31"/>
  <c r="J14" i="31" s="1"/>
  <c r="H8" i="31"/>
  <c r="H18" i="31"/>
  <c r="F29" i="31"/>
  <c r="F37" i="31"/>
  <c r="I55" i="31"/>
  <c r="J55" i="31" s="1"/>
  <c r="G56" i="31"/>
  <c r="B74" i="31"/>
  <c r="G16" i="31"/>
  <c r="F16" i="31"/>
  <c r="G18" i="31"/>
  <c r="G20" i="31"/>
  <c r="F20" i="31"/>
  <c r="G22" i="31"/>
  <c r="F22" i="31"/>
  <c r="G24" i="31"/>
  <c r="F24" i="31"/>
  <c r="G26" i="31"/>
  <c r="F26" i="31"/>
  <c r="G29" i="31"/>
  <c r="F31" i="31"/>
  <c r="G37" i="31"/>
  <c r="F39" i="31"/>
  <c r="F56" i="31"/>
  <c r="H56" i="31" s="1"/>
  <c r="I59" i="31"/>
  <c r="J59" i="31" s="1"/>
  <c r="G60" i="31"/>
  <c r="G31" i="31"/>
  <c r="F33" i="31"/>
  <c r="H33" i="31" s="1"/>
  <c r="G39" i="31"/>
  <c r="F41" i="31"/>
  <c r="H41" i="31" s="1"/>
  <c r="F60" i="31"/>
  <c r="H60" i="31" s="1"/>
  <c r="G64" i="31"/>
  <c r="H64" i="31" s="1"/>
  <c r="G4" i="31"/>
  <c r="H4" i="31" s="1"/>
  <c r="H15" i="31"/>
  <c r="H17" i="31"/>
  <c r="H23" i="31"/>
  <c r="H25" i="31"/>
  <c r="F27" i="31"/>
  <c r="H27" i="31" s="1"/>
  <c r="F35" i="31"/>
  <c r="H35" i="31" s="1"/>
  <c r="F43" i="31"/>
  <c r="H43" i="31" s="1"/>
  <c r="H30" i="31"/>
  <c r="H32" i="31"/>
  <c r="H36" i="31"/>
  <c r="H38" i="31"/>
  <c r="H44" i="31"/>
  <c r="G54" i="31"/>
  <c r="G58" i="31"/>
  <c r="H58" i="31" s="1"/>
  <c r="G62" i="31"/>
  <c r="G66" i="31"/>
  <c r="F66" i="31"/>
  <c r="F63" i="30"/>
  <c r="F16" i="30"/>
  <c r="F20" i="30"/>
  <c r="F22" i="30"/>
  <c r="H22" i="30" s="1"/>
  <c r="F26" i="30"/>
  <c r="F30" i="30"/>
  <c r="F32" i="30"/>
  <c r="F34" i="30"/>
  <c r="F36" i="30"/>
  <c r="H36" i="30" s="1"/>
  <c r="F38" i="30"/>
  <c r="F40" i="30"/>
  <c r="F42" i="30"/>
  <c r="F44" i="30"/>
  <c r="H44" i="30" s="1"/>
  <c r="F46" i="30"/>
  <c r="F48" i="30"/>
  <c r="F50" i="30"/>
  <c r="F52" i="30"/>
  <c r="H52" i="30" s="1"/>
  <c r="F54" i="30"/>
  <c r="F56" i="30"/>
  <c r="G63" i="30"/>
  <c r="H67" i="30"/>
  <c r="F59" i="30"/>
  <c r="H59" i="30" s="1"/>
  <c r="F61" i="30"/>
  <c r="H61" i="30" s="1"/>
  <c r="G66" i="30"/>
  <c r="F66" i="30"/>
  <c r="H66" i="30" s="1"/>
  <c r="F4" i="30"/>
  <c r="F8" i="30"/>
  <c r="F10" i="30"/>
  <c r="F14" i="30"/>
  <c r="G6" i="30"/>
  <c r="G8" i="30"/>
  <c r="G12" i="30"/>
  <c r="G14" i="30"/>
  <c r="G16" i="30"/>
  <c r="G20" i="30"/>
  <c r="G24" i="30"/>
  <c r="G26" i="30"/>
  <c r="F28" i="30"/>
  <c r="G30" i="30"/>
  <c r="G32" i="30"/>
  <c r="G34" i="30"/>
  <c r="G36" i="30"/>
  <c r="G38" i="30"/>
  <c r="G40" i="30"/>
  <c r="G42" i="30"/>
  <c r="G44" i="30"/>
  <c r="G46" i="30"/>
  <c r="G48" i="30"/>
  <c r="G50" i="30"/>
  <c r="G52" i="30"/>
  <c r="G54" i="30"/>
  <c r="G56" i="30"/>
  <c r="F60" i="30"/>
  <c r="H60" i="30" s="1"/>
  <c r="F62" i="30"/>
  <c r="H62" i="30" s="1"/>
  <c r="G64" i="30"/>
  <c r="F64" i="30"/>
  <c r="H64" i="30" s="1"/>
  <c r="F6" i="30"/>
  <c r="H6" i="30" s="1"/>
  <c r="F12" i="30"/>
  <c r="F24" i="30"/>
  <c r="G4" i="30"/>
  <c r="G10" i="30"/>
  <c r="G18" i="30"/>
  <c r="H18" i="30" s="1"/>
  <c r="G22" i="30"/>
  <c r="F27" i="30"/>
  <c r="H27" i="30" s="1"/>
  <c r="G28" i="30"/>
  <c r="F29" i="30"/>
  <c r="H29" i="30" s="1"/>
  <c r="F31" i="30"/>
  <c r="H31" i="30" s="1"/>
  <c r="F33" i="30"/>
  <c r="H33" i="30" s="1"/>
  <c r="F35" i="30"/>
  <c r="H35" i="30" s="1"/>
  <c r="F37" i="30"/>
  <c r="H37" i="30" s="1"/>
  <c r="F39" i="30"/>
  <c r="H39" i="30" s="1"/>
  <c r="F41" i="30"/>
  <c r="H41" i="30" s="1"/>
  <c r="F43" i="30"/>
  <c r="H43" i="30" s="1"/>
  <c r="F45" i="30"/>
  <c r="H45" i="30" s="1"/>
  <c r="F47" i="30"/>
  <c r="H47" i="30" s="1"/>
  <c r="F49" i="30"/>
  <c r="H49" i="30" s="1"/>
  <c r="F51" i="30"/>
  <c r="H51" i="30" s="1"/>
  <c r="F53" i="30"/>
  <c r="H53" i="30" s="1"/>
  <c r="H55" i="30"/>
  <c r="F57" i="30"/>
  <c r="H57" i="30" s="1"/>
  <c r="G58" i="30"/>
  <c r="H58" i="30" s="1"/>
  <c r="F17" i="29"/>
  <c r="C5" i="33" s="1"/>
  <c r="E5" i="33" s="1"/>
  <c r="F5" i="29"/>
  <c r="F8" i="29"/>
  <c r="F10" i="29"/>
  <c r="F44" i="29"/>
  <c r="F62" i="29"/>
  <c r="F23" i="29"/>
  <c r="F33" i="29"/>
  <c r="F36" i="29"/>
  <c r="F45" i="29"/>
  <c r="F47" i="29"/>
  <c r="F49" i="29"/>
  <c r="F52" i="29"/>
  <c r="F61" i="29"/>
  <c r="F66" i="29"/>
  <c r="F67" i="29"/>
  <c r="F41" i="29"/>
  <c r="F65" i="29"/>
  <c r="F30" i="29"/>
  <c r="F56" i="29"/>
  <c r="F6" i="29"/>
  <c r="F25" i="29"/>
  <c r="C26" i="33" s="1"/>
  <c r="F19" i="29"/>
  <c r="F63" i="29"/>
  <c r="F13" i="29"/>
  <c r="C44" i="33" s="1"/>
  <c r="F29" i="29"/>
  <c r="F42" i="29"/>
  <c r="F60" i="29"/>
  <c r="F64" i="29"/>
  <c r="F7" i="29"/>
  <c r="F48" i="29"/>
  <c r="F24" i="29"/>
  <c r="F14" i="29"/>
  <c r="F12" i="29"/>
  <c r="F35" i="29"/>
  <c r="F40" i="29"/>
  <c r="F51" i="29"/>
  <c r="F54" i="29"/>
  <c r="F9" i="29"/>
  <c r="C14" i="33" s="1"/>
  <c r="F20" i="29"/>
  <c r="F22" i="29"/>
  <c r="F26" i="29"/>
  <c r="F27" i="29"/>
  <c r="F28" i="29"/>
  <c r="F37" i="29"/>
  <c r="F39" i="29"/>
  <c r="F43" i="29"/>
  <c r="F53" i="29"/>
  <c r="F59" i="29"/>
  <c r="F21" i="29"/>
  <c r="F46" i="29"/>
  <c r="F50" i="29"/>
  <c r="F11" i="29"/>
  <c r="F32" i="29"/>
  <c r="F31" i="29"/>
  <c r="F16" i="29"/>
  <c r="F57" i="29"/>
  <c r="F34" i="29"/>
  <c r="F38" i="29"/>
  <c r="B74" i="29"/>
  <c r="G4" i="29"/>
  <c r="H5" i="29"/>
  <c r="I5" i="29" s="1"/>
  <c r="H8" i="29"/>
  <c r="I8" i="29" s="1"/>
  <c r="H15" i="29"/>
  <c r="I15" i="29" s="1"/>
  <c r="H18" i="29"/>
  <c r="I18" i="29" s="1"/>
  <c r="H58" i="29"/>
  <c r="I58" i="29" s="1"/>
  <c r="H55" i="29"/>
  <c r="I55" i="29" s="1"/>
  <c r="F4" i="29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2" i="22"/>
  <c r="M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6" i="22"/>
  <c r="M57" i="22"/>
  <c r="M58" i="22"/>
  <c r="M59" i="22"/>
  <c r="M60" i="22"/>
  <c r="M61" i="22"/>
  <c r="M62" i="22"/>
  <c r="M63" i="22"/>
  <c r="M64" i="22"/>
  <c r="M65" i="22"/>
  <c r="M2" i="22"/>
  <c r="H2" i="2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F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H3" i="23"/>
  <c r="H4" i="23"/>
  <c r="H5" i="23"/>
  <c r="H6" i="23"/>
  <c r="S35" i="30" s="1"/>
  <c r="H7" i="23"/>
  <c r="H8" i="23"/>
  <c r="H9" i="23"/>
  <c r="H10" i="23"/>
  <c r="S13" i="31" s="1"/>
  <c r="H2" i="23"/>
  <c r="H54" i="31" l="1"/>
  <c r="I54" i="31" s="1"/>
  <c r="J54" i="31" s="1"/>
  <c r="C61" i="33"/>
  <c r="E61" i="33" s="1"/>
  <c r="C3" i="33"/>
  <c r="E3" i="33" s="1"/>
  <c r="C2" i="33"/>
  <c r="E2" i="33" s="1"/>
  <c r="C19" i="33"/>
  <c r="C59" i="33"/>
  <c r="E59" i="33" s="1"/>
  <c r="C9" i="33"/>
  <c r="C10" i="33" s="1"/>
  <c r="C46" i="33"/>
  <c r="E46" i="33" s="1"/>
  <c r="H62" i="31"/>
  <c r="I62" i="31" s="1"/>
  <c r="J62" i="31" s="1"/>
  <c r="C57" i="33"/>
  <c r="E57" i="33" s="1"/>
  <c r="C4" i="33"/>
  <c r="E4" i="33" s="1"/>
  <c r="C70" i="33"/>
  <c r="C23" i="33"/>
  <c r="E23" i="33" s="1"/>
  <c r="C67" i="33"/>
  <c r="E67" i="33" s="1"/>
  <c r="S7" i="29"/>
  <c r="N4" i="36"/>
  <c r="N6" i="36"/>
  <c r="N5" i="36"/>
  <c r="N54" i="36"/>
  <c r="N3" i="37"/>
  <c r="N27" i="37"/>
  <c r="N39" i="37"/>
  <c r="N52" i="37"/>
  <c r="N37" i="38"/>
  <c r="N59" i="38"/>
  <c r="N12" i="39"/>
  <c r="N58" i="39"/>
  <c r="N8" i="40"/>
  <c r="N30" i="36"/>
  <c r="N42" i="36"/>
  <c r="N55" i="36"/>
  <c r="N2" i="37"/>
  <c r="N14" i="37"/>
  <c r="N33" i="38"/>
  <c r="N57" i="38"/>
  <c r="N10" i="39"/>
  <c r="N34" i="39"/>
  <c r="N46" i="39"/>
  <c r="N59" i="39"/>
  <c r="N29" i="36"/>
  <c r="N41" i="36"/>
  <c r="N53" i="36"/>
  <c r="N13" i="37"/>
  <c r="N37" i="37"/>
  <c r="N61" i="37"/>
  <c r="N32" i="38"/>
  <c r="N11" i="39"/>
  <c r="N35" i="39"/>
  <c r="N47" i="39"/>
  <c r="N60" i="39"/>
  <c r="N66" i="41"/>
  <c r="N31" i="42"/>
  <c r="N20" i="42"/>
  <c r="N6" i="43"/>
  <c r="N47" i="40"/>
  <c r="N59" i="40"/>
  <c r="N19" i="41"/>
  <c r="N43" i="41"/>
  <c r="N55" i="41"/>
  <c r="N67" i="41"/>
  <c r="N9" i="42"/>
  <c r="N19" i="42"/>
  <c r="N4" i="43"/>
  <c r="N56" i="40"/>
  <c r="N69" i="40"/>
  <c r="N65" i="41"/>
  <c r="N7" i="42"/>
  <c r="N12" i="42"/>
  <c r="N17" i="42"/>
  <c r="N2" i="43"/>
  <c r="N32" i="43"/>
  <c r="N4" i="44"/>
  <c r="N27" i="43"/>
  <c r="N28" i="43"/>
  <c r="N11" i="43"/>
  <c r="N14" i="43"/>
  <c r="N26" i="43"/>
  <c r="N24" i="43"/>
  <c r="N17" i="44"/>
  <c r="N19" i="44"/>
  <c r="N2" i="45"/>
  <c r="N5" i="45"/>
  <c r="N10" i="45"/>
  <c r="N16" i="45"/>
  <c r="N18" i="45"/>
  <c r="N21" i="45"/>
  <c r="N24" i="45"/>
  <c r="N7" i="36"/>
  <c r="N34" i="36"/>
  <c r="N6" i="37"/>
  <c r="N30" i="37"/>
  <c r="N42" i="37"/>
  <c r="N55" i="37"/>
  <c r="N2" i="38"/>
  <c r="N14" i="38"/>
  <c r="N39" i="38"/>
  <c r="N51" i="38"/>
  <c r="N39" i="39"/>
  <c r="N11" i="40"/>
  <c r="N33" i="36"/>
  <c r="N57" i="36"/>
  <c r="N5" i="37"/>
  <c r="N29" i="37"/>
  <c r="N41" i="37"/>
  <c r="N53" i="37"/>
  <c r="N49" i="38"/>
  <c r="N60" i="38"/>
  <c r="N37" i="39"/>
  <c r="N61" i="39"/>
  <c r="N10" i="40"/>
  <c r="N32" i="36"/>
  <c r="N56" i="36"/>
  <c r="N4" i="37"/>
  <c r="N51" i="37"/>
  <c r="N64" i="37"/>
  <c r="N13" i="38"/>
  <c r="N61" i="38"/>
  <c r="N38" i="39"/>
  <c r="N62" i="39"/>
  <c r="N9" i="40"/>
  <c r="N34" i="40"/>
  <c r="N46" i="40"/>
  <c r="N58" i="40"/>
  <c r="N20" i="41"/>
  <c r="N45" i="41"/>
  <c r="N57" i="41"/>
  <c r="N35" i="42"/>
  <c r="N22" i="42"/>
  <c r="N39" i="40"/>
  <c r="N62" i="40"/>
  <c r="N10" i="41"/>
  <c r="N58" i="41"/>
  <c r="N70" i="41"/>
  <c r="N21" i="42"/>
  <c r="N7" i="43"/>
  <c r="N35" i="40"/>
  <c r="N60" i="40"/>
  <c r="N9" i="41"/>
  <c r="N33" i="41"/>
  <c r="N32" i="42"/>
  <c r="N5" i="43"/>
  <c r="N33" i="43"/>
  <c r="N35" i="43"/>
  <c r="N23" i="43"/>
  <c r="N47" i="44"/>
  <c r="N49" i="44"/>
  <c r="N42" i="44"/>
  <c r="N30" i="43"/>
  <c r="N12" i="43"/>
  <c r="N17" i="43"/>
  <c r="N18" i="44"/>
  <c r="N37" i="44"/>
  <c r="N29" i="43"/>
  <c r="N34" i="43"/>
  <c r="N16" i="43"/>
  <c r="N41" i="44"/>
  <c r="N56" i="44"/>
  <c r="N15" i="44"/>
  <c r="N39" i="44"/>
  <c r="N36" i="44"/>
  <c r="N32" i="44"/>
  <c r="N3" i="45"/>
  <c r="N32" i="45"/>
  <c r="N14" i="45"/>
  <c r="N20" i="45"/>
  <c r="N23" i="45"/>
  <c r="N25" i="45"/>
  <c r="N27" i="45"/>
  <c r="N13" i="36"/>
  <c r="N37" i="36"/>
  <c r="N61" i="36"/>
  <c r="N33" i="37"/>
  <c r="N57" i="37"/>
  <c r="N5" i="38"/>
  <c r="N42" i="38"/>
  <c r="N54" i="38"/>
  <c r="N18" i="39"/>
  <c r="N42" i="39"/>
  <c r="N66" i="39"/>
  <c r="N49" i="36"/>
  <c r="N60" i="36"/>
  <c r="N32" i="37"/>
  <c r="N56" i="37"/>
  <c r="N4" i="38"/>
  <c r="N52" i="38"/>
  <c r="N64" i="38"/>
  <c r="N64" i="39"/>
  <c r="N59" i="36"/>
  <c r="N7" i="37"/>
  <c r="N54" i="37"/>
  <c r="N3" i="38"/>
  <c r="N27" i="38"/>
  <c r="N54" i="39"/>
  <c r="N65" i="39"/>
  <c r="N12" i="40"/>
  <c r="N37" i="40"/>
  <c r="N61" i="40"/>
  <c r="N11" i="41"/>
  <c r="N35" i="41"/>
  <c r="N48" i="41"/>
  <c r="N60" i="41"/>
  <c r="N2" i="42"/>
  <c r="N27" i="42"/>
  <c r="N15" i="42"/>
  <c r="N19" i="40"/>
  <c r="N42" i="40"/>
  <c r="N65" i="40"/>
  <c r="N13" i="41"/>
  <c r="N61" i="41"/>
  <c r="N3" i="42"/>
  <c r="N28" i="42"/>
  <c r="N38" i="40"/>
  <c r="N12" i="41"/>
  <c r="N36" i="41"/>
  <c r="N47" i="41"/>
  <c r="N59" i="41"/>
  <c r="N26" i="42"/>
  <c r="N33" i="42"/>
  <c r="N23" i="42"/>
  <c r="N15" i="43"/>
  <c r="N57" i="44"/>
  <c r="N9" i="43"/>
  <c r="N20" i="43"/>
  <c r="N10" i="44"/>
  <c r="N48" i="44"/>
  <c r="N60" i="44"/>
  <c r="N31" i="43"/>
  <c r="N19" i="43"/>
  <c r="N54" i="44"/>
  <c r="N24" i="44"/>
  <c r="N26" i="44"/>
  <c r="N35" i="44"/>
  <c r="N62" i="44"/>
  <c r="N55" i="45"/>
  <c r="N17" i="45"/>
  <c r="N40" i="45"/>
  <c r="N26" i="45"/>
  <c r="N28" i="45"/>
  <c r="N30" i="45"/>
  <c r="N3" i="36"/>
  <c r="N56" i="38"/>
  <c r="N27" i="36"/>
  <c r="N59" i="37"/>
  <c r="N14" i="36"/>
  <c r="N30" i="38"/>
  <c r="N39" i="41"/>
  <c r="N3" i="43"/>
  <c r="N57" i="40"/>
  <c r="N40" i="41"/>
  <c r="N54" i="40"/>
  <c r="N38" i="41"/>
  <c r="N24" i="42"/>
  <c r="N11" i="44"/>
  <c r="N4" i="45"/>
  <c r="N36" i="45"/>
  <c r="N41" i="45"/>
  <c r="N2" i="36"/>
  <c r="N51" i="36"/>
  <c r="N9" i="39"/>
  <c r="N39" i="36"/>
  <c r="N7" i="38"/>
  <c r="N55" i="38"/>
  <c r="N41" i="38"/>
  <c r="N32" i="39"/>
  <c r="N64" i="40"/>
  <c r="N29" i="42"/>
  <c r="N30" i="42"/>
  <c r="N18" i="40"/>
  <c r="N66" i="40"/>
  <c r="N18" i="43"/>
  <c r="N52" i="44"/>
  <c r="N51" i="44"/>
  <c r="N27" i="44"/>
  <c r="N38" i="45"/>
  <c r="N42" i="45"/>
  <c r="S24" i="30"/>
  <c r="N64" i="36"/>
  <c r="N49" i="37"/>
  <c r="N34" i="38"/>
  <c r="N69" i="39"/>
  <c r="N52" i="36"/>
  <c r="N7" i="39"/>
  <c r="N56" i="39"/>
  <c r="N6" i="38"/>
  <c r="N53" i="38"/>
  <c r="N44" i="39"/>
  <c r="N63" i="41"/>
  <c r="N32" i="40"/>
  <c r="N34" i="42"/>
  <c r="N62" i="41"/>
  <c r="N11" i="42"/>
  <c r="N22" i="43"/>
  <c r="N21" i="43"/>
  <c r="N7" i="44"/>
  <c r="N9" i="45"/>
  <c r="N63" i="45"/>
  <c r="N29" i="45"/>
  <c r="S4" i="30"/>
  <c r="N60" i="37"/>
  <c r="N29" i="38"/>
  <c r="N19" i="39"/>
  <c r="N34" i="37"/>
  <c r="N8" i="39"/>
  <c r="N57" i="39"/>
  <c r="N5" i="42"/>
  <c r="N18" i="42"/>
  <c r="N44" i="40"/>
  <c r="N6" i="42"/>
  <c r="N16" i="42"/>
  <c r="N4" i="42"/>
  <c r="N14" i="42"/>
  <c r="N53" i="44"/>
  <c r="N44" i="44"/>
  <c r="N64" i="45"/>
  <c r="N22" i="45"/>
  <c r="S58" i="31"/>
  <c r="S20" i="30"/>
  <c r="D2" i="33"/>
  <c r="H24" i="30"/>
  <c r="I24" i="30" s="1"/>
  <c r="J24" i="30" s="1"/>
  <c r="H8" i="30"/>
  <c r="I8" i="30" s="1"/>
  <c r="J8" i="30" s="1"/>
  <c r="H56" i="30"/>
  <c r="I56" i="30" s="1"/>
  <c r="J56" i="30" s="1"/>
  <c r="H48" i="30"/>
  <c r="I48" i="30" s="1"/>
  <c r="J48" i="30" s="1"/>
  <c r="H40" i="30"/>
  <c r="I40" i="30" s="1"/>
  <c r="J40" i="30" s="1"/>
  <c r="H32" i="30"/>
  <c r="I32" i="30" s="1"/>
  <c r="J32" i="30" s="1"/>
  <c r="H20" i="30"/>
  <c r="I20" i="30" s="1"/>
  <c r="J20" i="30" s="1"/>
  <c r="H39" i="31"/>
  <c r="I39" i="31" s="1"/>
  <c r="J39" i="31" s="1"/>
  <c r="H26" i="31"/>
  <c r="I26" i="31" s="1"/>
  <c r="J26" i="31" s="1"/>
  <c r="H22" i="31"/>
  <c r="I22" i="31" s="1"/>
  <c r="J22" i="31" s="1"/>
  <c r="H29" i="31"/>
  <c r="I29" i="31" s="1"/>
  <c r="J29" i="31" s="1"/>
  <c r="S67" i="31"/>
  <c r="S55" i="31"/>
  <c r="S36" i="31"/>
  <c r="S24" i="31"/>
  <c r="S15" i="31"/>
  <c r="S59" i="30"/>
  <c r="S49" i="30"/>
  <c r="S33" i="30"/>
  <c r="S13" i="30"/>
  <c r="S59" i="31"/>
  <c r="S50" i="31"/>
  <c r="S42" i="31"/>
  <c r="S29" i="31"/>
  <c r="S66" i="30"/>
  <c r="S48" i="30"/>
  <c r="S32" i="30"/>
  <c r="S61" i="30"/>
  <c r="B13" i="33"/>
  <c r="S57" i="31"/>
  <c r="S34" i="31"/>
  <c r="S64" i="30"/>
  <c r="S53" i="30"/>
  <c r="S37" i="30"/>
  <c r="S19" i="30"/>
  <c r="B8" i="33"/>
  <c r="D22" i="33"/>
  <c r="D51" i="33"/>
  <c r="D15" i="33"/>
  <c r="D25" i="33" s="1"/>
  <c r="D39" i="33"/>
  <c r="D35" i="33"/>
  <c r="D34" i="33"/>
  <c r="D68" i="33"/>
  <c r="S65" i="31"/>
  <c r="S44" i="31"/>
  <c r="S32" i="31"/>
  <c r="S44" i="30"/>
  <c r="D62" i="33"/>
  <c r="D20" i="33"/>
  <c r="D16" i="33"/>
  <c r="D41" i="33"/>
  <c r="D31" i="33"/>
  <c r="D32" i="33"/>
  <c r="D58" i="33"/>
  <c r="D49" i="33"/>
  <c r="D71" i="33"/>
  <c r="D6" i="33"/>
  <c r="S5" i="31"/>
  <c r="S56" i="31"/>
  <c r="S11" i="29"/>
  <c r="N19" i="36"/>
  <c r="N31" i="36"/>
  <c r="N15" i="37"/>
  <c r="N63" i="37"/>
  <c r="N11" i="38"/>
  <c r="N24" i="38"/>
  <c r="N24" i="39"/>
  <c r="N36" i="39"/>
  <c r="N18" i="36"/>
  <c r="N26" i="37"/>
  <c r="N38" i="37"/>
  <c r="N50" i="37"/>
  <c r="N62" i="37"/>
  <c r="N10" i="38"/>
  <c r="N20" i="38"/>
  <c r="N23" i="39"/>
  <c r="N17" i="36"/>
  <c r="N65" i="36"/>
  <c r="N25" i="37"/>
  <c r="N9" i="38"/>
  <c r="N22" i="38"/>
  <c r="N58" i="38"/>
  <c r="N22" i="39"/>
  <c r="N70" i="39"/>
  <c r="N17" i="40"/>
  <c r="N31" i="40"/>
  <c r="N43" i="40"/>
  <c r="N55" i="40"/>
  <c r="N67" i="40"/>
  <c r="N17" i="41"/>
  <c r="N29" i="41"/>
  <c r="N42" i="41"/>
  <c r="N66" i="42"/>
  <c r="N49" i="42"/>
  <c r="N25" i="40"/>
  <c r="N36" i="40"/>
  <c r="N70" i="40"/>
  <c r="N31" i="41"/>
  <c r="N68" i="42"/>
  <c r="N50" i="42"/>
  <c r="N21" i="40"/>
  <c r="N33" i="40"/>
  <c r="N45" i="40"/>
  <c r="N18" i="41"/>
  <c r="N30" i="41"/>
  <c r="N41" i="41"/>
  <c r="N47" i="42"/>
  <c r="N71" i="42"/>
  <c r="N70" i="43"/>
  <c r="N52" i="43"/>
  <c r="N59" i="43"/>
  <c r="N28" i="44"/>
  <c r="N34" i="44"/>
  <c r="N8" i="44"/>
  <c r="N63" i="43"/>
  <c r="N40" i="44"/>
  <c r="N33" i="44"/>
  <c r="N31" i="44"/>
  <c r="N55" i="43"/>
  <c r="N72" i="43"/>
  <c r="N61" i="43"/>
  <c r="N6" i="44"/>
  <c r="N22" i="44"/>
  <c r="N64" i="44"/>
  <c r="N14" i="44"/>
  <c r="N66" i="44"/>
  <c r="N7" i="45"/>
  <c r="N44" i="45"/>
  <c r="N61" i="45"/>
  <c r="N46" i="45"/>
  <c r="N37" i="45"/>
  <c r="N52" i="45"/>
  <c r="N66" i="45"/>
  <c r="N67" i="45"/>
  <c r="N8" i="36"/>
  <c r="N9" i="36"/>
  <c r="N22" i="36"/>
  <c r="N58" i="36"/>
  <c r="N18" i="37"/>
  <c r="N28" i="38"/>
  <c r="N62" i="38"/>
  <c r="N15" i="39"/>
  <c r="N27" i="39"/>
  <c r="N63" i="39"/>
  <c r="N21" i="36"/>
  <c r="N17" i="37"/>
  <c r="N65" i="37"/>
  <c r="N12" i="38"/>
  <c r="N23" i="38"/>
  <c r="N36" i="38"/>
  <c r="N13" i="39"/>
  <c r="N25" i="39"/>
  <c r="N20" i="36"/>
  <c r="N16" i="37"/>
  <c r="N28" i="37"/>
  <c r="N40" i="37"/>
  <c r="N25" i="38"/>
  <c r="N35" i="38"/>
  <c r="N14" i="39"/>
  <c r="N26" i="39"/>
  <c r="N20" i="40"/>
  <c r="N32" i="41"/>
  <c r="N69" i="41"/>
  <c r="N69" i="42"/>
  <c r="N52" i="42"/>
  <c r="N58" i="42"/>
  <c r="N16" i="40"/>
  <c r="N28" i="40"/>
  <c r="N22" i="41"/>
  <c r="N34" i="41"/>
  <c r="N46" i="41"/>
  <c r="N70" i="42"/>
  <c r="N53" i="42"/>
  <c r="N57" i="42"/>
  <c r="N24" i="40"/>
  <c r="N21" i="41"/>
  <c r="N44" i="41"/>
  <c r="N56" i="41"/>
  <c r="N68" i="41"/>
  <c r="N67" i="42"/>
  <c r="N51" i="42"/>
  <c r="N59" i="42"/>
  <c r="N44" i="43"/>
  <c r="N54" i="43"/>
  <c r="N20" i="44"/>
  <c r="N46" i="43"/>
  <c r="N55" i="44"/>
  <c r="N9" i="44"/>
  <c r="N45" i="43"/>
  <c r="N3" i="44"/>
  <c r="N65" i="44"/>
  <c r="N8" i="45"/>
  <c r="N11" i="45"/>
  <c r="N59" i="45"/>
  <c r="N62" i="45"/>
  <c r="N34" i="45"/>
  <c r="N19" i="45"/>
  <c r="N68" i="45"/>
  <c r="N10" i="36"/>
  <c r="N11" i="36"/>
  <c r="N25" i="36"/>
  <c r="N9" i="37"/>
  <c r="N21" i="37"/>
  <c r="N17" i="38"/>
  <c r="N31" i="38"/>
  <c r="N65" i="38"/>
  <c r="N30" i="39"/>
  <c r="N12" i="36"/>
  <c r="N24" i="36"/>
  <c r="N36" i="36"/>
  <c r="N8" i="37"/>
  <c r="N20" i="37"/>
  <c r="N15" i="38"/>
  <c r="N26" i="38"/>
  <c r="N40" i="38"/>
  <c r="N16" i="39"/>
  <c r="N28" i="39"/>
  <c r="N40" i="39"/>
  <c r="N13" i="40"/>
  <c r="N23" i="36"/>
  <c r="N35" i="36"/>
  <c r="N19" i="37"/>
  <c r="N31" i="37"/>
  <c r="N16" i="38"/>
  <c r="N38" i="38"/>
  <c r="N50" i="38"/>
  <c r="N63" i="38"/>
  <c r="N17" i="39"/>
  <c r="N29" i="39"/>
  <c r="N41" i="39"/>
  <c r="N23" i="40"/>
  <c r="N23" i="41"/>
  <c r="N55" i="42"/>
  <c r="N73" i="42"/>
  <c r="N63" i="42"/>
  <c r="N30" i="40"/>
  <c r="N25" i="41"/>
  <c r="N37" i="41"/>
  <c r="N44" i="42"/>
  <c r="N72" i="42"/>
  <c r="N61" i="42"/>
  <c r="N62" i="42"/>
  <c r="N15" i="40"/>
  <c r="N26" i="40"/>
  <c r="N63" i="40"/>
  <c r="N24" i="41"/>
  <c r="N71" i="41"/>
  <c r="N54" i="42"/>
  <c r="N66" i="43"/>
  <c r="N47" i="43"/>
  <c r="N56" i="43"/>
  <c r="N73" i="43"/>
  <c r="N62" i="43"/>
  <c r="N58" i="44"/>
  <c r="N16" i="44"/>
  <c r="N50" i="43"/>
  <c r="N23" i="44"/>
  <c r="N48" i="43"/>
  <c r="N29" i="44"/>
  <c r="N5" i="44"/>
  <c r="N56" i="45"/>
  <c r="N33" i="45"/>
  <c r="N57" i="45"/>
  <c r="N12" i="45"/>
  <c r="N13" i="45"/>
  <c r="N15" i="45"/>
  <c r="N35" i="45"/>
  <c r="N65" i="45"/>
  <c r="N40" i="36"/>
  <c r="N24" i="37"/>
  <c r="N8" i="38"/>
  <c r="N45" i="39"/>
  <c r="N11" i="37"/>
  <c r="N31" i="39"/>
  <c r="N62" i="36"/>
  <c r="N20" i="39"/>
  <c r="N67" i="39"/>
  <c r="N46" i="42"/>
  <c r="N48" i="42"/>
  <c r="N64" i="42"/>
  <c r="N45" i="42"/>
  <c r="N21" i="44"/>
  <c r="N58" i="43"/>
  <c r="N12" i="44"/>
  <c r="N57" i="43"/>
  <c r="N25" i="44"/>
  <c r="N60" i="45"/>
  <c r="N36" i="37"/>
  <c r="N21" i="38"/>
  <c r="N55" i="39"/>
  <c r="N23" i="37"/>
  <c r="N43" i="39"/>
  <c r="N26" i="36"/>
  <c r="N10" i="37"/>
  <c r="N58" i="37"/>
  <c r="N14" i="40"/>
  <c r="N22" i="40"/>
  <c r="N68" i="40"/>
  <c r="N56" i="42"/>
  <c r="N68" i="43"/>
  <c r="N30" i="44"/>
  <c r="N6" i="45"/>
  <c r="N45" i="45"/>
  <c r="S16" i="30"/>
  <c r="N16" i="36"/>
  <c r="N21" i="39"/>
  <c r="N35" i="37"/>
  <c r="N18" i="38"/>
  <c r="N38" i="36"/>
  <c r="N22" i="37"/>
  <c r="N27" i="40"/>
  <c r="N14" i="41"/>
  <c r="N16" i="41"/>
  <c r="N64" i="41"/>
  <c r="N29" i="40"/>
  <c r="N15" i="41"/>
  <c r="N49" i="43"/>
  <c r="N64" i="43"/>
  <c r="N69" i="43"/>
  <c r="N67" i="43"/>
  <c r="S8" i="30"/>
  <c r="N28" i="36"/>
  <c r="N12" i="37"/>
  <c r="N33" i="39"/>
  <c r="N15" i="36"/>
  <c r="N63" i="36"/>
  <c r="N68" i="39"/>
  <c r="N50" i="36"/>
  <c r="N19" i="38"/>
  <c r="N40" i="40"/>
  <c r="N26" i="41"/>
  <c r="N28" i="41"/>
  <c r="N41" i="40"/>
  <c r="N27" i="41"/>
  <c r="N71" i="43"/>
  <c r="N53" i="43"/>
  <c r="N13" i="44"/>
  <c r="N51" i="43"/>
  <c r="N59" i="44"/>
  <c r="N2" i="44"/>
  <c r="N58" i="45"/>
  <c r="N53" i="45"/>
  <c r="S54" i="31"/>
  <c r="S47" i="29"/>
  <c r="N43" i="36"/>
  <c r="N48" i="38"/>
  <c r="N48" i="39"/>
  <c r="N45" i="38"/>
  <c r="N48" i="37"/>
  <c r="N44" i="38"/>
  <c r="N54" i="41"/>
  <c r="N39" i="42"/>
  <c r="N38" i="42"/>
  <c r="N53" i="41"/>
  <c r="N40" i="43"/>
  <c r="N63" i="44"/>
  <c r="N39" i="45"/>
  <c r="N45" i="36"/>
  <c r="N51" i="39"/>
  <c r="N46" i="36"/>
  <c r="N49" i="39"/>
  <c r="N44" i="36"/>
  <c r="N47" i="38"/>
  <c r="N50" i="39"/>
  <c r="N51" i="40"/>
  <c r="N41" i="42"/>
  <c r="N48" i="40"/>
  <c r="N40" i="42"/>
  <c r="N61" i="44"/>
  <c r="N47" i="45"/>
  <c r="N50" i="45"/>
  <c r="N48" i="36"/>
  <c r="N46" i="37"/>
  <c r="N53" i="39"/>
  <c r="N44" i="37"/>
  <c r="N52" i="39"/>
  <c r="N47" i="36"/>
  <c r="N43" i="37"/>
  <c r="N49" i="40"/>
  <c r="N53" i="40"/>
  <c r="N49" i="41"/>
  <c r="N50" i="40"/>
  <c r="N42" i="42"/>
  <c r="N38" i="44"/>
  <c r="N39" i="43"/>
  <c r="N38" i="43"/>
  <c r="N50" i="44"/>
  <c r="N46" i="44"/>
  <c r="N48" i="45"/>
  <c r="N51" i="45"/>
  <c r="N43" i="38"/>
  <c r="N45" i="37"/>
  <c r="N52" i="40"/>
  <c r="N37" i="43"/>
  <c r="N51" i="41"/>
  <c r="N52" i="41"/>
  <c r="N50" i="41"/>
  <c r="N42" i="43"/>
  <c r="N41" i="43"/>
  <c r="N37" i="42"/>
  <c r="N45" i="44"/>
  <c r="N49" i="45"/>
  <c r="S14" i="31"/>
  <c r="N46" i="38"/>
  <c r="N47" i="37"/>
  <c r="S12" i="30"/>
  <c r="N61" i="22"/>
  <c r="N57" i="22"/>
  <c r="N53" i="22"/>
  <c r="N49" i="22"/>
  <c r="N41" i="22"/>
  <c r="N37" i="22"/>
  <c r="N33" i="22"/>
  <c r="N29" i="22"/>
  <c r="N13" i="22"/>
  <c r="N5" i="22"/>
  <c r="H12" i="30"/>
  <c r="I12" i="30" s="1"/>
  <c r="J12" i="30" s="1"/>
  <c r="H28" i="30"/>
  <c r="I28" i="30" s="1"/>
  <c r="J28" i="30" s="1"/>
  <c r="H16" i="30"/>
  <c r="I16" i="30" s="1"/>
  <c r="J16" i="30" s="1"/>
  <c r="H16" i="31"/>
  <c r="I16" i="31" s="1"/>
  <c r="J16" i="31" s="1"/>
  <c r="S63" i="31"/>
  <c r="S64" i="31"/>
  <c r="S51" i="31"/>
  <c r="S43" i="31"/>
  <c r="S31" i="31"/>
  <c r="S23" i="31"/>
  <c r="S12" i="31"/>
  <c r="S4" i="31"/>
  <c r="S58" i="30"/>
  <c r="S42" i="30"/>
  <c r="S25" i="30"/>
  <c r="S9" i="30"/>
  <c r="S28" i="31"/>
  <c r="S65" i="30"/>
  <c r="S47" i="30"/>
  <c r="S31" i="30"/>
  <c r="S52" i="30"/>
  <c r="D11" i="33"/>
  <c r="D47" i="33"/>
  <c r="D60" i="33" s="1"/>
  <c r="D27" i="33"/>
  <c r="D55" i="33"/>
  <c r="D50" i="33"/>
  <c r="D28" i="33"/>
  <c r="S53" i="31"/>
  <c r="S45" i="31"/>
  <c r="S27" i="31"/>
  <c r="S10" i="31"/>
  <c r="S63" i="30"/>
  <c r="S46" i="30"/>
  <c r="S30" i="30"/>
  <c r="S15" i="30"/>
  <c r="S25" i="31"/>
  <c r="S27" i="30"/>
  <c r="B74" i="33"/>
  <c r="S52" i="31"/>
  <c r="S39" i="31"/>
  <c r="S26" i="31"/>
  <c r="B43" i="33"/>
  <c r="B36" i="33"/>
  <c r="S18" i="30"/>
  <c r="S28" i="30"/>
  <c r="S11" i="31"/>
  <c r="H14" i="30"/>
  <c r="I14" i="30" s="1"/>
  <c r="J14" i="30" s="1"/>
  <c r="H63" i="30"/>
  <c r="I63" i="30" s="1"/>
  <c r="J63" i="30" s="1"/>
  <c r="H66" i="31"/>
  <c r="I66" i="31" s="1"/>
  <c r="J66" i="31" s="1"/>
  <c r="H31" i="31"/>
  <c r="I31" i="31" s="1"/>
  <c r="J31" i="31" s="1"/>
  <c r="E39" i="33"/>
  <c r="S62" i="31"/>
  <c r="S30" i="31"/>
  <c r="S67" i="30"/>
  <c r="S57" i="30"/>
  <c r="S41" i="30"/>
  <c r="S21" i="30"/>
  <c r="S5" i="30"/>
  <c r="S46" i="31"/>
  <c r="S35" i="31"/>
  <c r="S22" i="31"/>
  <c r="S56" i="30"/>
  <c r="S40" i="30"/>
  <c r="S36" i="30"/>
  <c r="B25" i="33"/>
  <c r="S41" i="31"/>
  <c r="S20" i="31"/>
  <c r="S6" i="31"/>
  <c r="S62" i="30"/>
  <c r="S45" i="30"/>
  <c r="S29" i="30"/>
  <c r="S11" i="30"/>
  <c r="S18" i="31"/>
  <c r="D17" i="33"/>
  <c r="D33" i="33"/>
  <c r="E33" i="33" s="1"/>
  <c r="D38" i="33"/>
  <c r="D30" i="33"/>
  <c r="D66" i="33"/>
  <c r="D7" i="33"/>
  <c r="S48" i="31"/>
  <c r="S38" i="31"/>
  <c r="S60" i="30"/>
  <c r="D19" i="33"/>
  <c r="D63" i="33"/>
  <c r="D65" i="33" s="1"/>
  <c r="D37" i="33"/>
  <c r="D73" i="33"/>
  <c r="D36" i="33"/>
  <c r="D70" i="33"/>
  <c r="S14" i="30"/>
  <c r="S26" i="30"/>
  <c r="S9" i="31"/>
  <c r="H10" i="30"/>
  <c r="I10" i="30" s="1"/>
  <c r="J10" i="30" s="1"/>
  <c r="S61" i="31"/>
  <c r="S47" i="31"/>
  <c r="S37" i="31"/>
  <c r="S16" i="31"/>
  <c r="S8" i="31"/>
  <c r="S50" i="30"/>
  <c r="S34" i="30"/>
  <c r="S17" i="30"/>
  <c r="S60" i="31"/>
  <c r="S21" i="31"/>
  <c r="S55" i="30"/>
  <c r="S39" i="30"/>
  <c r="S17" i="31"/>
  <c r="D12" i="33"/>
  <c r="D69" i="33"/>
  <c r="S49" i="31"/>
  <c r="S40" i="31"/>
  <c r="S19" i="31"/>
  <c r="S54" i="30"/>
  <c r="S38" i="30"/>
  <c r="S23" i="30"/>
  <c r="S7" i="30"/>
  <c r="S43" i="30"/>
  <c r="S66" i="31"/>
  <c r="S33" i="31"/>
  <c r="S51" i="30"/>
  <c r="B60" i="33"/>
  <c r="S7" i="31"/>
  <c r="S6" i="30"/>
  <c r="S10" i="30"/>
  <c r="S22" i="30"/>
  <c r="C58" i="33"/>
  <c r="C6" i="33"/>
  <c r="E6" i="33" s="1"/>
  <c r="C31" i="33"/>
  <c r="E31" i="33" s="1"/>
  <c r="C22" i="33"/>
  <c r="E22" i="33" s="1"/>
  <c r="C15" i="33"/>
  <c r="C41" i="33"/>
  <c r="C11" i="33"/>
  <c r="E11" i="33" s="1"/>
  <c r="C73" i="33"/>
  <c r="E73" i="33" s="1"/>
  <c r="C35" i="33"/>
  <c r="E35" i="33" s="1"/>
  <c r="C32" i="33"/>
  <c r="E32" i="33" s="1"/>
  <c r="C54" i="33"/>
  <c r="E54" i="33" s="1"/>
  <c r="C48" i="33"/>
  <c r="E48" i="33" s="1"/>
  <c r="C69" i="33"/>
  <c r="C16" i="33"/>
  <c r="E16" i="33" s="1"/>
  <c r="C40" i="33"/>
  <c r="E40" i="33" s="1"/>
  <c r="C7" i="33"/>
  <c r="C68" i="33"/>
  <c r="C51" i="33"/>
  <c r="E51" i="33" s="1"/>
  <c r="C56" i="33"/>
  <c r="E56" i="33" s="1"/>
  <c r="C53" i="33"/>
  <c r="E53" i="33" s="1"/>
  <c r="C17" i="33"/>
  <c r="C50" i="33"/>
  <c r="E50" i="33" s="1"/>
  <c r="C62" i="33"/>
  <c r="E62" i="33" s="1"/>
  <c r="C21" i="33"/>
  <c r="E21" i="33" s="1"/>
  <c r="C18" i="33"/>
  <c r="E18" i="33" s="1"/>
  <c r="E14" i="33"/>
  <c r="C30" i="33"/>
  <c r="E30" i="33" s="1"/>
  <c r="C27" i="33"/>
  <c r="F3" i="33"/>
  <c r="C28" i="33"/>
  <c r="C63" i="33"/>
  <c r="E63" i="33" s="1"/>
  <c r="C37" i="33"/>
  <c r="C47" i="33"/>
  <c r="E26" i="33"/>
  <c r="C52" i="33"/>
  <c r="E52" i="33" s="1"/>
  <c r="C34" i="33"/>
  <c r="E34" i="33" s="1"/>
  <c r="C72" i="33"/>
  <c r="E72" i="33" s="1"/>
  <c r="C24" i="33"/>
  <c r="E24" i="33" s="1"/>
  <c r="C20" i="33"/>
  <c r="E20" i="33" s="1"/>
  <c r="C42" i="33"/>
  <c r="E42" i="33" s="1"/>
  <c r="C38" i="33"/>
  <c r="C12" i="33"/>
  <c r="E44" i="33"/>
  <c r="C66" i="33"/>
  <c r="C29" i="33"/>
  <c r="E29" i="33" s="1"/>
  <c r="C55" i="33"/>
  <c r="E55" i="33" s="1"/>
  <c r="C49" i="33"/>
  <c r="E49" i="33" s="1"/>
  <c r="C71" i="33"/>
  <c r="E71" i="33" s="1"/>
  <c r="H12" i="29"/>
  <c r="I12" i="29" s="1"/>
  <c r="H37" i="31"/>
  <c r="I37" i="31" s="1"/>
  <c r="J37" i="31" s="1"/>
  <c r="H16" i="29"/>
  <c r="I16" i="29" s="1"/>
  <c r="H50" i="29"/>
  <c r="I50" i="29" s="1"/>
  <c r="H53" i="29"/>
  <c r="I53" i="29" s="1"/>
  <c r="H20" i="29"/>
  <c r="I20" i="29" s="1"/>
  <c r="H40" i="29"/>
  <c r="I40" i="29" s="1"/>
  <c r="H24" i="29"/>
  <c r="I24" i="29" s="1"/>
  <c r="H60" i="29"/>
  <c r="I60" i="29" s="1"/>
  <c r="H63" i="29"/>
  <c r="I63" i="29" s="1"/>
  <c r="H56" i="29"/>
  <c r="I56" i="29" s="1"/>
  <c r="H67" i="29"/>
  <c r="I67" i="29" s="1"/>
  <c r="H49" i="29"/>
  <c r="I49" i="29" s="1"/>
  <c r="H33" i="29"/>
  <c r="I33" i="29" s="1"/>
  <c r="H10" i="29"/>
  <c r="I10" i="29" s="1"/>
  <c r="H28" i="29"/>
  <c r="I28" i="29" s="1"/>
  <c r="H38" i="29"/>
  <c r="I38" i="29" s="1"/>
  <c r="H31" i="29"/>
  <c r="I31" i="29" s="1"/>
  <c r="H46" i="29"/>
  <c r="I46" i="29" s="1"/>
  <c r="H43" i="29"/>
  <c r="I43" i="29" s="1"/>
  <c r="H27" i="29"/>
  <c r="I27" i="29" s="1"/>
  <c r="H9" i="29"/>
  <c r="I9" i="29" s="1"/>
  <c r="F14" i="33" s="1"/>
  <c r="H35" i="29"/>
  <c r="I35" i="29" s="1"/>
  <c r="H48" i="29"/>
  <c r="I48" i="29" s="1"/>
  <c r="H42" i="29"/>
  <c r="I42" i="29" s="1"/>
  <c r="H19" i="29"/>
  <c r="I19" i="29" s="1"/>
  <c r="H30" i="29"/>
  <c r="I30" i="29" s="1"/>
  <c r="H66" i="29"/>
  <c r="I66" i="29" s="1"/>
  <c r="H47" i="29"/>
  <c r="I47" i="29" s="1"/>
  <c r="H23" i="29"/>
  <c r="I23" i="29" s="1"/>
  <c r="H34" i="29"/>
  <c r="I34" i="29" s="1"/>
  <c r="H32" i="29"/>
  <c r="I32" i="29" s="1"/>
  <c r="H21" i="29"/>
  <c r="I21" i="29" s="1"/>
  <c r="H39" i="29"/>
  <c r="I39" i="29" s="1"/>
  <c r="H26" i="29"/>
  <c r="I26" i="29" s="1"/>
  <c r="H54" i="29"/>
  <c r="I54" i="29" s="1"/>
  <c r="H7" i="29"/>
  <c r="I7" i="29" s="1"/>
  <c r="F67" i="33" s="1"/>
  <c r="H29" i="29"/>
  <c r="I29" i="29" s="1"/>
  <c r="H25" i="29"/>
  <c r="I25" i="29" s="1"/>
  <c r="H65" i="29"/>
  <c r="I65" i="29" s="1"/>
  <c r="H61" i="29"/>
  <c r="I61" i="29" s="1"/>
  <c r="H45" i="29"/>
  <c r="I45" i="29" s="1"/>
  <c r="H62" i="29"/>
  <c r="I62" i="29" s="1"/>
  <c r="H57" i="29"/>
  <c r="I57" i="29" s="1"/>
  <c r="H11" i="29"/>
  <c r="I11" i="29" s="1"/>
  <c r="F4" i="33" s="1"/>
  <c r="H59" i="29"/>
  <c r="I59" i="29" s="1"/>
  <c r="H37" i="29"/>
  <c r="I37" i="29" s="1"/>
  <c r="H22" i="29"/>
  <c r="I22" i="29" s="1"/>
  <c r="H51" i="29"/>
  <c r="I51" i="29" s="1"/>
  <c r="H14" i="29"/>
  <c r="I14" i="29" s="1"/>
  <c r="H64" i="29"/>
  <c r="I64" i="29" s="1"/>
  <c r="H13" i="29"/>
  <c r="I13" i="29" s="1"/>
  <c r="F44" i="33" s="1"/>
  <c r="H6" i="29"/>
  <c r="I6" i="29" s="1"/>
  <c r="H41" i="29"/>
  <c r="I41" i="29" s="1"/>
  <c r="H52" i="29"/>
  <c r="I52" i="29" s="1"/>
  <c r="H36" i="29"/>
  <c r="I36" i="29" s="1"/>
  <c r="H44" i="29"/>
  <c r="I44" i="29" s="1"/>
  <c r="H17" i="29"/>
  <c r="I17" i="29" s="1"/>
  <c r="H54" i="30"/>
  <c r="I54" i="30" s="1"/>
  <c r="J54" i="30" s="1"/>
  <c r="H46" i="30"/>
  <c r="I46" i="30" s="1"/>
  <c r="J46" i="30" s="1"/>
  <c r="H38" i="30"/>
  <c r="I38" i="30" s="1"/>
  <c r="J38" i="30" s="1"/>
  <c r="H30" i="30"/>
  <c r="I30" i="30" s="1"/>
  <c r="J30" i="30" s="1"/>
  <c r="J58" i="29"/>
  <c r="H24" i="31"/>
  <c r="I24" i="31" s="1"/>
  <c r="J24" i="31" s="1"/>
  <c r="H20" i="31"/>
  <c r="I20" i="31" s="1"/>
  <c r="J20" i="31" s="1"/>
  <c r="H4" i="30"/>
  <c r="I4" i="30" s="1"/>
  <c r="J4" i="30" s="1"/>
  <c r="J5" i="31"/>
  <c r="J7" i="31"/>
  <c r="I60" i="31"/>
  <c r="J60" i="31" s="1"/>
  <c r="I56" i="31"/>
  <c r="J56" i="31" s="1"/>
  <c r="I4" i="31"/>
  <c r="I64" i="31"/>
  <c r="J64" i="31" s="1"/>
  <c r="I58" i="31"/>
  <c r="J58" i="31" s="1"/>
  <c r="I40" i="31"/>
  <c r="J40" i="31" s="1"/>
  <c r="I32" i="31"/>
  <c r="J32" i="31" s="1"/>
  <c r="I23" i="31"/>
  <c r="J23" i="31" s="1"/>
  <c r="I61" i="31"/>
  <c r="J61" i="31" s="1"/>
  <c r="I18" i="31"/>
  <c r="J18" i="31" s="1"/>
  <c r="I12" i="31"/>
  <c r="J12" i="31" s="1"/>
  <c r="I46" i="31"/>
  <c r="J46" i="31" s="1"/>
  <c r="I38" i="31"/>
  <c r="J38" i="31" s="1"/>
  <c r="I30" i="31"/>
  <c r="J30" i="31" s="1"/>
  <c r="I35" i="31"/>
  <c r="J35" i="31" s="1"/>
  <c r="I21" i="31"/>
  <c r="J21" i="31" s="1"/>
  <c r="I8" i="31"/>
  <c r="J8" i="31" s="1"/>
  <c r="I10" i="31"/>
  <c r="J10" i="31" s="1"/>
  <c r="I43" i="31"/>
  <c r="J43" i="31" s="1"/>
  <c r="I15" i="31"/>
  <c r="J15" i="31" s="1"/>
  <c r="I33" i="31"/>
  <c r="J33" i="31" s="1"/>
  <c r="B75" i="31"/>
  <c r="I52" i="31"/>
  <c r="J52" i="31" s="1"/>
  <c r="I44" i="31"/>
  <c r="J44" i="31" s="1"/>
  <c r="I36" i="31"/>
  <c r="J36" i="31" s="1"/>
  <c r="I28" i="31"/>
  <c r="J28" i="31" s="1"/>
  <c r="I27" i="31"/>
  <c r="J27" i="31" s="1"/>
  <c r="I19" i="31"/>
  <c r="J19" i="31" s="1"/>
  <c r="I41" i="31"/>
  <c r="J41" i="31" s="1"/>
  <c r="B77" i="31"/>
  <c r="I48" i="31"/>
  <c r="J48" i="31" s="1"/>
  <c r="I50" i="31"/>
  <c r="J50" i="31" s="1"/>
  <c r="I42" i="31"/>
  <c r="J42" i="31" s="1"/>
  <c r="I34" i="31"/>
  <c r="J34" i="31" s="1"/>
  <c r="I65" i="31"/>
  <c r="J65" i="31" s="1"/>
  <c r="I25" i="31"/>
  <c r="J25" i="31" s="1"/>
  <c r="I17" i="31"/>
  <c r="J17" i="31" s="1"/>
  <c r="H50" i="30"/>
  <c r="H42" i="30"/>
  <c r="I42" i="30" s="1"/>
  <c r="J42" i="30" s="1"/>
  <c r="H34" i="30"/>
  <c r="I34" i="30" s="1"/>
  <c r="J34" i="30" s="1"/>
  <c r="H26" i="30"/>
  <c r="I26" i="30" s="1"/>
  <c r="J26" i="30" s="1"/>
  <c r="I49" i="30"/>
  <c r="J49" i="30" s="1"/>
  <c r="I44" i="30"/>
  <c r="J44" i="30" s="1"/>
  <c r="I58" i="30"/>
  <c r="J58" i="30" s="1"/>
  <c r="I53" i="30"/>
  <c r="J53" i="30" s="1"/>
  <c r="I37" i="30"/>
  <c r="J37" i="30" s="1"/>
  <c r="I62" i="30"/>
  <c r="J62" i="30" s="1"/>
  <c r="I33" i="30"/>
  <c r="J33" i="30" s="1"/>
  <c r="I52" i="30"/>
  <c r="J52" i="30" s="1"/>
  <c r="I36" i="30"/>
  <c r="J36" i="30" s="1"/>
  <c r="I41" i="30"/>
  <c r="J41" i="30" s="1"/>
  <c r="I22" i="30"/>
  <c r="J22" i="30" s="1"/>
  <c r="I45" i="30"/>
  <c r="J45" i="30" s="1"/>
  <c r="I18" i="30"/>
  <c r="J18" i="30" s="1"/>
  <c r="I66" i="30"/>
  <c r="J66" i="30" s="1"/>
  <c r="I65" i="30"/>
  <c r="J65" i="30" s="1"/>
  <c r="I51" i="30"/>
  <c r="J51" i="30" s="1"/>
  <c r="I43" i="30"/>
  <c r="J43" i="30" s="1"/>
  <c r="I35" i="30"/>
  <c r="J35" i="30" s="1"/>
  <c r="I61" i="30"/>
  <c r="J61" i="30" s="1"/>
  <c r="I59" i="30"/>
  <c r="J59" i="30" s="1"/>
  <c r="I6" i="30"/>
  <c r="J6" i="30" s="1"/>
  <c r="I29" i="30"/>
  <c r="J29" i="30" s="1"/>
  <c r="I67" i="30"/>
  <c r="J67" i="30" s="1"/>
  <c r="I55" i="30"/>
  <c r="J55" i="30" s="1"/>
  <c r="I47" i="30"/>
  <c r="J47" i="30" s="1"/>
  <c r="I39" i="30"/>
  <c r="J39" i="30" s="1"/>
  <c r="I31" i="30"/>
  <c r="J31" i="30" s="1"/>
  <c r="B77" i="30"/>
  <c r="B75" i="30"/>
  <c r="I57" i="30"/>
  <c r="J57" i="30" s="1"/>
  <c r="I27" i="30"/>
  <c r="J27" i="30" s="1"/>
  <c r="I64" i="30"/>
  <c r="J64" i="30" s="1"/>
  <c r="I60" i="30"/>
  <c r="J60" i="30" s="1"/>
  <c r="J8" i="29"/>
  <c r="B77" i="29"/>
  <c r="J18" i="29"/>
  <c r="J55" i="29"/>
  <c r="H4" i="29"/>
  <c r="B75" i="29"/>
  <c r="J15" i="29"/>
  <c r="S66" i="29"/>
  <c r="S62" i="29"/>
  <c r="S58" i="29"/>
  <c r="S54" i="29"/>
  <c r="S50" i="29"/>
  <c r="S46" i="29"/>
  <c r="S42" i="29"/>
  <c r="S38" i="29"/>
  <c r="S34" i="29"/>
  <c r="S30" i="29"/>
  <c r="S26" i="29"/>
  <c r="S22" i="29"/>
  <c r="S18" i="29"/>
  <c r="S14" i="29"/>
  <c r="S10" i="29"/>
  <c r="S6" i="29"/>
  <c r="N17" i="22"/>
  <c r="N9" i="22"/>
  <c r="N64" i="22"/>
  <c r="N60" i="22"/>
  <c r="N56" i="22"/>
  <c r="N52" i="22"/>
  <c r="N48" i="22"/>
  <c r="N44" i="22"/>
  <c r="N40" i="22"/>
  <c r="N36" i="22"/>
  <c r="N32" i="22"/>
  <c r="N28" i="22"/>
  <c r="N24" i="22"/>
  <c r="N20" i="22"/>
  <c r="N16" i="22"/>
  <c r="N12" i="22"/>
  <c r="N8" i="22"/>
  <c r="N4" i="22"/>
  <c r="J5" i="29"/>
  <c r="S65" i="29"/>
  <c r="S61" i="29"/>
  <c r="S57" i="29"/>
  <c r="S53" i="29"/>
  <c r="S49" i="29"/>
  <c r="S45" i="29"/>
  <c r="S41" i="29"/>
  <c r="S37" i="29"/>
  <c r="S33" i="29"/>
  <c r="S29" i="29"/>
  <c r="S25" i="29"/>
  <c r="S21" i="29"/>
  <c r="S17" i="29"/>
  <c r="S13" i="29"/>
  <c r="S9" i="29"/>
  <c r="S5" i="29"/>
  <c r="N65" i="22"/>
  <c r="N45" i="22"/>
  <c r="N21" i="22"/>
  <c r="N63" i="22"/>
  <c r="N59" i="22"/>
  <c r="N55" i="22"/>
  <c r="N51" i="22"/>
  <c r="N47" i="22"/>
  <c r="N43" i="22"/>
  <c r="N39" i="22"/>
  <c r="N35" i="22"/>
  <c r="N31" i="22"/>
  <c r="N27" i="22"/>
  <c r="N23" i="22"/>
  <c r="N19" i="22"/>
  <c r="N15" i="22"/>
  <c r="N11" i="22"/>
  <c r="N7" i="22"/>
  <c r="N3" i="22"/>
  <c r="S4" i="29"/>
  <c r="S64" i="29"/>
  <c r="S60" i="29"/>
  <c r="S56" i="29"/>
  <c r="S52" i="29"/>
  <c r="S48" i="29"/>
  <c r="S44" i="29"/>
  <c r="S40" i="29"/>
  <c r="S36" i="29"/>
  <c r="S32" i="29"/>
  <c r="S28" i="29"/>
  <c r="S24" i="29"/>
  <c r="S20" i="29"/>
  <c r="S16" i="29"/>
  <c r="S12" i="29"/>
  <c r="S8" i="29"/>
  <c r="N25" i="22"/>
  <c r="N62" i="22"/>
  <c r="N58" i="22"/>
  <c r="N54" i="22"/>
  <c r="N50" i="22"/>
  <c r="N46" i="22"/>
  <c r="N42" i="22"/>
  <c r="N38" i="22"/>
  <c r="N34" i="22"/>
  <c r="N30" i="22"/>
  <c r="N26" i="22"/>
  <c r="N22" i="22"/>
  <c r="N18" i="22"/>
  <c r="N14" i="22"/>
  <c r="N10" i="22"/>
  <c r="N6" i="22"/>
  <c r="N2" i="22"/>
  <c r="S67" i="29"/>
  <c r="S63" i="29"/>
  <c r="S59" i="29"/>
  <c r="S55" i="29"/>
  <c r="S51" i="29"/>
  <c r="S43" i="29"/>
  <c r="S39" i="29"/>
  <c r="S35" i="29"/>
  <c r="S31" i="29"/>
  <c r="S27" i="29"/>
  <c r="S23" i="29"/>
  <c r="S19" i="29"/>
  <c r="S15" i="29"/>
  <c r="G3" i="33" l="1"/>
  <c r="E70" i="33"/>
  <c r="E19" i="33"/>
  <c r="E9" i="33"/>
  <c r="E10" i="33" s="1"/>
  <c r="G4" i="33"/>
  <c r="G67" i="33"/>
  <c r="E12" i="33"/>
  <c r="E13" i="33" s="1"/>
  <c r="E27" i="33"/>
  <c r="E41" i="33"/>
  <c r="D74" i="33"/>
  <c r="D13" i="33"/>
  <c r="E38" i="33"/>
  <c r="E47" i="33"/>
  <c r="E28" i="33"/>
  <c r="E17" i="33"/>
  <c r="E68" i="33"/>
  <c r="E69" i="33"/>
  <c r="E15" i="33"/>
  <c r="E58" i="33"/>
  <c r="D43" i="33"/>
  <c r="D75" i="33" s="1"/>
  <c r="E7" i="33"/>
  <c r="E8" i="33" s="1"/>
  <c r="B75" i="33"/>
  <c r="D8" i="33"/>
  <c r="C8" i="33"/>
  <c r="F5" i="33"/>
  <c r="G5" i="33" s="1"/>
  <c r="F49" i="33"/>
  <c r="G49" i="33" s="1"/>
  <c r="F38" i="33"/>
  <c r="F24" i="33"/>
  <c r="G24" i="33" s="1"/>
  <c r="F46" i="33"/>
  <c r="G46" i="33" s="1"/>
  <c r="F48" i="33"/>
  <c r="G48" i="33" s="1"/>
  <c r="F17" i="33"/>
  <c r="G17" i="33" s="1"/>
  <c r="F27" i="33"/>
  <c r="G27" i="33" s="1"/>
  <c r="F30" i="33"/>
  <c r="G30" i="33" s="1"/>
  <c r="F40" i="33"/>
  <c r="G40" i="33" s="1"/>
  <c r="F18" i="33"/>
  <c r="G18" i="33" s="1"/>
  <c r="F69" i="33"/>
  <c r="F73" i="33"/>
  <c r="G73" i="33" s="1"/>
  <c r="F41" i="33"/>
  <c r="F39" i="33"/>
  <c r="G39" i="33" s="1"/>
  <c r="F61" i="33"/>
  <c r="G61" i="33" s="1"/>
  <c r="F28" i="33"/>
  <c r="F53" i="33"/>
  <c r="G53" i="33" s="1"/>
  <c r="F62" i="33"/>
  <c r="G62" i="33" s="1"/>
  <c r="F50" i="33"/>
  <c r="G50" i="33" s="1"/>
  <c r="F54" i="33"/>
  <c r="G54" i="33" s="1"/>
  <c r="F32" i="33"/>
  <c r="G32" i="33" s="1"/>
  <c r="F23" i="33"/>
  <c r="G23" i="33" s="1"/>
  <c r="F70" i="33"/>
  <c r="G14" i="33"/>
  <c r="F29" i="33"/>
  <c r="G29" i="33" s="1"/>
  <c r="F16" i="33"/>
  <c r="G16" i="33" s="1"/>
  <c r="F72" i="33"/>
  <c r="G72" i="33" s="1"/>
  <c r="F52" i="33"/>
  <c r="G52" i="33" s="1"/>
  <c r="F57" i="33"/>
  <c r="G57" i="33" s="1"/>
  <c r="F47" i="33"/>
  <c r="F37" i="33"/>
  <c r="E66" i="33"/>
  <c r="C74" i="33"/>
  <c r="C13" i="33"/>
  <c r="E65" i="33"/>
  <c r="F68" i="33"/>
  <c r="F63" i="33"/>
  <c r="G63" i="33" s="1"/>
  <c r="F51" i="33"/>
  <c r="G51" i="33" s="1"/>
  <c r="F7" i="33"/>
  <c r="F58" i="33"/>
  <c r="F9" i="33"/>
  <c r="F10" i="33" s="1"/>
  <c r="F31" i="33"/>
  <c r="G31" i="33" s="1"/>
  <c r="F21" i="33"/>
  <c r="G21" i="33" s="1"/>
  <c r="F6" i="33"/>
  <c r="G6" i="33" s="1"/>
  <c r="F19" i="33"/>
  <c r="F59" i="33"/>
  <c r="G59" i="33" s="1"/>
  <c r="F35" i="33"/>
  <c r="G35" i="33" s="1"/>
  <c r="F11" i="33"/>
  <c r="F15" i="33"/>
  <c r="C60" i="33"/>
  <c r="C36" i="33"/>
  <c r="E37" i="33"/>
  <c r="C43" i="33"/>
  <c r="F71" i="33"/>
  <c r="G71" i="33" s="1"/>
  <c r="F55" i="33"/>
  <c r="G55" i="33" s="1"/>
  <c r="F66" i="33"/>
  <c r="F12" i="33"/>
  <c r="F42" i="33"/>
  <c r="G42" i="33" s="1"/>
  <c r="F20" i="33"/>
  <c r="G20" i="33" s="1"/>
  <c r="F34" i="33"/>
  <c r="G34" i="33" s="1"/>
  <c r="F56" i="33"/>
  <c r="G56" i="33" s="1"/>
  <c r="F26" i="33"/>
  <c r="G44" i="33"/>
  <c r="C65" i="33"/>
  <c r="F33" i="33"/>
  <c r="G33" i="33" s="1"/>
  <c r="C25" i="33"/>
  <c r="F64" i="33"/>
  <c r="G64" i="33" s="1"/>
  <c r="F45" i="33"/>
  <c r="G45" i="33" s="1"/>
  <c r="J31" i="29"/>
  <c r="J20" i="29"/>
  <c r="J50" i="29"/>
  <c r="J23" i="29"/>
  <c r="J9" i="29"/>
  <c r="J54" i="29"/>
  <c r="J28" i="29"/>
  <c r="J32" i="29"/>
  <c r="J39" i="29"/>
  <c r="J48" i="29"/>
  <c r="J19" i="29"/>
  <c r="J43" i="29"/>
  <c r="J33" i="29"/>
  <c r="J12" i="29"/>
  <c r="J53" i="29"/>
  <c r="J27" i="29"/>
  <c r="J14" i="29"/>
  <c r="J46" i="29"/>
  <c r="J47" i="29"/>
  <c r="J49" i="29"/>
  <c r="J17" i="29"/>
  <c r="J66" i="29"/>
  <c r="J57" i="29"/>
  <c r="J67" i="29"/>
  <c r="J59" i="29"/>
  <c r="J63" i="29"/>
  <c r="J11" i="29"/>
  <c r="J29" i="29"/>
  <c r="J24" i="29"/>
  <c r="J10" i="29"/>
  <c r="J56" i="29"/>
  <c r="J60" i="29"/>
  <c r="J30" i="29"/>
  <c r="J38" i="29"/>
  <c r="J21" i="29"/>
  <c r="J40" i="29"/>
  <c r="J34" i="29"/>
  <c r="J35" i="29"/>
  <c r="J26" i="29"/>
  <c r="J16" i="29"/>
  <c r="J42" i="29"/>
  <c r="J7" i="29"/>
  <c r="J61" i="29"/>
  <c r="J6" i="29"/>
  <c r="J25" i="29"/>
  <c r="J62" i="29"/>
  <c r="J64" i="29"/>
  <c r="J44" i="29"/>
  <c r="J51" i="29"/>
  <c r="J52" i="29"/>
  <c r="J37" i="29"/>
  <c r="J65" i="29"/>
  <c r="J45" i="29"/>
  <c r="J22" i="29"/>
  <c r="J36" i="29"/>
  <c r="J13" i="29"/>
  <c r="J41" i="29"/>
  <c r="I50" i="30"/>
  <c r="J50" i="30" s="1"/>
  <c r="B73" i="31"/>
  <c r="I68" i="31"/>
  <c r="B76" i="31"/>
  <c r="J4" i="31"/>
  <c r="I4" i="29"/>
  <c r="F2" i="33" s="1"/>
  <c r="G2" i="33" s="1"/>
  <c r="G19" i="33" l="1"/>
  <c r="G70" i="33"/>
  <c r="E60" i="33"/>
  <c r="G7" i="33"/>
  <c r="G8" i="33" s="1"/>
  <c r="G12" i="33"/>
  <c r="G58" i="33"/>
  <c r="G68" i="33"/>
  <c r="G41" i="33"/>
  <c r="E25" i="33"/>
  <c r="G28" i="33"/>
  <c r="G47" i="33"/>
  <c r="G69" i="33"/>
  <c r="G38" i="33"/>
  <c r="E36" i="33"/>
  <c r="G15" i="33"/>
  <c r="F60" i="33"/>
  <c r="C75" i="33"/>
  <c r="F36" i="33"/>
  <c r="F22" i="33"/>
  <c r="G22" i="33" s="1"/>
  <c r="E74" i="33"/>
  <c r="G66" i="33"/>
  <c r="G26" i="33"/>
  <c r="F13" i="33"/>
  <c r="G65" i="33"/>
  <c r="F43" i="33"/>
  <c r="G11" i="33"/>
  <c r="F8" i="33"/>
  <c r="G9" i="33"/>
  <c r="G10" i="33" s="1"/>
  <c r="F74" i="33"/>
  <c r="E43" i="33"/>
  <c r="G37" i="33"/>
  <c r="F65" i="33"/>
  <c r="B76" i="29"/>
  <c r="B76" i="30"/>
  <c r="I68" i="30"/>
  <c r="B73" i="30"/>
  <c r="B72" i="30"/>
  <c r="J68" i="30"/>
  <c r="B72" i="31"/>
  <c r="J68" i="31"/>
  <c r="J4" i="29"/>
  <c r="I68" i="29"/>
  <c r="B73" i="29"/>
  <c r="G13" i="33" l="1"/>
  <c r="G60" i="33"/>
  <c r="G25" i="33"/>
  <c r="G74" i="33"/>
  <c r="G43" i="33"/>
  <c r="E75" i="33"/>
  <c r="G36" i="33"/>
  <c r="F25" i="33"/>
  <c r="F75" i="33" s="1"/>
  <c r="B72" i="29"/>
  <c r="J68" i="29"/>
  <c r="G75" i="33" l="1"/>
</calcChain>
</file>

<file path=xl/sharedStrings.xml><?xml version="1.0" encoding="utf-8"?>
<sst xmlns="http://schemas.openxmlformats.org/spreadsheetml/2006/main" count="5954" uniqueCount="283">
  <si>
    <t>Оклад</t>
  </si>
  <si>
    <t>Табельный номер</t>
  </si>
  <si>
    <t>Пол</t>
  </si>
  <si>
    <t>Отдел</t>
  </si>
  <si>
    <t>Должность</t>
  </si>
  <si>
    <t>Образование</t>
  </si>
  <si>
    <t>Дата найма</t>
  </si>
  <si>
    <t>Дата рождения</t>
  </si>
  <si>
    <t>Рабочий телефон</t>
  </si>
  <si>
    <t>жен</t>
  </si>
  <si>
    <t>Бухгалтерия</t>
  </si>
  <si>
    <t>Бухгалтер</t>
  </si>
  <si>
    <t>среднее специальное</t>
  </si>
  <si>
    <t>Главный бухгалтер</t>
  </si>
  <si>
    <t>высшее</t>
  </si>
  <si>
    <t>Кассир</t>
  </si>
  <si>
    <t>Экономист</t>
  </si>
  <si>
    <t>муж</t>
  </si>
  <si>
    <t>Зам. гл. бухгалтера</t>
  </si>
  <si>
    <t>Управление</t>
  </si>
  <si>
    <t>Референт</t>
  </si>
  <si>
    <t>Директор</t>
  </si>
  <si>
    <t>Зам. директора</t>
  </si>
  <si>
    <t>Финансовый директор</t>
  </si>
  <si>
    <t>Секретарь</t>
  </si>
  <si>
    <t>неполное высшее</t>
  </si>
  <si>
    <t>Рекламный отдел</t>
  </si>
  <si>
    <t>Начальник отдела</t>
  </si>
  <si>
    <t>Специалист по маркетингу</t>
  </si>
  <si>
    <t>Технологический отдел</t>
  </si>
  <si>
    <t>Главный технолог</t>
  </si>
  <si>
    <t>Машинистка</t>
  </si>
  <si>
    <t>Технолог</t>
  </si>
  <si>
    <t>среднее</t>
  </si>
  <si>
    <t>Верстальщик</t>
  </si>
  <si>
    <t>Ведущий специалист</t>
  </si>
  <si>
    <t>Технический корректор</t>
  </si>
  <si>
    <t>Технический специалист</t>
  </si>
  <si>
    <t>Художник</t>
  </si>
  <si>
    <t>Специалист по рекламе</t>
  </si>
  <si>
    <t>Менеджер</t>
  </si>
  <si>
    <t>Отдел продаж</t>
  </si>
  <si>
    <t xml:space="preserve">Менеджер </t>
  </si>
  <si>
    <t>Отдел худ. оформления</t>
  </si>
  <si>
    <t>Зам. начальника отдела</t>
  </si>
  <si>
    <t>Склад</t>
  </si>
  <si>
    <t>Кладовщик</t>
  </si>
  <si>
    <t>Грузчик</t>
  </si>
  <si>
    <t>Начальник склада</t>
  </si>
  <si>
    <t>Транспортный отдел</t>
  </si>
  <si>
    <t>Водитель</t>
  </si>
  <si>
    <t>Редакторский отдел</t>
  </si>
  <si>
    <t>Переводчик</t>
  </si>
  <si>
    <t>Зам. гл. редактора</t>
  </si>
  <si>
    <t>Редактор</t>
  </si>
  <si>
    <t>Корректор</t>
  </si>
  <si>
    <t>Главный редактор</t>
  </si>
  <si>
    <t>Диспетчер</t>
  </si>
  <si>
    <t>Телефон</t>
  </si>
  <si>
    <t>643201</t>
  </si>
  <si>
    <t>643214</t>
  </si>
  <si>
    <t>643231</t>
  </si>
  <si>
    <t>643213</t>
  </si>
  <si>
    <t>643223</t>
  </si>
  <si>
    <t>643210</t>
  </si>
  <si>
    <t>643220</t>
  </si>
  <si>
    <t>643217</t>
  </si>
  <si>
    <t>643218</t>
  </si>
  <si>
    <t>Айдарпашич</t>
  </si>
  <si>
    <t>Амина</t>
  </si>
  <si>
    <t>Александровна</t>
  </si>
  <si>
    <t>Вербицкая</t>
  </si>
  <si>
    <t>Елена</t>
  </si>
  <si>
    <t>Вадимовна</t>
  </si>
  <si>
    <t>Иванова</t>
  </si>
  <si>
    <t>Людмила</t>
  </si>
  <si>
    <t>Петровна</t>
  </si>
  <si>
    <t>Лобурец</t>
  </si>
  <si>
    <t>Диана</t>
  </si>
  <si>
    <t>Борисовна</t>
  </si>
  <si>
    <t>Алеев</t>
  </si>
  <si>
    <t>Леонид</t>
  </si>
  <si>
    <t>Иванович</t>
  </si>
  <si>
    <t>Левитин</t>
  </si>
  <si>
    <t>Евгений</t>
  </si>
  <si>
    <t>Валерьянович</t>
  </si>
  <si>
    <t>Богуславская</t>
  </si>
  <si>
    <t>Дарья</t>
  </si>
  <si>
    <t>Вячеславовна</t>
  </si>
  <si>
    <t>Иванов</t>
  </si>
  <si>
    <t>Александр</t>
  </si>
  <si>
    <t>Геннадиевич</t>
  </si>
  <si>
    <t>Васильев</t>
  </si>
  <si>
    <t>Сергеевич</t>
  </si>
  <si>
    <t>Федотова</t>
  </si>
  <si>
    <t>Инна</t>
  </si>
  <si>
    <t>Николаевна</t>
  </si>
  <si>
    <t>Прохорова</t>
  </si>
  <si>
    <t>Татьяна</t>
  </si>
  <si>
    <t>Максимов</t>
  </si>
  <si>
    <t>Андрей</t>
  </si>
  <si>
    <t>Леонидович</t>
  </si>
  <si>
    <t>Черкизова</t>
  </si>
  <si>
    <t>Владиславовна</t>
  </si>
  <si>
    <t>Горбачева</t>
  </si>
  <si>
    <t>Клавдия</t>
  </si>
  <si>
    <t>Валериевна</t>
  </si>
  <si>
    <t>Кипарисова</t>
  </si>
  <si>
    <t>Ирина</t>
  </si>
  <si>
    <t>Макарова</t>
  </si>
  <si>
    <t>Элина</t>
  </si>
  <si>
    <t>Дмитриевна</t>
  </si>
  <si>
    <t>Мозговая</t>
  </si>
  <si>
    <t>Орлова</t>
  </si>
  <si>
    <t>Марина</t>
  </si>
  <si>
    <t>Геннадиевна</t>
  </si>
  <si>
    <t>Савицкая</t>
  </si>
  <si>
    <t>Александра</t>
  </si>
  <si>
    <t>Саламатина</t>
  </si>
  <si>
    <t>Федоровна</t>
  </si>
  <si>
    <t>Сидоренко</t>
  </si>
  <si>
    <t>Синицына</t>
  </si>
  <si>
    <t>Вера</t>
  </si>
  <si>
    <t>Чаповская</t>
  </si>
  <si>
    <t>Эль-фалах</t>
  </si>
  <si>
    <t>Наима</t>
  </si>
  <si>
    <t>Юматова</t>
  </si>
  <si>
    <t>Сергеевна</t>
  </si>
  <si>
    <t>Патычук</t>
  </si>
  <si>
    <t>Валерий</t>
  </si>
  <si>
    <t>Шлайфер</t>
  </si>
  <si>
    <t>Сергей</t>
  </si>
  <si>
    <t>Дмитриевич</t>
  </si>
  <si>
    <t>Курносов</t>
  </si>
  <si>
    <t>Урбановский</t>
  </si>
  <si>
    <t>Константин</t>
  </si>
  <si>
    <t>Владимирович</t>
  </si>
  <si>
    <t>Арбузова</t>
  </si>
  <si>
    <t>Маргарита</t>
  </si>
  <si>
    <t>Ивановна</t>
  </si>
  <si>
    <t>Конищев</t>
  </si>
  <si>
    <t>Владимир</t>
  </si>
  <si>
    <t>Александрович</t>
  </si>
  <si>
    <t>Ильинский</t>
  </si>
  <si>
    <t>Шалашников</t>
  </si>
  <si>
    <t>Петрович</t>
  </si>
  <si>
    <t>Володина</t>
  </si>
  <si>
    <t>Валентина</t>
  </si>
  <si>
    <t>Кириловна</t>
  </si>
  <si>
    <t>Кулинич</t>
  </si>
  <si>
    <t>Полхова</t>
  </si>
  <si>
    <t>Мария</t>
  </si>
  <si>
    <t>Никитична</t>
  </si>
  <si>
    <t>Царева</t>
  </si>
  <si>
    <t>Игоревна</t>
  </si>
  <si>
    <t>Шаталова</t>
  </si>
  <si>
    <t>Игнатьевна</t>
  </si>
  <si>
    <t>Белозерова</t>
  </si>
  <si>
    <t>Ольга</t>
  </si>
  <si>
    <t>Владимировна</t>
  </si>
  <si>
    <t>Самсонова</t>
  </si>
  <si>
    <t>Светлана</t>
  </si>
  <si>
    <t>Андреевна</t>
  </si>
  <si>
    <t>Кожедуб</t>
  </si>
  <si>
    <t>Станислав</t>
  </si>
  <si>
    <t>Георгиева</t>
  </si>
  <si>
    <t>Ульяна</t>
  </si>
  <si>
    <t>Веселов</t>
  </si>
  <si>
    <t>Аркадий</t>
  </si>
  <si>
    <t>Тимофеевич</t>
  </si>
  <si>
    <t>Ильин</t>
  </si>
  <si>
    <t>Алексендрович</t>
  </si>
  <si>
    <t>Мамуладзе</t>
  </si>
  <si>
    <t>Парамонов</t>
  </si>
  <si>
    <t>Виталиевич</t>
  </si>
  <si>
    <t>Сильченко</t>
  </si>
  <si>
    <t>Савелий</t>
  </si>
  <si>
    <t>Романович</t>
  </si>
  <si>
    <t>Ферапонтов</t>
  </si>
  <si>
    <t>Илья</t>
  </si>
  <si>
    <t>Старшинов</t>
  </si>
  <si>
    <t>Федор</t>
  </si>
  <si>
    <t>Бычкова</t>
  </si>
  <si>
    <t>Каменская</t>
  </si>
  <si>
    <t>Алексендровна</t>
  </si>
  <si>
    <t>Карпухина</t>
  </si>
  <si>
    <t>Лилия</t>
  </si>
  <si>
    <t>Корнеева</t>
  </si>
  <si>
    <t>Красникова</t>
  </si>
  <si>
    <t>Рита</t>
  </si>
  <si>
    <t>Крюкова</t>
  </si>
  <si>
    <t>Наталья</t>
  </si>
  <si>
    <t>Тимофеевна</t>
  </si>
  <si>
    <t>Мосичева</t>
  </si>
  <si>
    <t>Романовна</t>
  </si>
  <si>
    <t>Осокина</t>
  </si>
  <si>
    <t>Римма</t>
  </si>
  <si>
    <t>Леонидовна</t>
  </si>
  <si>
    <t>Потемкина</t>
  </si>
  <si>
    <t>Галина</t>
  </si>
  <si>
    <t>Старцева</t>
  </si>
  <si>
    <t>Виталиевна</t>
  </si>
  <si>
    <t>Фомина</t>
  </si>
  <si>
    <t>Анна</t>
  </si>
  <si>
    <t>Канарейкин</t>
  </si>
  <si>
    <t>Степан</t>
  </si>
  <si>
    <t>Савченков</t>
  </si>
  <si>
    <t>Николаевич</t>
  </si>
  <si>
    <t>Силкин</t>
  </si>
  <si>
    <t>Алексей</t>
  </si>
  <si>
    <t>Толоконникова</t>
  </si>
  <si>
    <t>Майя</t>
  </si>
  <si>
    <t>Фамилия</t>
  </si>
  <si>
    <t>Имя</t>
  </si>
  <si>
    <t>Отчество</t>
  </si>
  <si>
    <t>Стаж</t>
  </si>
  <si>
    <t>Возраст</t>
  </si>
  <si>
    <t>Премия</t>
  </si>
  <si>
    <t>Районный коэффициент</t>
  </si>
  <si>
    <t>НДФЛ</t>
  </si>
  <si>
    <t>Начислено</t>
  </si>
  <si>
    <t>К выдаче</t>
  </si>
  <si>
    <t>Ведомость начисления заработной платы</t>
  </si>
  <si>
    <t>за октябрь 2019</t>
  </si>
  <si>
    <t>- максимальная сумма к выдаче</t>
  </si>
  <si>
    <t>- минимальный налог</t>
  </si>
  <si>
    <t>- средний оклад</t>
  </si>
  <si>
    <t>- количество сотрудников, не получающих премию</t>
  </si>
  <si>
    <t>- суммарный подоходный налог сотрудников, получающих премию</t>
  </si>
  <si>
    <t>- суммарные оклады сотрудников, не получающих премию, и оклады которых превышают 15 000 руб.</t>
  </si>
  <si>
    <t>ИТОГО:</t>
  </si>
  <si>
    <t>Всего оклад</t>
  </si>
  <si>
    <t>Всего премия</t>
  </si>
  <si>
    <t>Всего районный коэффициент</t>
  </si>
  <si>
    <t>Всего начислено</t>
  </si>
  <si>
    <t>Всего НДФЛ</t>
  </si>
  <si>
    <t>Всего к выдаче</t>
  </si>
  <si>
    <t>Бухгалтерия Количество</t>
  </si>
  <si>
    <t>Отдел продаж Количество</t>
  </si>
  <si>
    <t>Отдел худ. оформления Количество</t>
  </si>
  <si>
    <t>Редакторский отдел Количество</t>
  </si>
  <si>
    <t>Рекламный отдел Количество</t>
  </si>
  <si>
    <t>Склад Количество</t>
  </si>
  <si>
    <t>Технологический отдел Количество</t>
  </si>
  <si>
    <t>Транспортный отдел Количество</t>
  </si>
  <si>
    <t>Управление Количество</t>
  </si>
  <si>
    <t>Общее количество</t>
  </si>
  <si>
    <t>Бухгалтерия Итог</t>
  </si>
  <si>
    <t>Отдел продаж Итог</t>
  </si>
  <si>
    <t>Отдел худ. оформления Итог</t>
  </si>
  <si>
    <t>Редакторский отдел Итог</t>
  </si>
  <si>
    <t>Рекламный отдел Итог</t>
  </si>
  <si>
    <t>Склад Итог</t>
  </si>
  <si>
    <t>Технологический отдел Итог</t>
  </si>
  <si>
    <t>Транспортный отдел Итог</t>
  </si>
  <si>
    <t>Управление Итог</t>
  </si>
  <si>
    <t>Общий итог</t>
  </si>
  <si>
    <t>Отдел худ. Оформления</t>
  </si>
  <si>
    <t>Количество</t>
  </si>
  <si>
    <t>&gt;=15 000</t>
  </si>
  <si>
    <t>&lt;12 000</t>
  </si>
  <si>
    <t>&gt;=55</t>
  </si>
  <si>
    <t>&gt;=60</t>
  </si>
  <si>
    <t>Зам.*</t>
  </si>
  <si>
    <t>*специалист*</t>
  </si>
  <si>
    <t>жен Среднее</t>
  </si>
  <si>
    <t>муж Среднее</t>
  </si>
  <si>
    <t>Общее среднее</t>
  </si>
  <si>
    <t>высшее Среднее</t>
  </si>
  <si>
    <t>неполное высшее Среднее</t>
  </si>
  <si>
    <t>среднее Среднее</t>
  </si>
  <si>
    <t>среднее специальное Среднее</t>
  </si>
  <si>
    <t>Средний оклад у сотрудников с высшим образованием = 18 689,66 рублей</t>
  </si>
  <si>
    <t>Названия столбцов</t>
  </si>
  <si>
    <t>Названия строк</t>
  </si>
  <si>
    <t>Количество по полю Табельный номер</t>
  </si>
  <si>
    <t>Среднее по полю Оклад</t>
  </si>
  <si>
    <t>пол</t>
  </si>
  <si>
    <t>Сумма по полю Премия</t>
  </si>
  <si>
    <t>Итог Максимум Стаж</t>
  </si>
  <si>
    <t>Максимум Стаж</t>
  </si>
  <si>
    <t>Итог Максимум Возраст</t>
  </si>
  <si>
    <t>Максимум 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</si>
</sst>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đ.&quot;_-;\-* #,##0.00\ &quot;đ.&quot;_-;_-* &quot;-&quot;??\ &quot;đ.&quot;_-;_-@_-"/>
    <numFmt numFmtId="165" formatCode="#,##0.00\ &quot;₽&quot;"/>
  </numFmts>
  <fonts count="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b/>
      <sz val="10"/>
      <color theme="0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sz val="16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/>
    <xf numFmtId="0" fontId="1" fillId="0" borderId="1" xfId="1" applyBorder="1" applyAlignment="1">
      <alignment vertical="center"/>
    </xf>
    <xf numFmtId="49" fontId="1" fillId="0" borderId="1" xfId="1" applyNumberFormat="1" applyBorder="1" applyAlignment="1">
      <alignment horizontal="right"/>
    </xf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14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1" xfId="1" applyNumberFormat="1" applyFont="1" applyBorder="1" applyAlignment="1">
      <alignment horizontal="center" vertical="center" wrapText="1"/>
    </xf>
    <xf numFmtId="165" fontId="0" fillId="0" borderId="1" xfId="2" applyNumberFormat="1" applyFont="1" applyBorder="1"/>
    <xf numFmtId="165" fontId="0" fillId="0" borderId="0" xfId="0" applyNumberFormat="1"/>
    <xf numFmtId="165" fontId="1" fillId="0" borderId="0" xfId="1" applyNumberFormat="1"/>
    <xf numFmtId="49" fontId="2" fillId="0" borderId="4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9" fontId="2" fillId="2" borderId="3" xfId="1" applyNumberFormat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 wrapText="1"/>
    </xf>
    <xf numFmtId="165" fontId="3" fillId="3" borderId="0" xfId="1" applyNumberFormat="1" applyFont="1" applyFill="1"/>
    <xf numFmtId="0" fontId="2" fillId="0" borderId="0" xfId="1" quotePrefix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165" fontId="1" fillId="0" borderId="1" xfId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165" fontId="0" fillId="0" borderId="0" xfId="2" applyNumberFormat="1" applyFont="1" applyBorder="1"/>
    <xf numFmtId="14" fontId="1" fillId="0" borderId="0" xfId="1" applyNumberFormat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1" fillId="0" borderId="4" xfId="1" applyBorder="1"/>
    <xf numFmtId="0" fontId="1" fillId="0" borderId="4" xfId="1" applyBorder="1" applyAlignment="1">
      <alignment vertical="center"/>
    </xf>
    <xf numFmtId="49" fontId="2" fillId="0" borderId="2" xfId="1" applyNumberFormat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left" vertical="center" wrapText="1"/>
    </xf>
    <xf numFmtId="49" fontId="2" fillId="0" borderId="4" xfId="1" applyNumberFormat="1" applyFont="1" applyBorder="1" applyAlignment="1">
      <alignment horizontal="left" vertical="center" wrapText="1"/>
    </xf>
    <xf numFmtId="165" fontId="2" fillId="0" borderId="2" xfId="1" applyNumberFormat="1" applyFont="1" applyBorder="1" applyAlignment="1">
      <alignment horizontal="center" vertical="center" wrapText="1"/>
    </xf>
    <xf numFmtId="165" fontId="2" fillId="0" borderId="3" xfId="1" applyNumberFormat="1" applyFont="1" applyBorder="1" applyAlignment="1">
      <alignment horizontal="center" vertical="center" wrapText="1"/>
    </xf>
    <xf numFmtId="165" fontId="2" fillId="0" borderId="4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1" fillId="0" borderId="1" xfId="1" applyNumberFormat="1" applyBorder="1"/>
    <xf numFmtId="0" fontId="1" fillId="0" borderId="1" xfId="1" applyBorder="1" applyAlignment="1">
      <alignment wrapText="1"/>
    </xf>
    <xf numFmtId="0" fontId="2" fillId="0" borderId="1" xfId="1" applyFont="1" applyBorder="1" applyAlignment="1">
      <alignment horizontal="center" vertical="top"/>
    </xf>
    <xf numFmtId="165" fontId="2" fillId="0" borderId="1" xfId="1" applyNumberFormat="1" applyFont="1" applyBorder="1" applyAlignment="1">
      <alignment horizontal="center" vertical="top"/>
    </xf>
    <xf numFmtId="0" fontId="5" fillId="0" borderId="0" xfId="1" applyFont="1" applyBorder="1"/>
    <xf numFmtId="1" fontId="5" fillId="0" borderId="0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165" fontId="0" fillId="0" borderId="1" xfId="2" applyNumberFormat="1" applyFont="1" applyBorder="1" applyAlignment="1">
      <alignment horizontal="center"/>
    </xf>
    <xf numFmtId="0" fontId="2" fillId="0" borderId="0" xfId="1" applyFont="1"/>
    <xf numFmtId="0" fontId="0" fillId="0" borderId="0" xfId="0" applyNumberFormat="1"/>
    <xf numFmtId="0" fontId="0" fillId="0" borderId="0" xfId="0" pivotButton="1"/>
  </cellXfs>
  <cellStyles count="3">
    <cellStyle name="Денежный 2" xfId="2" xr:uid="{00000000-0005-0000-0000-000000000000}"/>
    <cellStyle name="Обычный" xfId="0" builtinId="0"/>
    <cellStyle name="Обычный 2" xfId="1" xr:uid="{00000000-0005-0000-0000-000002000000}"/>
  </cellStyles>
  <dxfs count="16">
    <dxf>
      <numFmt numFmtId="165" formatCode="#,##0.00\ &quot;₽&quot;"/>
    </dxf>
    <dxf>
      <numFmt numFmtId="165" formatCode="#,##0.00\ &quot;₽&quot;"/>
    </dxf>
    <dxf>
      <numFmt numFmtId="165" formatCode="#,##0.00\ &quot;₽&quot;"/>
    </dxf>
    <dxf>
      <numFmt numFmtId="165" formatCode="#,##0.00\ &quot;₽&quot;"/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[Обработка табличных данных_Ботвин Иван Денисович_ФИб-1301-51-00, 02.xlsx]4.3!Сводная таблица6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Суммарна</a:t>
            </a:r>
            <a:r>
              <a:rPr lang="ru-RU" b="1" baseline="0"/>
              <a:t>я премия сотрудников по отделам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'4.3'!$B$3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'4.3'!$A$4:$A$13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'4.3'!$B$4:$B$13</c:f>
              <c:numCache>
                <c:formatCode>#\ ##0.00\ "₽"</c:formatCode>
                <c:ptCount val="9"/>
                <c:pt idx="0">
                  <c:v>8800</c:v>
                </c:pt>
                <c:pt idx="1">
                  <c:v>1500</c:v>
                </c:pt>
                <c:pt idx="2">
                  <c:v>3600</c:v>
                </c:pt>
                <c:pt idx="3">
                  <c:v>16900</c:v>
                </c:pt>
                <c:pt idx="4">
                  <c:v>16900</c:v>
                </c:pt>
                <c:pt idx="5">
                  <c:v>7400</c:v>
                </c:pt>
                <c:pt idx="6">
                  <c:v>22100</c:v>
                </c:pt>
                <c:pt idx="7">
                  <c:v>3600</c:v>
                </c:pt>
                <c:pt idx="8">
                  <c:v>16800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D-43D4-8F6B-1C195966D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493887"/>
        <c:axId val="1009488895"/>
      </c:barChart>
      <c:catAx>
        <c:axId val="100949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9488895"/>
        <c:crosses val="autoZero"/>
        <c:auto val="1"/>
        <c:lblAlgn val="ctr"/>
        <c:lblOffset val="100"/>
        <c:noMultiLvlLbl val="0"/>
      </c:catAx>
      <c:valAx>
        <c:axId val="100948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949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Суммарные</a:t>
            </a:r>
            <a:r>
              <a:rPr lang="ru-RU" b="1" baseline="0"/>
              <a:t> итоги за </a:t>
            </a:r>
            <a:r>
              <a:rPr lang="en-US" b="1" baseline="0"/>
              <a:t>IV </a:t>
            </a:r>
            <a:r>
              <a:rPr lang="ru-RU" b="1" baseline="0"/>
              <a:t>квартал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00-4A30-BFEE-B1C3208B8A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C00-4A30-BFEE-B1C3208B8A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C00-4A30-BFEE-B1C3208B8A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00-4A30-BFEE-B1C3208B8A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00-4A30-BFEE-B1C3208B8A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C00-4A30-BFEE-B1C3208B8A0C}"/>
              </c:ext>
            </c:extLst>
          </c:dPt>
          <c:dLbls>
            <c:dLbl>
              <c:idx val="0"/>
              <c:layout>
                <c:manualLayout>
                  <c:x val="0.14484679665738162"/>
                  <c:y val="-0.1111111111111111"/>
                </c:manualLayout>
              </c:layout>
              <c:numFmt formatCode="#,##0\ &quot;₽&quot;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C00-4A30-BFEE-B1C3208B8A0C}"/>
                </c:ext>
              </c:extLst>
            </c:dLbl>
            <c:dLbl>
              <c:idx val="1"/>
              <c:layout>
                <c:manualLayout>
                  <c:x val="0.14670380687093779"/>
                  <c:y val="-9.2592592592593437E-3"/>
                </c:manualLayout>
              </c:layout>
              <c:numFmt formatCode="#,##0\ &quot;₽&quot;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C-4C00-4A30-BFEE-B1C3208B8A0C}"/>
                </c:ext>
              </c:extLst>
            </c:dLbl>
            <c:dLbl>
              <c:idx val="2"/>
              <c:layout>
                <c:manualLayout>
                  <c:x val="8.1708449396471608E-2"/>
                  <c:y val="0.125"/>
                </c:manualLayout>
              </c:layout>
              <c:numFmt formatCode="#,##0\ &quot;₽&quot;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4C00-4A30-BFEE-B1C3208B8A0C}"/>
                </c:ext>
              </c:extLst>
            </c:dLbl>
            <c:dLbl>
              <c:idx val="3"/>
              <c:layout>
                <c:manualLayout>
                  <c:x val="0"/>
                  <c:y val="9.7222222222222224E-2"/>
                </c:manualLayout>
              </c:layout>
              <c:numFmt formatCode="#,##0\ &quot;₽&quot;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4C00-4A30-BFEE-B1C3208B8A0C}"/>
                </c:ext>
              </c:extLst>
            </c:dLbl>
            <c:dLbl>
              <c:idx val="4"/>
              <c:layout>
                <c:manualLayout>
                  <c:x val="-9.4707520891364916E-2"/>
                  <c:y val="0.14814814814814814"/>
                </c:manualLayout>
              </c:layout>
              <c:numFmt formatCode="#,##0\ &quot;₽&quot;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4C00-4A30-BFEE-B1C3208B8A0C}"/>
                </c:ext>
              </c:extLst>
            </c:dLbl>
            <c:dLbl>
              <c:idx val="5"/>
              <c:layout>
                <c:manualLayout>
                  <c:x val="-8.9136490250696379E-2"/>
                  <c:y val="-0.15277777777777779"/>
                </c:manualLayout>
              </c:layout>
              <c:numFmt formatCode="#,##0\ &quot;₽&quot;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4C00-4A30-BFEE-B1C3208B8A0C}"/>
                </c:ext>
              </c:extLst>
            </c:dLbl>
            <c:numFmt formatCode="#,##0\ &quot;₽&quot;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'Диаграммы-1'!$B$1:$G$1</c:f>
              <c:strCache>
                <c:ptCount val="6"/>
                <c:pt idx="0">
                  <c:v>Оклад</c:v>
                </c:pt>
                <c:pt idx="1">
                  <c:v>Премия</c:v>
                </c:pt>
                <c:pt idx="2">
                  <c:v>Районный коэффициент</c:v>
                </c:pt>
                <c:pt idx="3">
                  <c:v>Начислено</c:v>
                </c:pt>
                <c:pt idx="4">
                  <c:v>НДФЛ</c:v>
                </c:pt>
                <c:pt idx="5">
                  <c:v>К выдаче</c:v>
                </c:pt>
              </c:strCache>
            </c:strRef>
          </c:cat>
          <c:val>
            <c:numRef>
              <c:f>'Диаграммы-1'!$B$11:$G$11</c:f>
              <c:numCache>
                <c:formatCode>#\ ##0.00\ "₽"</c:formatCode>
                <c:ptCount val="6"/>
                <c:pt idx="0">
                  <c:v>3129000</c:v>
                </c:pt>
                <c:pt idx="1">
                  <c:v>768687.93103448255</c:v>
                </c:pt>
                <c:pt idx="2">
                  <c:v>469350</c:v>
                </c:pt>
                <c:pt idx="3">
                  <c:v>4367037.9310344867</c:v>
                </c:pt>
                <c:pt idx="4">
                  <c:v>567714.93103448255</c:v>
                </c:pt>
                <c:pt idx="5">
                  <c:v>3799323.0000000014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0-4A30-BFEE-B1C3208B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 начислений</a:t>
            </a:r>
            <a:r>
              <a:rPr lang="ru-RU" b="1" baseline="0"/>
              <a:t> и удержаний за квартал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9025424735043572"/>
          <c:y val="0.11622403579866998"/>
          <c:w val="0.75338336133214445"/>
          <c:h val="0.780138261901143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'Диаграммы-1'!$B$1</c:f>
              <c:strCache>
                <c:ptCount val="1"/>
                <c:pt idx="0">
                  <c:v>Оклад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'Диаграммы-1'!$B$2:$B$10</c:f>
              <c:numCache>
                <c:formatCode>#\ ##0.00\ "₽"</c:formatCode>
                <c:ptCount val="9"/>
                <c:pt idx="0">
                  <c:v>264000</c:v>
                </c:pt>
                <c:pt idx="1">
                  <c:v>45000</c:v>
                </c:pt>
                <c:pt idx="2">
                  <c:v>108000</c:v>
                </c:pt>
                <c:pt idx="3">
                  <c:v>507000</c:v>
                </c:pt>
                <c:pt idx="4">
                  <c:v>573000</c:v>
                </c:pt>
                <c:pt idx="5">
                  <c:v>255000</c:v>
                </c:pt>
                <c:pt idx="6">
                  <c:v>729000</c:v>
                </c:pt>
                <c:pt idx="7">
                  <c:v>144000</c:v>
                </c:pt>
                <c:pt idx="8">
                  <c:v>504000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D-4C4E-A606-1160B580DB55}"/>
            </c:ext>
          </c:extLst>
        </c:ser>
        <c:ser>
          <c:idx val="1"/>
          <c:order val="1"/>
          <c:tx>
            <c:strRef>
              <c:f>'Диаграммы-1'!$C$1</c:f>
              <c:strCache>
                <c:ptCount val="1"/>
                <c:pt idx="0">
                  <c:v>Премия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'Диаграммы-1'!$C$2:$C$10</c:f>
              <c:numCache>
                <c:formatCode>#\ ##0.00\ "₽"</c:formatCode>
                <c:ptCount val="9"/>
                <c:pt idx="0">
                  <c:v>69307.928208027122</c:v>
                </c:pt>
                <c:pt idx="1">
                  <c:v>11813.851399095533</c:v>
                </c:pt>
                <c:pt idx="2">
                  <c:v>28353.24335782928</c:v>
                </c:pt>
                <c:pt idx="3">
                  <c:v>133102.72576314298</c:v>
                </c:pt>
                <c:pt idx="4">
                  <c:v>133102.72576314298</c:v>
                </c:pt>
                <c:pt idx="5">
                  <c:v>58281.666902204626</c:v>
                </c:pt>
                <c:pt idx="6">
                  <c:v>174057.41061334085</c:v>
                </c:pt>
                <c:pt idx="7">
                  <c:v>28353.24335782928</c:v>
                </c:pt>
                <c:pt idx="8">
                  <c:v>132315.13566986998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D-4C4E-A606-1160B580DB55}"/>
            </c:ext>
          </c:extLst>
        </c:ser>
        <c:ser>
          <c:idx val="2"/>
          <c:order val="2"/>
          <c:tx>
            <c:strRef>
              <c:f>'Диаграммы-1'!$D$1</c:f>
              <c:strCache>
                <c:ptCount val="1"/>
                <c:pt idx="0">
                  <c:v>Районный коэффициент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'Диаграммы-1'!$D$2:$D$10</c:f>
              <c:numCache>
                <c:formatCode>#\ ##0.00\ "₽"</c:formatCode>
                <c:ptCount val="9"/>
                <c:pt idx="0">
                  <c:v>39600</c:v>
                </c:pt>
                <c:pt idx="1">
                  <c:v>6750</c:v>
                </c:pt>
                <c:pt idx="2">
                  <c:v>16200</c:v>
                </c:pt>
                <c:pt idx="3">
                  <c:v>76050</c:v>
                </c:pt>
                <c:pt idx="4">
                  <c:v>85950</c:v>
                </c:pt>
                <c:pt idx="5">
                  <c:v>38250</c:v>
                </c:pt>
                <c:pt idx="6">
                  <c:v>109350</c:v>
                </c:pt>
                <c:pt idx="7">
                  <c:v>21600</c:v>
                </c:pt>
                <c:pt idx="8">
                  <c:v>75600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D-4C4E-A606-1160B580DB55}"/>
            </c:ext>
          </c:extLst>
        </c:ser>
        <c:ser>
          <c:idx val="3"/>
          <c:order val="3"/>
          <c:tx>
            <c:strRef>
              <c:f>'Диаграммы-1'!$F$1</c:f>
              <c:strCache>
                <c:ptCount val="1"/>
                <c:pt idx="0">
                  <c:v>НДФЛ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'Диаграммы-1'!$F$2:$F$10</c:f>
              <c:numCache>
                <c:formatCode>#\ ##0.00\ "₽"</c:formatCode>
                <c:ptCount val="9"/>
                <c:pt idx="0">
                  <c:v>48478.030667043531</c:v>
                </c:pt>
                <c:pt idx="1">
                  <c:v>8263.3006818824197</c:v>
                </c:pt>
                <c:pt idx="2">
                  <c:v>19831.921636517807</c:v>
                </c:pt>
                <c:pt idx="3">
                  <c:v>93099.854349208588</c:v>
                </c:pt>
                <c:pt idx="4">
                  <c:v>102966.85434920859</c:v>
                </c:pt>
                <c:pt idx="5">
                  <c:v>45699.116697286605</c:v>
                </c:pt>
                <c:pt idx="6">
                  <c:v>131612.96337973428</c:v>
                </c:pt>
                <c:pt idx="7">
                  <c:v>25213.921636517807</c:v>
                </c:pt>
                <c:pt idx="8">
                  <c:v>92548.9676370831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DD-4C4E-A606-1160B580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2007496"/>
        <c:axId val="552008480"/>
      </c:barChart>
      <c:catAx>
        <c:axId val="55200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2008480"/>
        <c:crosses val="autoZero"/>
        <c:auto val="1"/>
        <c:lblAlgn val="ctr"/>
        <c:lblOffset val="100"/>
        <c:noMultiLvlLbl val="0"/>
      </c:catAx>
      <c:valAx>
        <c:axId val="55200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₽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200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82984107820863384"/>
          <c:y val="0.63063030609284043"/>
          <c:w val="0.14876604191135362"/>
          <c:h val="0.25514518749681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Итоги</a:t>
            </a:r>
            <a:r>
              <a:rPr lang="ru-RU" b="1" baseline="0"/>
              <a:t> за </a:t>
            </a:r>
            <a:r>
              <a:rPr lang="en-US" b="1" baseline="0"/>
              <a:t>IV </a:t>
            </a:r>
            <a:r>
              <a:rPr lang="ru-RU" b="1" baseline="0"/>
              <a:t>квартал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 выдаче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'Диаграммы-1'!$G$2:$G$10</c:f>
              <c:numCache>
                <c:formatCode>#\ ##0.00\ "₽"</c:formatCode>
                <c:ptCount val="9"/>
                <c:pt idx="0">
                  <c:v>324429.89754098363</c:v>
                </c:pt>
                <c:pt idx="1">
                  <c:v>55300.550717213111</c:v>
                </c:pt>
                <c:pt idx="2">
                  <c:v>132721.32172131148</c:v>
                </c:pt>
                <c:pt idx="3">
                  <c:v>623052.87141393439</c:v>
                </c:pt>
                <c:pt idx="4">
                  <c:v>689085.87141393439</c:v>
                </c:pt>
                <c:pt idx="5">
                  <c:v>305832.55020491808</c:v>
                </c:pt>
                <c:pt idx="6">
                  <c:v>880794.4472336066</c:v>
                </c:pt>
                <c:pt idx="7">
                  <c:v>168739.32172131145</c:v>
                </c:pt>
                <c:pt idx="8">
                  <c:v>619366.16803278693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3-4EBC-A8C0-9CB0DE29DE5F}"/>
            </c:ext>
          </c:extLst>
        </c:ser>
        <c:ser>
          <c:idx val="1"/>
          <c:order val="1"/>
          <c:tx>
            <c:v>Начислено</c:v>
          </c:tx>
          <c:spPr>
            <a:pattFill prst="lgConfetti">
              <a:fgClr>
                <a:srgbClr val="0070C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'Диаграммы-1'!$E$2:$E$10</c:f>
              <c:numCache>
                <c:formatCode>#\ ##0.00\ "₽"</c:formatCode>
                <c:ptCount val="9"/>
                <c:pt idx="0">
                  <c:v>372907.92820802715</c:v>
                </c:pt>
                <c:pt idx="1">
                  <c:v>63563.851399095533</c:v>
                </c:pt>
                <c:pt idx="2">
                  <c:v>152553.24335782928</c:v>
                </c:pt>
                <c:pt idx="3">
                  <c:v>716152.72576314316</c:v>
                </c:pt>
                <c:pt idx="4">
                  <c:v>792052.72576314304</c:v>
                </c:pt>
                <c:pt idx="5">
                  <c:v>351531.66690220463</c:v>
                </c:pt>
                <c:pt idx="6">
                  <c:v>1012407.4106133409</c:v>
                </c:pt>
                <c:pt idx="7">
                  <c:v>193953.24335782928</c:v>
                </c:pt>
                <c:pt idx="8">
                  <c:v>711915.13566986995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3-4EBC-A8C0-9CB0DE29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934560"/>
        <c:axId val="509936200"/>
      </c:barChart>
      <c:lineChart>
        <c:grouping val="standard"/>
        <c:varyColors val="0"/>
        <c:ser>
          <c:idx val="2"/>
          <c:order val="2"/>
          <c:tx>
            <c:v>Премия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2060">
                  <a:alpha val="97000"/>
                </a:srgbClr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4"/>
            <c:marker>
              <c:symbol val="circle"/>
              <c:size val="10"/>
              <c:spPr>
                <a:solidFill>
                  <a:srgbClr val="002060">
                    <a:alpha val="97000"/>
                  </a:srgbClr>
                </a:solidFill>
                <a:ln w="9525" cap="rnd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36A-4B46-B585-75D3C0473692}"/>
              </c:ext>
            </c:extLst>
          </c:dPt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'Диаграммы-1'!$C$2:$C$10</c:f>
              <c:numCache>
                <c:formatCode>#\ ##0.00\ "₽"</c:formatCode>
                <c:ptCount val="9"/>
                <c:pt idx="0">
                  <c:v>69307.928208027122</c:v>
                </c:pt>
                <c:pt idx="1">
                  <c:v>11813.851399095533</c:v>
                </c:pt>
                <c:pt idx="2">
                  <c:v>28353.24335782928</c:v>
                </c:pt>
                <c:pt idx="3">
                  <c:v>133102.72576314298</c:v>
                </c:pt>
                <c:pt idx="4">
                  <c:v>133102.72576314298</c:v>
                </c:pt>
                <c:pt idx="5">
                  <c:v>58281.666902204626</c:v>
                </c:pt>
                <c:pt idx="6">
                  <c:v>174057.41061334085</c:v>
                </c:pt>
                <c:pt idx="7">
                  <c:v>28353.24335782928</c:v>
                </c:pt>
                <c:pt idx="8">
                  <c:v>132315.13566986998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33-4EBC-A8C0-9CB0DE29DE5F}"/>
            </c:ext>
          </c:extLst>
        </c:ser>
        <c:ser>
          <c:idx val="3"/>
          <c:order val="3"/>
          <c:tx>
            <c:v>НДФЛ</c:v>
          </c:tx>
          <c:spPr>
            <a:ln w="28575" cap="rnd">
              <a:solidFill>
                <a:srgbClr val="FF0000"/>
              </a:solidFill>
              <a:round/>
              <a:headEnd type="none" w="lg" len="lg"/>
              <a:tailEnd type="none" w="lg" len="lg"/>
            </a:ln>
            <a:effectLst/>
          </c:spPr>
          <c:marker>
            <c:symbol val="triangle"/>
            <c:size val="11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'Диаграммы-1'!$A$2:$A$10</c:f>
              <c:strCache>
                <c:ptCount val="9"/>
                <c:pt idx="0">
                  <c:v>Бухгалтерия</c:v>
                </c:pt>
                <c:pt idx="1">
                  <c:v>Отдел продаж</c:v>
                </c:pt>
                <c:pt idx="2">
                  <c:v>Отдел худ. Оформления</c:v>
                </c:pt>
                <c:pt idx="3">
                  <c:v>Редакторский отдел</c:v>
                </c:pt>
                <c:pt idx="4">
                  <c:v>Рекламный отдел</c:v>
                </c:pt>
                <c:pt idx="5">
                  <c:v>Склад</c:v>
                </c:pt>
                <c:pt idx="6">
                  <c:v>Технологический отдел</c:v>
                </c:pt>
                <c:pt idx="7">
                  <c:v>Транспортный отдел</c:v>
                </c:pt>
                <c:pt idx="8">
                  <c:v>Управление</c:v>
                </c:pt>
              </c:strCache>
            </c:strRef>
          </c:cat>
          <c:val>
            <c:numRef>
              <c:f>'Диаграммы-1'!$F$2:$F$10</c:f>
              <c:numCache>
                <c:formatCode>#\ ##0.00\ "₽"</c:formatCode>
                <c:ptCount val="9"/>
                <c:pt idx="0">
                  <c:v>48478.030667043531</c:v>
                </c:pt>
                <c:pt idx="1">
                  <c:v>8263.3006818824197</c:v>
                </c:pt>
                <c:pt idx="2">
                  <c:v>19831.921636517807</c:v>
                </c:pt>
                <c:pt idx="3">
                  <c:v>93099.854349208588</c:v>
                </c:pt>
                <c:pt idx="4">
                  <c:v>102966.85434920859</c:v>
                </c:pt>
                <c:pt idx="5">
                  <c:v>45699.116697286605</c:v>
                </c:pt>
                <c:pt idx="6">
                  <c:v>131612.96337973428</c:v>
                </c:pt>
                <c:pt idx="7">
                  <c:v>25213.921636517807</c:v>
                </c:pt>
                <c:pt idx="8">
                  <c:v>92548.9676370831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33-4EBC-A8C0-9CB0DE29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938080"/>
        <c:axId val="564939392"/>
      </c:lineChart>
      <c:catAx>
        <c:axId val="50993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936200"/>
        <c:crosses val="autoZero"/>
        <c:auto val="1"/>
        <c:lblAlgn val="ctr"/>
        <c:lblOffset val="100"/>
        <c:noMultiLvlLbl val="0"/>
      </c:catAx>
      <c:valAx>
        <c:axId val="50993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₽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934560"/>
        <c:crosses val="autoZero"/>
        <c:crossBetween val="between"/>
      </c:valAx>
      <c:valAx>
        <c:axId val="564939392"/>
        <c:scaling>
          <c:orientation val="minMax"/>
        </c:scaling>
        <c:delete val="0"/>
        <c:axPos val="r"/>
        <c:numFmt formatCode="#,##0\ &quot;₽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4938080"/>
        <c:crosses val="max"/>
        <c:crossBetween val="between"/>
      </c:valAx>
      <c:catAx>
        <c:axId val="564938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939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42202580884722"/>
          <c:y val="0.89303435578015433"/>
          <c:w val="0.46515594838230562"/>
          <c:h val="8.3085047204920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161924</xdr:rowOff>
    </xdr:from>
    <xdr:to>
      <xdr:col>11</xdr:col>
      <xdr:colOff>171450</xdr:colOff>
      <xdr:row>18</xdr:row>
      <xdr:rowOff>57149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07CD9CC-3A0C-461E-8521-02C9171CF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358588</xdr:colOff>
      <xdr:row>12</xdr:row>
      <xdr:rowOff>173010</xdr:rowOff>
    </xdr:from>
    <xdr:to>
      <xdr:col>3</xdr:col>
      <xdr:colOff>171771</xdr:colOff>
      <xdr:row>27</xdr:row>
      <xdr:rowOff>58710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98FAD5-CAED-47A2-9C89-96B283942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1212478</xdr:colOff>
      <xdr:row>12</xdr:row>
      <xdr:rowOff>147638</xdr:rowOff>
    </xdr:from>
    <xdr:to>
      <xdr:col>9</xdr:col>
      <xdr:colOff>100852</xdr:colOff>
      <xdr:row>33</xdr:row>
      <xdr:rowOff>57151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29EA651-A120-416D-9831-CC4D044D9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389611</xdr:colOff>
      <xdr:row>3</xdr:row>
      <xdr:rowOff>66114</xdr:rowOff>
    </xdr:from>
    <xdr:to>
      <xdr:col>16</xdr:col>
      <xdr:colOff>475129</xdr:colOff>
      <xdr:row>20</xdr:row>
      <xdr:rowOff>18489</xdr:rowOff>
    </xdr:to>
    <xdr:graphicFrame macro="">
      <xdr:nvGraphicFramePr>
        <xdr:cNvPr id="2" name="Диаграмма 8">
          <a:extLst>
            <a:ext uri="{FF2B5EF4-FFF2-40B4-BE49-F238E27FC236}">
              <a16:creationId xmlns:a16="http://schemas.microsoft.com/office/drawing/2014/main" id="{444E82D0-C369-4881-9AD8-4D6AD6AE0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3;&#1086;&#1074;&#1080;&#1082;&#1086;&#1074;%20&#1057;&#1048;/&#1051;&#1072;&#1073;-6/&#1054;&#1073;&#1088;&#1072;&#1073;&#1086;&#1090;&#1082;&#1072;%20&#1090;&#1072;&#1073;&#1083;&#1080;&#1095;&#1085;&#1099;&#1093;%20&#1076;&#1072;&#1085;&#1085;&#1099;&#1093;_&#1053;&#1086;&#1074;&#1080;&#1082;&#1086;&#1074;_&#1060;&#1048;&#1073;-1301-51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 данных"/>
      <sheetName val="Справочники"/>
      <sheetName val="Октябрь"/>
      <sheetName val="Ноябрь"/>
      <sheetName val="Декабрь"/>
      <sheetName val="Квартал IV"/>
      <sheetName val="Диаграммы-1"/>
      <sheetName val="Диаграмма-2"/>
      <sheetName val="2.1"/>
      <sheetName val="2.2"/>
      <sheetName val="2.3"/>
      <sheetName val="2.4"/>
      <sheetName val="2.5"/>
      <sheetName val="2.6"/>
      <sheetName val="3.1"/>
      <sheetName val="3.2"/>
      <sheetName val="3.3"/>
      <sheetName val="3.4"/>
      <sheetName val="4.1"/>
      <sheetName val="4.2"/>
      <sheetName val="4.3"/>
      <sheetName val="4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 xml:space="preserve"> Всего премия</v>
          </cell>
          <cell r="E1" t="str">
            <v xml:space="preserve"> Всего начислено</v>
          </cell>
          <cell r="F1" t="str">
            <v xml:space="preserve"> Всего НДФЛ</v>
          </cell>
          <cell r="G1" t="str">
            <v xml:space="preserve"> Всего к выдаче</v>
          </cell>
        </row>
        <row r="2">
          <cell r="A2" t="str">
            <v>Бухгалтерия Итог</v>
          </cell>
          <cell r="C2">
            <v>69307.928208027122</v>
          </cell>
          <cell r="E2">
            <v>372907.92820802715</v>
          </cell>
          <cell r="F2">
            <v>48478.030667043531</v>
          </cell>
          <cell r="G2">
            <v>324429.89754098363</v>
          </cell>
        </row>
        <row r="3">
          <cell r="A3" t="str">
            <v>Отдел продаж Итог</v>
          </cell>
          <cell r="C3">
            <v>11813.851399095533</v>
          </cell>
          <cell r="E3">
            <v>63563.851399095533</v>
          </cell>
          <cell r="F3">
            <v>8263.3006818824197</v>
          </cell>
          <cell r="G3">
            <v>55300.550717213118</v>
          </cell>
        </row>
        <row r="4">
          <cell r="A4" t="str">
            <v>Отдел худ. оформления Итог</v>
          </cell>
          <cell r="C4">
            <v>28353.24335782928</v>
          </cell>
          <cell r="E4">
            <v>152553.24335782928</v>
          </cell>
          <cell r="F4">
            <v>19831.921636517807</v>
          </cell>
          <cell r="G4">
            <v>132721.32172131148</v>
          </cell>
        </row>
        <row r="5">
          <cell r="A5" t="str">
            <v>Редакторский отдел Итог</v>
          </cell>
          <cell r="C5">
            <v>133102.72576314298</v>
          </cell>
          <cell r="E5">
            <v>716152.72576314316</v>
          </cell>
          <cell r="F5">
            <v>93099.854349208588</v>
          </cell>
          <cell r="G5">
            <v>623052.87141393439</v>
          </cell>
        </row>
        <row r="6">
          <cell r="A6" t="str">
            <v>Рекламный отдел Итог</v>
          </cell>
          <cell r="C6">
            <v>133102.72576314298</v>
          </cell>
          <cell r="E6">
            <v>792052.72576314304</v>
          </cell>
          <cell r="F6">
            <v>102966.85434920859</v>
          </cell>
          <cell r="G6">
            <v>689085.87141393439</v>
          </cell>
        </row>
        <row r="7">
          <cell r="A7" t="str">
            <v>Склад Итог</v>
          </cell>
          <cell r="C7">
            <v>58281.666902204626</v>
          </cell>
          <cell r="E7">
            <v>351531.66690220463</v>
          </cell>
          <cell r="F7">
            <v>45699.116697286605</v>
          </cell>
          <cell r="G7">
            <v>305832.55020491808</v>
          </cell>
        </row>
        <row r="8">
          <cell r="A8" t="str">
            <v>Технологический отдел Итог</v>
          </cell>
          <cell r="C8">
            <v>174057.41061334085</v>
          </cell>
          <cell r="E8">
            <v>1012407.4106133409</v>
          </cell>
          <cell r="F8">
            <v>131612.96337973428</v>
          </cell>
          <cell r="G8">
            <v>880794.4472336066</v>
          </cell>
        </row>
        <row r="9">
          <cell r="A9" t="str">
            <v>Транспортный отдел Итог</v>
          </cell>
          <cell r="C9">
            <v>28353.24335782928</v>
          </cell>
          <cell r="E9">
            <v>193953.24335782928</v>
          </cell>
          <cell r="F9">
            <v>25213.921636517807</v>
          </cell>
          <cell r="G9">
            <v>168739.32172131148</v>
          </cell>
        </row>
        <row r="10">
          <cell r="A10" t="str">
            <v>Управление Итог</v>
          </cell>
          <cell r="C10">
            <v>132315.13566986998</v>
          </cell>
          <cell r="E10">
            <v>711915.13566986995</v>
          </cell>
          <cell r="F10">
            <v>92548.9676370831</v>
          </cell>
          <cell r="G10">
            <v>619366.16803278681</v>
          </cell>
        </row>
        <row r="11">
          <cell r="A11" t="str">
            <v>ИТОГО:</v>
          </cell>
          <cell r="C11">
            <v>768687.93103448255</v>
          </cell>
          <cell r="E11">
            <v>4367037.9310344867</v>
          </cell>
          <cell r="F11">
            <v>567714.93103448255</v>
          </cell>
          <cell r="G11">
            <v>3799323.0000000014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Иван Ботвин" refreshedDate="44887.916791898147" createdVersion="7" refreshedVersion="7" minRefreshableVersion="3" recordCount="64" xr:uid="{EA81FBE1-0BFB-4FAE-A316-D8ED604E5BF3}">
  <cacheSource type="worksheet">
    <worksheetSource ref="A1:N65" sheet="База данных"/>
  </cacheSource>
  <cacheFields count="14">
    <cacheField name="Табельный номер" numFmtId="0">
      <sharedItems containsSemiMixedTypes="0" containsString="0" containsNumber="1" containsInteger="1" minValue="101" maxValue="164"/>
    </cacheField>
    <cacheField name="Фамилия" numFmtId="0">
      <sharedItems/>
    </cacheField>
    <cacheField name="Имя" numFmtId="0">
      <sharedItems/>
    </cacheField>
    <cacheField name="Отчество" numFmtId="0">
      <sharedItems/>
    </cacheField>
    <cacheField name="Пол" numFmtId="0">
      <sharedItems count="2">
        <s v="жен"/>
        <s v="муж"/>
      </sharedItems>
    </cacheField>
    <cacheField name="Отдел" numFmtId="0">
      <sharedItems count="9">
        <s v="Бухгалтерия"/>
        <s v="Управление"/>
        <s v="Рекламный отдел"/>
        <s v="Технологический отдел"/>
        <s v="Отдел продаж"/>
        <s v="Отдел худ. оформления"/>
        <s v="Склад"/>
        <s v="Транспортный отдел"/>
        <s v="Редакторский отдел"/>
      </sharedItems>
    </cacheField>
    <cacheField name="Должность" numFmtId="0">
      <sharedItems/>
    </cacheField>
    <cacheField name="Оклад" numFmtId="165">
      <sharedItems containsSemiMixedTypes="0" containsString="0" containsNumber="1" containsInteger="1" minValue="11000" maxValue="35000"/>
    </cacheField>
    <cacheField name="Образование" numFmtId="0">
      <sharedItems count="4">
        <s v="высшее"/>
        <s v="среднее специальное"/>
        <s v="неполное высшее"/>
        <s v="среднее"/>
      </sharedItems>
    </cacheField>
    <cacheField name="Дата найма" numFmtId="14">
      <sharedItems containsSemiMixedTypes="0" containsNonDate="0" containsDate="1" containsString="0" minDate="1985-03-02T00:00:00" maxDate="2019-03-16T00:00:00"/>
    </cacheField>
    <cacheField name="Дата рождения" numFmtId="14">
      <sharedItems containsSemiMixedTypes="0" containsNonDate="0" containsDate="1" containsString="0" minDate="1958-01-09T00:00:00" maxDate="1995-03-05T00:00:00"/>
    </cacheField>
    <cacheField name="Стаж" numFmtId="0">
      <sharedItems containsSemiMixedTypes="0" containsString="0" containsNumber="1" containsInteger="1" minValue="3" maxValue="37"/>
    </cacheField>
    <cacheField name="Возраст" numFmtId="0">
      <sharedItems containsSemiMixedTypes="0" containsString="0" containsNumber="1" containsInteger="1" minValue="27" maxValue="64"/>
    </cacheField>
    <cacheField name="Рабочий телефон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Иван Ботвин" refreshedDate="44887.922716319445" createdVersion="7" refreshedVersion="7" minRefreshableVersion="3" recordCount="64" xr:uid="{B8FC1AA8-A14D-4726-B934-360BB8768A04}">
  <cacheSource type="worksheet">
    <worksheetSource ref="A3:S67" sheet="Октябрь"/>
  </cacheSource>
  <cacheFields count="19">
    <cacheField name="Табельный номер" numFmtId="0">
      <sharedItems containsSemiMixedTypes="0" containsString="0" containsNumber="1" containsInteger="1" minValue="101" maxValue="164"/>
    </cacheField>
    <cacheField name="Фамилия" numFmtId="0">
      <sharedItems/>
    </cacheField>
    <cacheField name="Имя" numFmtId="0">
      <sharedItems/>
    </cacheField>
    <cacheField name="Отчество" numFmtId="0">
      <sharedItems/>
    </cacheField>
    <cacheField name="Оклад" numFmtId="165">
      <sharedItems containsSemiMixedTypes="0" containsString="0" containsNumber="1" containsInteger="1" minValue="11000" maxValue="35000"/>
    </cacheField>
    <cacheField name="Премия" numFmtId="165">
      <sharedItems containsSemiMixedTypes="0" containsString="0" containsNumber="1" containsInteger="1" minValue="0" maxValue="3500"/>
    </cacheField>
    <cacheField name="Районный коэффициент" numFmtId="165">
      <sharedItems containsSemiMixedTypes="0" containsString="0" containsNumber="1" containsInteger="1" minValue="1650" maxValue="5250"/>
    </cacheField>
    <cacheField name="Начислено" numFmtId="165">
      <sharedItems containsSemiMixedTypes="0" containsString="0" containsNumber="1" containsInteger="1" minValue="12650" maxValue="43750"/>
    </cacheField>
    <cacheField name="НДФЛ" numFmtId="165">
      <sharedItems containsSemiMixedTypes="0" containsString="0" containsNumber="1" minValue="1644.5" maxValue="5687.5"/>
    </cacheField>
    <cacheField name="К выдаче" numFmtId="165">
      <sharedItems containsSemiMixedTypes="0" containsString="0" containsNumber="1" minValue="11005.5" maxValue="38062.5"/>
    </cacheField>
    <cacheField name="Пол" numFmtId="0">
      <sharedItems/>
    </cacheField>
    <cacheField name="Отдел" numFmtId="0">
      <sharedItems count="9">
        <s v="Бухгалтерия"/>
        <s v="Управление"/>
        <s v="Редакторский отдел"/>
        <s v="Склад"/>
        <s v="Технологический отдел"/>
        <s v="Отдел продаж"/>
        <s v="Транспортный отдел"/>
        <s v="Отдел худ. оформления"/>
        <s v="Рекламный отдел"/>
      </sharedItems>
    </cacheField>
    <cacheField name="Должность" numFmtId="0">
      <sharedItems/>
    </cacheField>
    <cacheField name="Образование" numFmtId="0">
      <sharedItems/>
    </cacheField>
    <cacheField name="Дата найма" numFmtId="14">
      <sharedItems containsSemiMixedTypes="0" containsNonDate="0" containsDate="1" containsString="0" minDate="1985-03-02T00:00:00" maxDate="2019-03-16T00:00:00"/>
    </cacheField>
    <cacheField name="Стаж" numFmtId="0">
      <sharedItems containsSemiMixedTypes="0" containsString="0" containsNumber="1" containsInteger="1" minValue="3" maxValue="37"/>
    </cacheField>
    <cacheField name="Дата рождения" numFmtId="14">
      <sharedItems containsSemiMixedTypes="0" containsNonDate="0" containsDate="1" containsString="0" minDate="1958-01-09T00:00:00" maxDate="1995-03-05T00:00:00"/>
    </cacheField>
    <cacheField name="Возраст" numFmtId="0">
      <sharedItems containsSemiMixedTypes="0" containsString="0" containsNumber="1" containsInteger="1" minValue="27" maxValue="64"/>
    </cacheField>
    <cacheField name="Рабочий телефон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101"/>
    <s v="Айдарпашич"/>
    <s v="Амина"/>
    <s v="Александровна"/>
    <x v="0"/>
    <x v="0"/>
    <s v="Бухгалтер"/>
    <n v="12000"/>
    <x v="0"/>
    <d v="2006-08-15T00:00:00"/>
    <d v="1982-09-04T00:00:00"/>
    <n v="16"/>
    <n v="40"/>
    <s v="+7(8332)64-32-01"/>
  </r>
  <r>
    <n v="102"/>
    <s v="Вербицкая"/>
    <s v="Елена"/>
    <s v="Вадимовна"/>
    <x v="0"/>
    <x v="0"/>
    <s v="Главный бухгалтер"/>
    <n v="20000"/>
    <x v="0"/>
    <d v="1994-02-15T00:00:00"/>
    <d v="1968-12-14T00:00:00"/>
    <n v="28"/>
    <n v="53"/>
    <s v="+7(8332)64-32-01"/>
  </r>
  <r>
    <n v="103"/>
    <s v="Иванова"/>
    <s v="Людмила"/>
    <s v="Петровна"/>
    <x v="0"/>
    <x v="0"/>
    <s v="Кассир"/>
    <n v="12000"/>
    <x v="1"/>
    <d v="2017-08-15T00:00:00"/>
    <d v="1995-03-04T00:00:00"/>
    <n v="5"/>
    <n v="27"/>
    <s v="+7(8332)64-32-01"/>
  </r>
  <r>
    <n v="104"/>
    <s v="Лобурец"/>
    <s v="Диана"/>
    <s v="Борисовна"/>
    <x v="0"/>
    <x v="0"/>
    <s v="Экономист"/>
    <n v="15000"/>
    <x v="0"/>
    <d v="2013-09-13T00:00:00"/>
    <d v="1969-05-23T00:00:00"/>
    <n v="9"/>
    <n v="53"/>
    <s v="+7(8332)64-32-01"/>
  </r>
  <r>
    <n v="105"/>
    <s v="Алеев"/>
    <s v="Леонид"/>
    <s v="Иванович"/>
    <x v="1"/>
    <x v="0"/>
    <s v="Зам. гл. бухгалтера"/>
    <n v="17000"/>
    <x v="0"/>
    <d v="2012-09-13T00:00:00"/>
    <d v="1985-05-29T00:00:00"/>
    <n v="10"/>
    <n v="37"/>
    <s v="+7(8332)64-32-01"/>
  </r>
  <r>
    <n v="106"/>
    <s v="Левитин"/>
    <s v="Евгений"/>
    <s v="Валерьянович"/>
    <x v="1"/>
    <x v="0"/>
    <s v="Бухгалтер"/>
    <n v="12000"/>
    <x v="2"/>
    <d v="2016-09-13T00:00:00"/>
    <d v="1985-01-15T00:00:00"/>
    <n v="6"/>
    <n v="37"/>
    <s v="+7(8332)64-32-01"/>
  </r>
  <r>
    <n v="107"/>
    <s v="Богуславская"/>
    <s v="Дарья"/>
    <s v="Вячеславовна"/>
    <x v="0"/>
    <x v="1"/>
    <s v="Референт"/>
    <n v="15000"/>
    <x v="1"/>
    <d v="2009-05-23T00:00:00"/>
    <d v="1982-10-30T00:00:00"/>
    <n v="13"/>
    <n v="40"/>
    <s v="+7(8332)64-32-18"/>
  </r>
  <r>
    <n v="108"/>
    <s v="Иванов"/>
    <s v="Александр"/>
    <s v="Геннадиевич"/>
    <x v="1"/>
    <x v="1"/>
    <s v="Директор"/>
    <n v="35000"/>
    <x v="0"/>
    <d v="2005-08-15T00:00:00"/>
    <d v="1978-01-09T00:00:00"/>
    <n v="17"/>
    <n v="44"/>
    <s v="+7(8332)64-32-18"/>
  </r>
  <r>
    <n v="109"/>
    <s v="Васильев"/>
    <s v="Леонид"/>
    <s v="Сергеевич"/>
    <x v="1"/>
    <x v="1"/>
    <s v="Зам. директора"/>
    <n v="28000"/>
    <x v="0"/>
    <d v="2007-01-21T00:00:00"/>
    <d v="1976-01-27T00:00:00"/>
    <n v="15"/>
    <n v="46"/>
    <s v="+7(8332)64-32-18"/>
  </r>
  <r>
    <n v="110"/>
    <s v="Федотова"/>
    <s v="Инна"/>
    <s v="Николаевна"/>
    <x v="0"/>
    <x v="1"/>
    <s v="Финансовый директор"/>
    <n v="30000"/>
    <x v="0"/>
    <d v="1994-04-12T00:00:00"/>
    <d v="1973-06-06T00:00:00"/>
    <n v="28"/>
    <n v="49"/>
    <s v="+7(8332)64-32-18"/>
  </r>
  <r>
    <n v="111"/>
    <s v="Прохорова"/>
    <s v="Татьяна"/>
    <s v="Петровна"/>
    <x v="0"/>
    <x v="1"/>
    <s v="Секретарь"/>
    <n v="15000"/>
    <x v="2"/>
    <d v="2017-08-13T00:00:00"/>
    <d v="1990-11-30T00:00:00"/>
    <n v="5"/>
    <n v="31"/>
    <s v="+7(8332)64-32-18"/>
  </r>
  <r>
    <n v="112"/>
    <s v="Максимов"/>
    <s v="Андрей"/>
    <s v="Леонидович"/>
    <x v="1"/>
    <x v="2"/>
    <s v="Начальник отдела"/>
    <n v="22000"/>
    <x v="0"/>
    <d v="2012-02-27T00:00:00"/>
    <d v="1985-12-09T00:00:00"/>
    <n v="10"/>
    <n v="36"/>
    <s v="+7(8332)64-32-01"/>
  </r>
  <r>
    <n v="113"/>
    <s v="Черкизова"/>
    <s v="Татьяна"/>
    <s v="Владиславовна"/>
    <x v="0"/>
    <x v="2"/>
    <s v="Специалист по маркетингу"/>
    <n v="18000"/>
    <x v="0"/>
    <d v="1995-03-30T00:00:00"/>
    <d v="1968-12-14T00:00:00"/>
    <n v="27"/>
    <n v="53"/>
    <s v="+7(8332)64-32-01"/>
  </r>
  <r>
    <n v="114"/>
    <s v="Горбачева"/>
    <s v="Клавдия"/>
    <s v="Валериевна"/>
    <x v="0"/>
    <x v="3"/>
    <s v="Главный технолог"/>
    <n v="22000"/>
    <x v="0"/>
    <d v="2018-09-13T00:00:00"/>
    <d v="1966-07-12T00:00:00"/>
    <n v="4"/>
    <n v="56"/>
    <s v="+7(8332)64-32-18"/>
  </r>
  <r>
    <n v="115"/>
    <s v="Кипарисова"/>
    <s v="Ирина"/>
    <s v="Петровна"/>
    <x v="0"/>
    <x v="3"/>
    <s v="Машинистка"/>
    <n v="12000"/>
    <x v="1"/>
    <d v="1996-02-01T00:00:00"/>
    <d v="1972-09-11T00:00:00"/>
    <n v="26"/>
    <n v="50"/>
    <s v="+7(8332)64-32-18"/>
  </r>
  <r>
    <n v="116"/>
    <s v="Макарова"/>
    <s v="Элина"/>
    <s v="Дмитриевна"/>
    <x v="0"/>
    <x v="3"/>
    <s v="Технолог"/>
    <n v="15000"/>
    <x v="1"/>
    <d v="1996-08-15T00:00:00"/>
    <d v="1970-08-30T00:00:00"/>
    <n v="26"/>
    <n v="52"/>
    <s v="+7(8332)64-32-18"/>
  </r>
  <r>
    <n v="117"/>
    <s v="Мозговая"/>
    <s v="Елена"/>
    <s v="Вячеславовна"/>
    <x v="0"/>
    <x v="3"/>
    <s v="Машинистка"/>
    <n v="12000"/>
    <x v="3"/>
    <d v="1997-01-15T00:00:00"/>
    <d v="1973-06-06T00:00:00"/>
    <n v="25"/>
    <n v="49"/>
    <s v="+7(8332)64-32-18"/>
  </r>
  <r>
    <n v="118"/>
    <s v="Орлова"/>
    <s v="Марина"/>
    <s v="Геннадиевна"/>
    <x v="0"/>
    <x v="3"/>
    <s v="Верстальщик"/>
    <n v="12000"/>
    <x v="1"/>
    <d v="1999-05-23T00:00:00"/>
    <d v="1970-03-14T00:00:00"/>
    <n v="23"/>
    <n v="52"/>
    <s v="+7(8332)64-32-18"/>
  </r>
  <r>
    <n v="119"/>
    <s v="Савицкая"/>
    <s v="Александра"/>
    <s v="Александровна"/>
    <x v="0"/>
    <x v="3"/>
    <s v="Ведущий специалист"/>
    <n v="17000"/>
    <x v="0"/>
    <d v="2008-04-12T00:00:00"/>
    <d v="1977-10-22T00:00:00"/>
    <n v="14"/>
    <n v="45"/>
    <s v="+7(8332)64-32-18"/>
  </r>
  <r>
    <n v="120"/>
    <s v="Саламатина"/>
    <s v="Татьяна"/>
    <s v="Федоровна"/>
    <x v="0"/>
    <x v="3"/>
    <s v="Технический корректор"/>
    <n v="14000"/>
    <x v="1"/>
    <d v="1997-01-12T00:00:00"/>
    <d v="1966-01-27T00:00:00"/>
    <n v="25"/>
    <n v="56"/>
    <s v="+7(8332)64-32-18"/>
  </r>
  <r>
    <n v="121"/>
    <s v="Сидоренко"/>
    <s v="Людмила"/>
    <s v="Борисовна"/>
    <x v="0"/>
    <x v="3"/>
    <s v="Технический корректор"/>
    <n v="14000"/>
    <x v="1"/>
    <d v="2009-02-01T00:00:00"/>
    <d v="1985-12-10T00:00:00"/>
    <n v="13"/>
    <n v="36"/>
    <s v="+7(8332)64-32-18"/>
  </r>
  <r>
    <n v="122"/>
    <s v="Синицына"/>
    <s v="Вера"/>
    <s v="Николаевна"/>
    <x v="0"/>
    <x v="3"/>
    <s v="Технический специалист"/>
    <n v="14000"/>
    <x v="1"/>
    <d v="1999-09-24T00:00:00"/>
    <d v="1968-01-09T00:00:00"/>
    <n v="23"/>
    <n v="54"/>
    <s v="+7(8332)64-32-18"/>
  </r>
  <r>
    <n v="123"/>
    <s v="Чаповская"/>
    <s v="Марина"/>
    <s v="Владиславовна"/>
    <x v="0"/>
    <x v="3"/>
    <s v="Верстальщик"/>
    <n v="12000"/>
    <x v="0"/>
    <d v="1996-08-13T00:00:00"/>
    <d v="1960-12-30T00:00:00"/>
    <n v="26"/>
    <n v="61"/>
    <s v="+7(8332)64-32-18"/>
  </r>
  <r>
    <n v="124"/>
    <s v="Эль-фалах"/>
    <s v="Наима"/>
    <s v="Николаевна"/>
    <x v="0"/>
    <x v="3"/>
    <s v="Технолог"/>
    <n v="15000"/>
    <x v="3"/>
    <d v="1997-01-21T00:00:00"/>
    <d v="1975-06-06T00:00:00"/>
    <n v="25"/>
    <n v="47"/>
    <s v="+7(8332)64-32-18"/>
  </r>
  <r>
    <n v="125"/>
    <s v="Юматова"/>
    <s v="Татьяна"/>
    <s v="Сергеевна"/>
    <x v="0"/>
    <x v="3"/>
    <s v="Верстальщик"/>
    <n v="12000"/>
    <x v="3"/>
    <d v="1996-08-13T00:00:00"/>
    <d v="1960-05-29T00:00:00"/>
    <n v="26"/>
    <n v="62"/>
    <s v="+7(8332)64-32-18"/>
  </r>
  <r>
    <n v="126"/>
    <s v="Патычук"/>
    <s v="Валерий"/>
    <s v="Леонидович"/>
    <x v="1"/>
    <x v="2"/>
    <s v="Начальник отдела"/>
    <n v="22000"/>
    <x v="0"/>
    <d v="2010-05-23T00:00:00"/>
    <d v="1982-10-08T00:00:00"/>
    <n v="12"/>
    <n v="40"/>
    <s v="+7(8332)64-32-01"/>
  </r>
  <r>
    <n v="127"/>
    <s v="Шлайфер"/>
    <s v="Сергей"/>
    <s v="Дмитриевич"/>
    <x v="1"/>
    <x v="3"/>
    <s v="Художник"/>
    <n v="20000"/>
    <x v="0"/>
    <d v="2011-09-24T00:00:00"/>
    <d v="1985-12-09T00:00:00"/>
    <n v="11"/>
    <n v="36"/>
    <s v="+7(8332)64-32-18"/>
  </r>
  <r>
    <n v="128"/>
    <s v="Курносов"/>
    <s v="Александр"/>
    <s v="Дмитриевич"/>
    <x v="1"/>
    <x v="2"/>
    <s v="Специалист по рекламе"/>
    <n v="18000"/>
    <x v="1"/>
    <d v="2015-09-13T00:00:00"/>
    <d v="1988-05-29T00:00:00"/>
    <n v="7"/>
    <n v="34"/>
    <s v="+7(8332)64-32-01"/>
  </r>
  <r>
    <n v="129"/>
    <s v="Урбановский"/>
    <s v="Константин"/>
    <s v="Владимирович"/>
    <x v="1"/>
    <x v="2"/>
    <s v="Менеджер"/>
    <n v="15000"/>
    <x v="0"/>
    <d v="2014-11-29T00:00:00"/>
    <d v="1992-09-04T00:00:00"/>
    <n v="7"/>
    <n v="30"/>
    <s v="+7(8332)64-32-01"/>
  </r>
  <r>
    <n v="130"/>
    <s v="Арбузова"/>
    <s v="Маргарита"/>
    <s v="Ивановна"/>
    <x v="0"/>
    <x v="1"/>
    <s v="Референт"/>
    <n v="15000"/>
    <x v="2"/>
    <d v="2017-01-30T00:00:00"/>
    <d v="1995-01-15T00:00:00"/>
    <n v="5"/>
    <n v="27"/>
    <s v="+7(8332)64-32-18"/>
  </r>
  <r>
    <n v="131"/>
    <s v="Конищев"/>
    <s v="Владимир"/>
    <s v="Александрович"/>
    <x v="1"/>
    <x v="2"/>
    <s v="Начальник отдела"/>
    <n v="22000"/>
    <x v="0"/>
    <d v="2008-01-12T00:00:00"/>
    <d v="1976-07-12T00:00:00"/>
    <n v="14"/>
    <n v="46"/>
    <s v="+7(8332)64-32-01"/>
  </r>
  <r>
    <n v="132"/>
    <s v="Ильинский"/>
    <s v="Владимир"/>
    <s v="Валерьянович"/>
    <x v="1"/>
    <x v="4"/>
    <s v="Менеджер "/>
    <n v="15000"/>
    <x v="1"/>
    <d v="2013-02-01T00:00:00"/>
    <d v="1990-08-30T00:00:00"/>
    <n v="9"/>
    <n v="32"/>
    <s v="+7(8332)64-32-01"/>
  </r>
  <r>
    <n v="133"/>
    <s v="Шалашников"/>
    <s v="Евгений"/>
    <s v="Петрович"/>
    <x v="1"/>
    <x v="2"/>
    <s v="Менеджер"/>
    <n v="15000"/>
    <x v="0"/>
    <d v="2014-05-23T00:00:00"/>
    <d v="1992-09-24T00:00:00"/>
    <n v="8"/>
    <n v="30"/>
    <s v="+7(8332)64-32-01"/>
  </r>
  <r>
    <n v="134"/>
    <s v="Володина"/>
    <s v="Валентина"/>
    <s v="Кириловна"/>
    <x v="0"/>
    <x v="3"/>
    <s v="Художник"/>
    <n v="20000"/>
    <x v="0"/>
    <d v="1996-05-23T00:00:00"/>
    <d v="1968-12-14T00:00:00"/>
    <n v="26"/>
    <n v="53"/>
    <s v="+7(8332)64-32-18"/>
  </r>
  <r>
    <n v="135"/>
    <s v="Кулинич"/>
    <s v="Людмила"/>
    <s v="Николаевна"/>
    <x v="0"/>
    <x v="3"/>
    <s v="Художник"/>
    <n v="20000"/>
    <x v="2"/>
    <d v="1996-08-13T00:00:00"/>
    <d v="1965-05-29T00:00:00"/>
    <n v="26"/>
    <n v="57"/>
    <s v="+7(8332)64-32-18"/>
  </r>
  <r>
    <n v="136"/>
    <s v="Полхова"/>
    <s v="Мария"/>
    <s v="Никитична"/>
    <x v="0"/>
    <x v="2"/>
    <s v="Начальник отдела"/>
    <n v="22000"/>
    <x v="2"/>
    <d v="2008-02-01T00:00:00"/>
    <d v="1975-12-09T00:00:00"/>
    <n v="14"/>
    <n v="46"/>
    <s v="+7(8332)64-32-01"/>
  </r>
  <r>
    <n v="137"/>
    <s v="Царева"/>
    <s v="Марина"/>
    <s v="Игоревна"/>
    <x v="0"/>
    <x v="1"/>
    <s v="Референт"/>
    <n v="15000"/>
    <x v="2"/>
    <d v="2015-09-24T00:00:00"/>
    <d v="1992-09-04T00:00:00"/>
    <n v="7"/>
    <n v="30"/>
    <s v="+7(8332)64-32-18"/>
  </r>
  <r>
    <n v="138"/>
    <s v="Шаталова"/>
    <s v="Ирина"/>
    <s v="Игнатьевна"/>
    <x v="0"/>
    <x v="5"/>
    <s v="Зам. начальника отдела"/>
    <n v="18000"/>
    <x v="0"/>
    <d v="1994-02-15T00:00:00"/>
    <d v="1965-01-15T00:00:00"/>
    <n v="28"/>
    <n v="57"/>
    <s v="+7(8332)64-32-01"/>
  </r>
  <r>
    <n v="139"/>
    <s v="Белозерова"/>
    <s v="Ольга"/>
    <s v="Владимировна"/>
    <x v="0"/>
    <x v="1"/>
    <s v="Референт"/>
    <n v="15000"/>
    <x v="1"/>
    <d v="2014-02-27T00:00:00"/>
    <d v="1990-05-29T00:00:00"/>
    <n v="8"/>
    <n v="32"/>
    <s v="+7(8332)64-32-18"/>
  </r>
  <r>
    <n v="140"/>
    <s v="Самсонова"/>
    <s v="Светлана"/>
    <s v="Андреевна"/>
    <x v="0"/>
    <x v="2"/>
    <s v="Менеджер"/>
    <n v="15000"/>
    <x v="2"/>
    <d v="2008-07-12T00:00:00"/>
    <d v="1980-03-04T00:00:00"/>
    <n v="14"/>
    <n v="42"/>
    <s v="+7(8332)64-32-01"/>
  </r>
  <r>
    <n v="141"/>
    <s v="Кожедуб"/>
    <s v="Станислав"/>
    <s v="Сергеевич"/>
    <x v="1"/>
    <x v="5"/>
    <s v="Зам. начальника отдела"/>
    <n v="18000"/>
    <x v="0"/>
    <d v="1996-08-13T00:00:00"/>
    <d v="1975-01-11T00:00:00"/>
    <n v="26"/>
    <n v="47"/>
    <s v="+7(8332)64-32-01"/>
  </r>
  <r>
    <n v="142"/>
    <s v="Георгиева"/>
    <s v="Ульяна"/>
    <s v="Сергеевна"/>
    <x v="0"/>
    <x v="6"/>
    <s v="Кладовщик"/>
    <n v="15000"/>
    <x v="3"/>
    <d v="1995-09-13T00:00:00"/>
    <d v="1966-01-27T00:00:00"/>
    <n v="27"/>
    <n v="56"/>
    <s v="+7(8332)64-32-23"/>
  </r>
  <r>
    <n v="143"/>
    <s v="Веселов"/>
    <s v="Аркадий"/>
    <s v="Тимофеевич"/>
    <x v="1"/>
    <x v="6"/>
    <s v="Грузчик"/>
    <n v="11000"/>
    <x v="3"/>
    <d v="2015-01-12T00:00:00"/>
    <d v="1982-10-08T00:00:00"/>
    <n v="7"/>
    <n v="40"/>
    <s v="+7(8332)64-32-23"/>
  </r>
  <r>
    <n v="144"/>
    <s v="Ильин"/>
    <s v="Станислав"/>
    <s v="Алексендрович"/>
    <x v="1"/>
    <x v="6"/>
    <s v="Грузчик"/>
    <n v="11000"/>
    <x v="3"/>
    <d v="2018-01-15T00:00:00"/>
    <d v="1990-11-30T00:00:00"/>
    <n v="4"/>
    <n v="31"/>
    <s v="+7(8332)64-32-23"/>
  </r>
  <r>
    <n v="145"/>
    <s v="Мамуладзе"/>
    <s v="Сергей"/>
    <s v="Петрович"/>
    <x v="1"/>
    <x v="6"/>
    <s v="Начальник склада"/>
    <n v="22000"/>
    <x v="2"/>
    <d v="1995-03-30T00:00:00"/>
    <d v="1969-01-01T00:00:00"/>
    <n v="27"/>
    <n v="53"/>
    <s v="+7(8332)64-32-23"/>
  </r>
  <r>
    <n v="146"/>
    <s v="Парамонов"/>
    <s v="Валерий"/>
    <s v="Виталиевич"/>
    <x v="1"/>
    <x v="6"/>
    <s v="Кладовщик"/>
    <n v="15000"/>
    <x v="3"/>
    <d v="1995-11-29T00:00:00"/>
    <d v="1973-06-06T00:00:00"/>
    <n v="26"/>
    <n v="49"/>
    <s v="+7(8332)64-32-23"/>
  </r>
  <r>
    <n v="147"/>
    <s v="Сильченко"/>
    <s v="Савелий"/>
    <s v="Романович"/>
    <x v="1"/>
    <x v="6"/>
    <s v="Грузчик"/>
    <n v="11000"/>
    <x v="3"/>
    <d v="2016-01-30T00:00:00"/>
    <d v="1992-09-11T00:00:00"/>
    <n v="6"/>
    <n v="30"/>
    <s v="+7(8332)64-32-23"/>
  </r>
  <r>
    <n v="148"/>
    <s v="Ферапонтов"/>
    <s v="Илья"/>
    <s v="Леонидович"/>
    <x v="1"/>
    <x v="2"/>
    <s v="Начальник отдела"/>
    <n v="22000"/>
    <x v="0"/>
    <d v="2019-03-15T00:00:00"/>
    <d v="1975-12-09T00:00:00"/>
    <n v="3"/>
    <n v="46"/>
    <s v="+7(8332)64-32-01"/>
  </r>
  <r>
    <n v="149"/>
    <s v="Старшинов"/>
    <s v="Федор"/>
    <s v="Дмитриевич"/>
    <x v="1"/>
    <x v="7"/>
    <s v="Водитель"/>
    <n v="12000"/>
    <x v="3"/>
    <d v="1995-03-01T00:00:00"/>
    <d v="1968-12-14T00:00:00"/>
    <n v="27"/>
    <n v="53"/>
    <s v="+7(8332)64-32-18"/>
  </r>
  <r>
    <n v="150"/>
    <s v="Бычкова"/>
    <s v="Людмила"/>
    <s v="Петровна"/>
    <x v="0"/>
    <x v="8"/>
    <s v="Переводчик"/>
    <n v="16000"/>
    <x v="0"/>
    <d v="1995-01-15T00:00:00"/>
    <d v="1960-11-30T00:00:00"/>
    <n v="27"/>
    <n v="61"/>
    <s v="+7(8332)64-32-01"/>
  </r>
  <r>
    <n v="151"/>
    <s v="Каменская"/>
    <s v="Светлана"/>
    <s v="Алексендровна"/>
    <x v="0"/>
    <x v="8"/>
    <s v="Зам. гл. редактора"/>
    <n v="19000"/>
    <x v="2"/>
    <d v="1997-01-15T00:00:00"/>
    <d v="1973-06-06T00:00:00"/>
    <n v="25"/>
    <n v="49"/>
    <s v="+7(8332)64-32-01"/>
  </r>
  <r>
    <n v="152"/>
    <s v="Карпухина"/>
    <s v="Лилия"/>
    <s v="Петровна"/>
    <x v="0"/>
    <x v="8"/>
    <s v="Редактор"/>
    <n v="14000"/>
    <x v="2"/>
    <d v="2012-03-30T00:00:00"/>
    <d v="1982-09-19T00:00:00"/>
    <n v="10"/>
    <n v="40"/>
    <s v="+7(8332)64-32-01"/>
  </r>
  <r>
    <n v="153"/>
    <s v="Корнеева"/>
    <s v="Ольга"/>
    <s v="Дмитриевна"/>
    <x v="0"/>
    <x v="8"/>
    <s v="Переводчик"/>
    <n v="16000"/>
    <x v="0"/>
    <d v="1999-03-01T00:00:00"/>
    <d v="1972-10-08T00:00:00"/>
    <n v="23"/>
    <n v="50"/>
    <s v="+7(8332)64-32-01"/>
  </r>
  <r>
    <n v="154"/>
    <s v="Красникова"/>
    <s v="Рита"/>
    <s v="Андреевна"/>
    <x v="0"/>
    <x v="8"/>
    <s v="Редактор"/>
    <n v="14000"/>
    <x v="0"/>
    <d v="1996-07-12T00:00:00"/>
    <d v="1959-02-19T00:00:00"/>
    <n v="26"/>
    <n v="63"/>
    <s v="+7(8332)64-32-01"/>
  </r>
  <r>
    <n v="155"/>
    <s v="Крюкова"/>
    <s v="Наталья"/>
    <s v="Тимофеевна"/>
    <x v="0"/>
    <x v="8"/>
    <s v="Корректор"/>
    <n v="14000"/>
    <x v="0"/>
    <d v="1997-01-12T00:00:00"/>
    <d v="1966-01-27T00:00:00"/>
    <n v="25"/>
    <n v="56"/>
    <s v="+7(8332)64-32-01"/>
  </r>
  <r>
    <n v="156"/>
    <s v="Мосичева"/>
    <s v="Ирина"/>
    <s v="Романовна"/>
    <x v="0"/>
    <x v="8"/>
    <s v="Корректор"/>
    <n v="14000"/>
    <x v="2"/>
    <d v="1997-01-30T00:00:00"/>
    <d v="1958-01-09T00:00:00"/>
    <n v="25"/>
    <n v="64"/>
    <s v="+7(8332)64-32-01"/>
  </r>
  <r>
    <n v="157"/>
    <s v="Осокина"/>
    <s v="Римма"/>
    <s v="Леонидовна"/>
    <x v="0"/>
    <x v="3"/>
    <s v="Машинистка"/>
    <n v="12000"/>
    <x v="1"/>
    <d v="2009-03-15T00:00:00"/>
    <d v="1982-09-11T00:00:00"/>
    <n v="13"/>
    <n v="40"/>
    <s v="+7(8332)64-32-18"/>
  </r>
  <r>
    <n v="158"/>
    <s v="Потемкина"/>
    <s v="Галина"/>
    <s v="Владимировна"/>
    <x v="0"/>
    <x v="8"/>
    <s v="Редактор"/>
    <n v="14000"/>
    <x v="0"/>
    <d v="1996-02-27T00:00:00"/>
    <d v="1963-08-30T00:00:00"/>
    <n v="26"/>
    <n v="59"/>
    <s v="+7(8332)64-32-01"/>
  </r>
  <r>
    <n v="159"/>
    <s v="Старцева"/>
    <s v="Ольга"/>
    <s v="Виталиевна"/>
    <x v="0"/>
    <x v="8"/>
    <s v="Корректор"/>
    <n v="14000"/>
    <x v="0"/>
    <d v="1995-11-29T00:00:00"/>
    <d v="1960-05-29T00:00:00"/>
    <n v="26"/>
    <n v="62"/>
    <s v="+7(8332)64-32-01"/>
  </r>
  <r>
    <n v="160"/>
    <s v="Фомина"/>
    <s v="Анна"/>
    <s v="Сергеевна"/>
    <x v="0"/>
    <x v="8"/>
    <s v="Корректор"/>
    <n v="14000"/>
    <x v="0"/>
    <d v="2017-09-13T00:00:00"/>
    <d v="1990-03-04T00:00:00"/>
    <n v="5"/>
    <n v="32"/>
    <s v="+7(8332)64-32-01"/>
  </r>
  <r>
    <n v="161"/>
    <s v="Канарейкин"/>
    <s v="Степан"/>
    <s v="Петрович"/>
    <x v="1"/>
    <x v="7"/>
    <s v="Водитель"/>
    <n v="12000"/>
    <x v="1"/>
    <d v="1985-03-02T00:00:00"/>
    <d v="1965-05-29T00:00:00"/>
    <n v="37"/>
    <n v="57"/>
    <s v="+7(8332)64-32-18"/>
  </r>
  <r>
    <n v="162"/>
    <s v="Савченков"/>
    <s v="Андрей"/>
    <s v="Николаевич"/>
    <x v="1"/>
    <x v="7"/>
    <s v="Водитель"/>
    <n v="12000"/>
    <x v="1"/>
    <d v="1987-09-03T00:00:00"/>
    <d v="1962-09-04T00:00:00"/>
    <n v="35"/>
    <n v="60"/>
    <s v="+7(8332)64-32-18"/>
  </r>
  <r>
    <n v="163"/>
    <s v="Силкин"/>
    <s v="Алексей"/>
    <s v="Сергеевич"/>
    <x v="1"/>
    <x v="8"/>
    <s v="Главный редактор"/>
    <n v="20000"/>
    <x v="0"/>
    <d v="1996-03-29T00:00:00"/>
    <d v="1967-12-08T00:00:00"/>
    <n v="26"/>
    <n v="54"/>
    <s v="+7(8332)64-32-01"/>
  </r>
  <r>
    <n v="164"/>
    <s v="Толоконникова"/>
    <s v="Майя"/>
    <s v="Кириловна"/>
    <x v="0"/>
    <x v="7"/>
    <s v="Диспетчер"/>
    <n v="12000"/>
    <x v="3"/>
    <d v="2018-12-04T00:00:00"/>
    <d v="1995-01-15T00:00:00"/>
    <n v="3"/>
    <n v="27"/>
    <s v="+7(8332)64-32-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101"/>
    <s v="Айдарпашич"/>
    <s v="Амина"/>
    <s v="Александровна"/>
    <n v="12000"/>
    <n v="1200"/>
    <n v="1800"/>
    <n v="15000"/>
    <n v="1950"/>
    <n v="13050"/>
    <s v="жен"/>
    <x v="0"/>
    <s v="Бухгалтер"/>
    <s v="высшее"/>
    <d v="2006-08-15T00:00:00"/>
    <n v="16"/>
    <d v="1982-09-04T00:00:00"/>
    <n v="40"/>
    <s v="+7(8332)64-32-01"/>
  </r>
  <r>
    <n v="105"/>
    <s v="Алеев"/>
    <s v="Леонид"/>
    <s v="Иванович"/>
    <n v="17000"/>
    <n v="1700"/>
    <n v="2550"/>
    <n v="21250"/>
    <n v="2762.5"/>
    <n v="18487.5"/>
    <s v="муж"/>
    <x v="0"/>
    <s v="Зам. гл. бухгалтера"/>
    <s v="высшее"/>
    <d v="2012-09-13T00:00:00"/>
    <n v="10"/>
    <d v="1985-05-29T00:00:00"/>
    <n v="37"/>
    <s v="+7(8332)64-32-01"/>
  </r>
  <r>
    <n v="130"/>
    <s v="Арбузова"/>
    <s v="Маргарита"/>
    <s v="Ивановна"/>
    <n v="15000"/>
    <n v="1500"/>
    <n v="2250"/>
    <n v="18750"/>
    <n v="2437.5"/>
    <n v="16312.5"/>
    <s v="жен"/>
    <x v="1"/>
    <s v="Референт"/>
    <s v="неполное высшее"/>
    <d v="2017-01-30T00:00:00"/>
    <n v="5"/>
    <d v="1995-01-15T00:00:00"/>
    <n v="27"/>
    <s v="+7(8332)64-32-18"/>
  </r>
  <r>
    <n v="139"/>
    <s v="Белозерова"/>
    <s v="Ольга"/>
    <s v="Владимировна"/>
    <n v="15000"/>
    <n v="1500"/>
    <n v="2250"/>
    <n v="18750"/>
    <n v="2437.5"/>
    <n v="16312.5"/>
    <s v="жен"/>
    <x v="1"/>
    <s v="Референт"/>
    <s v="среднее специальное"/>
    <d v="2014-02-27T00:00:00"/>
    <n v="8"/>
    <d v="1990-05-29T00:00:00"/>
    <n v="32"/>
    <s v="+7(8332)64-32-18"/>
  </r>
  <r>
    <n v="107"/>
    <s v="Богуславская"/>
    <s v="Дарья"/>
    <s v="Вячеславовна"/>
    <n v="15000"/>
    <n v="1500"/>
    <n v="2250"/>
    <n v="18750"/>
    <n v="2437.5"/>
    <n v="16312.5"/>
    <s v="жен"/>
    <x v="1"/>
    <s v="Референт"/>
    <s v="среднее специальное"/>
    <d v="2009-05-23T00:00:00"/>
    <n v="13"/>
    <d v="1982-10-30T00:00:00"/>
    <n v="40"/>
    <s v="+7(8332)64-32-18"/>
  </r>
  <r>
    <n v="150"/>
    <s v="Бычкова"/>
    <s v="Людмила"/>
    <s v="Петровна"/>
    <n v="16000"/>
    <n v="1600"/>
    <n v="2400"/>
    <n v="20000"/>
    <n v="2600"/>
    <n v="17400"/>
    <s v="жен"/>
    <x v="2"/>
    <s v="Переводчик"/>
    <s v="высшее"/>
    <d v="1995-01-15T00:00:00"/>
    <n v="27"/>
    <d v="1960-11-30T00:00:00"/>
    <n v="61"/>
    <s v="+7(8332)64-32-01"/>
  </r>
  <r>
    <n v="109"/>
    <s v="Васильев"/>
    <s v="Леонид"/>
    <s v="Сергеевич"/>
    <n v="28000"/>
    <n v="2800"/>
    <n v="4200"/>
    <n v="35000"/>
    <n v="4550"/>
    <n v="30450"/>
    <s v="муж"/>
    <x v="1"/>
    <s v="Зам. директора"/>
    <s v="высшее"/>
    <d v="2007-01-21T00:00:00"/>
    <n v="15"/>
    <d v="1976-01-27T00:00:00"/>
    <n v="46"/>
    <s v="+7(8332)64-32-18"/>
  </r>
  <r>
    <n v="102"/>
    <s v="Вербицкая"/>
    <s v="Елена"/>
    <s v="Вадимовна"/>
    <n v="20000"/>
    <n v="2000"/>
    <n v="3000"/>
    <n v="25000"/>
    <n v="3250"/>
    <n v="21750"/>
    <s v="жен"/>
    <x v="0"/>
    <s v="Главный бухгалтер"/>
    <s v="высшее"/>
    <d v="1994-02-15T00:00:00"/>
    <n v="28"/>
    <d v="1968-12-14T00:00:00"/>
    <n v="53"/>
    <s v="+7(8332)64-32-01"/>
  </r>
  <r>
    <n v="143"/>
    <s v="Веселов"/>
    <s v="Аркадий"/>
    <s v="Тимофеевич"/>
    <n v="11000"/>
    <n v="1100"/>
    <n v="1650"/>
    <n v="13750"/>
    <n v="1787.5"/>
    <n v="11962.5"/>
    <s v="муж"/>
    <x v="3"/>
    <s v="Грузчик"/>
    <s v="среднее"/>
    <d v="2015-01-12T00:00:00"/>
    <n v="7"/>
    <d v="1982-10-08T00:00:00"/>
    <n v="40"/>
    <s v="+7(8332)64-32-23"/>
  </r>
  <r>
    <n v="134"/>
    <s v="Володина"/>
    <s v="Валентина"/>
    <s v="Кириловна"/>
    <n v="20000"/>
    <n v="2000"/>
    <n v="3000"/>
    <n v="25000"/>
    <n v="3250"/>
    <n v="21750"/>
    <s v="жен"/>
    <x v="4"/>
    <s v="Художник"/>
    <s v="высшее"/>
    <d v="1996-05-23T00:00:00"/>
    <n v="26"/>
    <d v="1968-12-14T00:00:00"/>
    <n v="53"/>
    <s v="+7(8332)64-32-18"/>
  </r>
  <r>
    <n v="142"/>
    <s v="Георгиева"/>
    <s v="Ульяна"/>
    <s v="Сергеевна"/>
    <n v="15000"/>
    <n v="1500"/>
    <n v="2250"/>
    <n v="18750"/>
    <n v="2437.5"/>
    <n v="16312.5"/>
    <s v="жен"/>
    <x v="3"/>
    <s v="Кладовщик"/>
    <s v="среднее"/>
    <d v="1995-09-13T00:00:00"/>
    <n v="27"/>
    <d v="1966-01-27T00:00:00"/>
    <n v="56"/>
    <s v="+7(8332)64-32-23"/>
  </r>
  <r>
    <n v="114"/>
    <s v="Горбачева"/>
    <s v="Клавдия"/>
    <s v="Валериевна"/>
    <n v="22000"/>
    <n v="0"/>
    <n v="3300"/>
    <n v="25300"/>
    <n v="3289"/>
    <n v="22011"/>
    <s v="жен"/>
    <x v="4"/>
    <s v="Главный технолог"/>
    <s v="высшее"/>
    <d v="2018-09-13T00:00:00"/>
    <n v="4"/>
    <d v="1966-07-12T00:00:00"/>
    <n v="56"/>
    <s v="+7(8332)64-32-18"/>
  </r>
  <r>
    <n v="108"/>
    <s v="Иванов"/>
    <s v="Александр"/>
    <s v="Геннадиевич"/>
    <n v="35000"/>
    <n v="3500"/>
    <n v="5250"/>
    <n v="43750"/>
    <n v="5687.5"/>
    <n v="38062.5"/>
    <s v="муж"/>
    <x v="1"/>
    <s v="Директор"/>
    <s v="высшее"/>
    <d v="2005-08-15T00:00:00"/>
    <n v="17"/>
    <d v="1978-01-09T00:00:00"/>
    <n v="44"/>
    <s v="+7(8332)64-32-18"/>
  </r>
  <r>
    <n v="103"/>
    <s v="Иванова"/>
    <s v="Людмила"/>
    <s v="Петровна"/>
    <n v="12000"/>
    <n v="1200"/>
    <n v="1800"/>
    <n v="15000"/>
    <n v="1950"/>
    <n v="13050"/>
    <s v="жен"/>
    <x v="0"/>
    <s v="Кассир"/>
    <s v="среднее специальное"/>
    <d v="2017-08-15T00:00:00"/>
    <n v="5"/>
    <d v="1995-03-04T00:00:00"/>
    <n v="27"/>
    <s v="+7(8332)64-32-01"/>
  </r>
  <r>
    <n v="144"/>
    <s v="Ильин"/>
    <s v="Станислав"/>
    <s v="Алексендрович"/>
    <n v="11000"/>
    <n v="0"/>
    <n v="1650"/>
    <n v="12650"/>
    <n v="1644.5"/>
    <n v="11005.5"/>
    <s v="муж"/>
    <x v="3"/>
    <s v="Грузчик"/>
    <s v="среднее"/>
    <d v="2018-01-15T00:00:00"/>
    <n v="4"/>
    <d v="1990-11-30T00:00:00"/>
    <n v="31"/>
    <s v="+7(8332)64-32-23"/>
  </r>
  <r>
    <n v="132"/>
    <s v="Ильинский"/>
    <s v="Владимир"/>
    <s v="Валерьянович"/>
    <n v="15000"/>
    <n v="1500"/>
    <n v="2250"/>
    <n v="18750"/>
    <n v="2437.5"/>
    <n v="16312.5"/>
    <s v="муж"/>
    <x v="5"/>
    <s v="Менеджер "/>
    <s v="среднее специальное"/>
    <d v="2013-02-01T00:00:00"/>
    <n v="9"/>
    <d v="1990-08-30T00:00:00"/>
    <n v="32"/>
    <s v="+7(8332)64-32-01"/>
  </r>
  <r>
    <n v="151"/>
    <s v="Каменская"/>
    <s v="Светлана"/>
    <s v="Алексендровна"/>
    <n v="19000"/>
    <n v="1900"/>
    <n v="2850"/>
    <n v="23750"/>
    <n v="3087.5"/>
    <n v="20662.5"/>
    <s v="жен"/>
    <x v="2"/>
    <s v="Зам. гл. редактора"/>
    <s v="неполное высшее"/>
    <d v="1997-01-15T00:00:00"/>
    <n v="25"/>
    <d v="1973-06-06T00:00:00"/>
    <n v="49"/>
    <s v="+7(8332)64-32-01"/>
  </r>
  <r>
    <n v="161"/>
    <s v="Канарейкин"/>
    <s v="Степан"/>
    <s v="Петрович"/>
    <n v="12000"/>
    <n v="1200"/>
    <n v="1800"/>
    <n v="15000"/>
    <n v="1950"/>
    <n v="13050"/>
    <s v="муж"/>
    <x v="6"/>
    <s v="Водитель"/>
    <s v="среднее специальное"/>
    <d v="1985-03-02T00:00:00"/>
    <n v="37"/>
    <d v="1965-05-29T00:00:00"/>
    <n v="57"/>
    <s v="+7(8332)64-32-18"/>
  </r>
  <r>
    <n v="152"/>
    <s v="Карпухина"/>
    <s v="Лилия"/>
    <s v="Петровна"/>
    <n v="14000"/>
    <n v="1400"/>
    <n v="2100"/>
    <n v="17500"/>
    <n v="2275"/>
    <n v="15225"/>
    <s v="жен"/>
    <x v="2"/>
    <s v="Редактор"/>
    <s v="неполное высшее"/>
    <d v="2012-03-30T00:00:00"/>
    <n v="10"/>
    <d v="1982-09-19T00:00:00"/>
    <n v="40"/>
    <s v="+7(8332)64-32-01"/>
  </r>
  <r>
    <n v="115"/>
    <s v="Кипарисова"/>
    <s v="Ирина"/>
    <s v="Петровна"/>
    <n v="12000"/>
    <n v="1200"/>
    <n v="1800"/>
    <n v="15000"/>
    <n v="1950"/>
    <n v="13050"/>
    <s v="жен"/>
    <x v="4"/>
    <s v="Машинистка"/>
    <s v="среднее специальное"/>
    <d v="1996-02-01T00:00:00"/>
    <n v="26"/>
    <d v="1972-09-11T00:00:00"/>
    <n v="50"/>
    <s v="+7(8332)64-32-18"/>
  </r>
  <r>
    <n v="141"/>
    <s v="Кожедуб"/>
    <s v="Станислав"/>
    <s v="Сергеевич"/>
    <n v="18000"/>
    <n v="1800"/>
    <n v="2700"/>
    <n v="22500"/>
    <n v="2925"/>
    <n v="19575"/>
    <s v="муж"/>
    <x v="7"/>
    <s v="Зам. начальника отдела"/>
    <s v="высшее"/>
    <d v="1996-08-13T00:00:00"/>
    <n v="26"/>
    <d v="1975-01-11T00:00:00"/>
    <n v="47"/>
    <s v="+7(8332)64-32-01"/>
  </r>
  <r>
    <n v="131"/>
    <s v="Конищев"/>
    <s v="Владимир"/>
    <s v="Александрович"/>
    <n v="22000"/>
    <n v="2200"/>
    <n v="3300"/>
    <n v="27500"/>
    <n v="3575"/>
    <n v="23925"/>
    <s v="муж"/>
    <x v="8"/>
    <s v="Начальник отдела"/>
    <s v="высшее"/>
    <d v="2008-01-12T00:00:00"/>
    <n v="14"/>
    <d v="1976-07-12T00:00:00"/>
    <n v="46"/>
    <s v="+7(8332)64-32-01"/>
  </r>
  <r>
    <n v="153"/>
    <s v="Корнеева"/>
    <s v="Ольга"/>
    <s v="Дмитриевна"/>
    <n v="16000"/>
    <n v="1600"/>
    <n v="2400"/>
    <n v="20000"/>
    <n v="2600"/>
    <n v="17400"/>
    <s v="жен"/>
    <x v="2"/>
    <s v="Переводчик"/>
    <s v="высшее"/>
    <d v="1999-03-01T00:00:00"/>
    <n v="23"/>
    <d v="1972-10-08T00:00:00"/>
    <n v="50"/>
    <s v="+7(8332)64-32-01"/>
  </r>
  <r>
    <n v="154"/>
    <s v="Красникова"/>
    <s v="Рита"/>
    <s v="Андреевна"/>
    <n v="14000"/>
    <n v="1400"/>
    <n v="2100"/>
    <n v="17500"/>
    <n v="2275"/>
    <n v="15225"/>
    <s v="жен"/>
    <x v="2"/>
    <s v="Редактор"/>
    <s v="высшее"/>
    <d v="1996-07-12T00:00:00"/>
    <n v="26"/>
    <d v="1959-02-19T00:00:00"/>
    <n v="63"/>
    <s v="+7(8332)64-32-01"/>
  </r>
  <r>
    <n v="155"/>
    <s v="Крюкова"/>
    <s v="Наталья"/>
    <s v="Тимофеевна"/>
    <n v="14000"/>
    <n v="1400"/>
    <n v="2100"/>
    <n v="17500"/>
    <n v="2275"/>
    <n v="15225"/>
    <s v="жен"/>
    <x v="2"/>
    <s v="Корректор"/>
    <s v="высшее"/>
    <d v="1997-01-12T00:00:00"/>
    <n v="25"/>
    <d v="1966-01-27T00:00:00"/>
    <n v="56"/>
    <s v="+7(8332)64-32-01"/>
  </r>
  <r>
    <n v="135"/>
    <s v="Кулинич"/>
    <s v="Людмила"/>
    <s v="Николаевна"/>
    <n v="20000"/>
    <n v="2000"/>
    <n v="3000"/>
    <n v="25000"/>
    <n v="3250"/>
    <n v="21750"/>
    <s v="жен"/>
    <x v="4"/>
    <s v="Художник"/>
    <s v="неполное высшее"/>
    <d v="1996-08-13T00:00:00"/>
    <n v="26"/>
    <d v="1965-05-29T00:00:00"/>
    <n v="57"/>
    <s v="+7(8332)64-32-18"/>
  </r>
  <r>
    <n v="128"/>
    <s v="Курносов"/>
    <s v="Александр"/>
    <s v="Дмитриевич"/>
    <n v="18000"/>
    <n v="1800"/>
    <n v="2700"/>
    <n v="22500"/>
    <n v="2925"/>
    <n v="19575"/>
    <s v="муж"/>
    <x v="8"/>
    <s v="Специалист по рекламе"/>
    <s v="среднее специальное"/>
    <d v="2015-09-13T00:00:00"/>
    <n v="7"/>
    <d v="1988-05-29T00:00:00"/>
    <n v="34"/>
    <s v="+7(8332)64-32-01"/>
  </r>
  <r>
    <n v="106"/>
    <s v="Левитин"/>
    <s v="Евгений"/>
    <s v="Валерьянович"/>
    <n v="12000"/>
    <n v="1200"/>
    <n v="1800"/>
    <n v="15000"/>
    <n v="1950"/>
    <n v="13050"/>
    <s v="муж"/>
    <x v="0"/>
    <s v="Бухгалтер"/>
    <s v="неполное высшее"/>
    <d v="2016-09-13T00:00:00"/>
    <n v="6"/>
    <d v="1985-01-15T00:00:00"/>
    <n v="37"/>
    <s v="+7(8332)64-32-01"/>
  </r>
  <r>
    <n v="104"/>
    <s v="Лобурец"/>
    <s v="Диана"/>
    <s v="Борисовна"/>
    <n v="15000"/>
    <n v="1500"/>
    <n v="2250"/>
    <n v="18750"/>
    <n v="2437.5"/>
    <n v="16312.5"/>
    <s v="жен"/>
    <x v="0"/>
    <s v="Экономист"/>
    <s v="высшее"/>
    <d v="2013-09-13T00:00:00"/>
    <n v="9"/>
    <d v="1969-05-23T00:00:00"/>
    <n v="53"/>
    <s v="+7(8332)64-32-01"/>
  </r>
  <r>
    <n v="116"/>
    <s v="Макарова"/>
    <s v="Элина"/>
    <s v="Дмитриевна"/>
    <n v="15000"/>
    <n v="1500"/>
    <n v="2250"/>
    <n v="18750"/>
    <n v="2437.5"/>
    <n v="16312.5"/>
    <s v="жен"/>
    <x v="4"/>
    <s v="Технолог"/>
    <s v="среднее специальное"/>
    <d v="1996-08-15T00:00:00"/>
    <n v="26"/>
    <d v="1970-08-30T00:00:00"/>
    <n v="52"/>
    <s v="+7(8332)64-32-18"/>
  </r>
  <r>
    <n v="112"/>
    <s v="Максимов"/>
    <s v="Андрей"/>
    <s v="Леонидович"/>
    <n v="22000"/>
    <n v="2200"/>
    <n v="3300"/>
    <n v="27500"/>
    <n v="3575"/>
    <n v="23925"/>
    <s v="муж"/>
    <x v="8"/>
    <s v="Начальник отдела"/>
    <s v="высшее"/>
    <d v="2012-02-27T00:00:00"/>
    <n v="10"/>
    <d v="1985-12-09T00:00:00"/>
    <n v="36"/>
    <s v="+7(8332)64-32-01"/>
  </r>
  <r>
    <n v="145"/>
    <s v="Мамуладзе"/>
    <s v="Сергей"/>
    <s v="Петрович"/>
    <n v="22000"/>
    <n v="2200"/>
    <n v="3300"/>
    <n v="27500"/>
    <n v="3575"/>
    <n v="23925"/>
    <s v="муж"/>
    <x v="3"/>
    <s v="Начальник склада"/>
    <s v="неполное высшее"/>
    <d v="1995-03-30T00:00:00"/>
    <n v="27"/>
    <d v="1969-01-01T00:00:00"/>
    <n v="53"/>
    <s v="+7(8332)64-32-23"/>
  </r>
  <r>
    <n v="117"/>
    <s v="Мозговая"/>
    <s v="Елена"/>
    <s v="Вячеславовна"/>
    <n v="12000"/>
    <n v="1200"/>
    <n v="1800"/>
    <n v="15000"/>
    <n v="1950"/>
    <n v="13050"/>
    <s v="жен"/>
    <x v="4"/>
    <s v="Машинистка"/>
    <s v="среднее"/>
    <d v="1997-01-15T00:00:00"/>
    <n v="25"/>
    <d v="1973-06-06T00:00:00"/>
    <n v="49"/>
    <s v="+7(8332)64-32-18"/>
  </r>
  <r>
    <n v="156"/>
    <s v="Мосичева"/>
    <s v="Ирина"/>
    <s v="Романовна"/>
    <n v="14000"/>
    <n v="1400"/>
    <n v="2100"/>
    <n v="17500"/>
    <n v="2275"/>
    <n v="15225"/>
    <s v="жен"/>
    <x v="2"/>
    <s v="Корректор"/>
    <s v="неполное высшее"/>
    <d v="1997-01-30T00:00:00"/>
    <n v="25"/>
    <d v="1958-01-09T00:00:00"/>
    <n v="64"/>
    <s v="+7(8332)64-32-01"/>
  </r>
  <r>
    <n v="118"/>
    <s v="Орлова"/>
    <s v="Марина"/>
    <s v="Геннадиевна"/>
    <n v="12000"/>
    <n v="1200"/>
    <n v="1800"/>
    <n v="15000"/>
    <n v="1950"/>
    <n v="13050"/>
    <s v="жен"/>
    <x v="4"/>
    <s v="Верстальщик"/>
    <s v="среднее специальное"/>
    <d v="1999-05-23T00:00:00"/>
    <n v="23"/>
    <d v="1970-03-14T00:00:00"/>
    <n v="52"/>
    <s v="+7(8332)64-32-18"/>
  </r>
  <r>
    <n v="157"/>
    <s v="Осокина"/>
    <s v="Римма"/>
    <s v="Леонидовна"/>
    <n v="12000"/>
    <n v="1200"/>
    <n v="1800"/>
    <n v="15000"/>
    <n v="1950"/>
    <n v="13050"/>
    <s v="жен"/>
    <x v="4"/>
    <s v="Машинистка"/>
    <s v="среднее специальное"/>
    <d v="2009-03-15T00:00:00"/>
    <n v="13"/>
    <d v="1982-09-11T00:00:00"/>
    <n v="40"/>
    <s v="+7(8332)64-32-18"/>
  </r>
  <r>
    <n v="146"/>
    <s v="Парамонов"/>
    <s v="Валерий"/>
    <s v="Виталиевич"/>
    <n v="15000"/>
    <n v="1500"/>
    <n v="2250"/>
    <n v="18750"/>
    <n v="2437.5"/>
    <n v="16312.5"/>
    <s v="муж"/>
    <x v="3"/>
    <s v="Кладовщик"/>
    <s v="среднее"/>
    <d v="1995-11-29T00:00:00"/>
    <n v="26"/>
    <d v="1973-06-06T00:00:00"/>
    <n v="49"/>
    <s v="+7(8332)64-32-23"/>
  </r>
  <r>
    <n v="126"/>
    <s v="Патычук"/>
    <s v="Валерий"/>
    <s v="Леонидович"/>
    <n v="22000"/>
    <n v="2200"/>
    <n v="3300"/>
    <n v="27500"/>
    <n v="3575"/>
    <n v="23925"/>
    <s v="муж"/>
    <x v="8"/>
    <s v="Начальник отдела"/>
    <s v="высшее"/>
    <d v="2010-05-23T00:00:00"/>
    <n v="12"/>
    <d v="1982-10-08T00:00:00"/>
    <n v="40"/>
    <s v="+7(8332)64-32-01"/>
  </r>
  <r>
    <n v="136"/>
    <s v="Полхова"/>
    <s v="Мария"/>
    <s v="Никитична"/>
    <n v="22000"/>
    <n v="2200"/>
    <n v="3300"/>
    <n v="27500"/>
    <n v="3575"/>
    <n v="23925"/>
    <s v="жен"/>
    <x v="8"/>
    <s v="Начальник отдела"/>
    <s v="неполное высшее"/>
    <d v="2008-02-01T00:00:00"/>
    <n v="14"/>
    <d v="1975-12-09T00:00:00"/>
    <n v="46"/>
    <s v="+7(8332)64-32-01"/>
  </r>
  <r>
    <n v="158"/>
    <s v="Потемкина"/>
    <s v="Галина"/>
    <s v="Владимировна"/>
    <n v="14000"/>
    <n v="1400"/>
    <n v="2100"/>
    <n v="17500"/>
    <n v="2275"/>
    <n v="15225"/>
    <s v="жен"/>
    <x v="2"/>
    <s v="Редактор"/>
    <s v="высшее"/>
    <d v="1996-02-27T00:00:00"/>
    <n v="26"/>
    <d v="1963-08-30T00:00:00"/>
    <n v="59"/>
    <s v="+7(8332)64-32-01"/>
  </r>
  <r>
    <n v="111"/>
    <s v="Прохорова"/>
    <s v="Татьяна"/>
    <s v="Петровна"/>
    <n v="15000"/>
    <n v="1500"/>
    <n v="2250"/>
    <n v="18750"/>
    <n v="2437.5"/>
    <n v="16312.5"/>
    <s v="жен"/>
    <x v="1"/>
    <s v="Секретарь"/>
    <s v="неполное высшее"/>
    <d v="2017-08-13T00:00:00"/>
    <n v="5"/>
    <d v="1990-11-30T00:00:00"/>
    <n v="31"/>
    <s v="+7(8332)64-32-18"/>
  </r>
  <r>
    <n v="119"/>
    <s v="Савицкая"/>
    <s v="Александра"/>
    <s v="Александровна"/>
    <n v="17000"/>
    <n v="1700"/>
    <n v="2550"/>
    <n v="21250"/>
    <n v="2762.5"/>
    <n v="18487.5"/>
    <s v="жен"/>
    <x v="4"/>
    <s v="Ведущий специалист"/>
    <s v="высшее"/>
    <d v="2008-04-12T00:00:00"/>
    <n v="14"/>
    <d v="1977-10-22T00:00:00"/>
    <n v="45"/>
    <s v="+7(8332)64-32-18"/>
  </r>
  <r>
    <n v="162"/>
    <s v="Савченков"/>
    <s v="Андрей"/>
    <s v="Николаевич"/>
    <n v="12000"/>
    <n v="1200"/>
    <n v="1800"/>
    <n v="15000"/>
    <n v="1950"/>
    <n v="13050"/>
    <s v="муж"/>
    <x v="6"/>
    <s v="Водитель"/>
    <s v="среднее специальное"/>
    <d v="1987-09-03T00:00:00"/>
    <n v="35"/>
    <d v="1962-09-04T00:00:00"/>
    <n v="60"/>
    <s v="+7(8332)64-32-18"/>
  </r>
  <r>
    <n v="120"/>
    <s v="Саламатина"/>
    <s v="Татьяна"/>
    <s v="Федоровна"/>
    <n v="14000"/>
    <n v="1400"/>
    <n v="2100"/>
    <n v="17500"/>
    <n v="2275"/>
    <n v="15225"/>
    <s v="жен"/>
    <x v="4"/>
    <s v="Технический корректор"/>
    <s v="среднее специальное"/>
    <d v="1997-01-12T00:00:00"/>
    <n v="25"/>
    <d v="1966-01-27T00:00:00"/>
    <n v="56"/>
    <s v="+7(8332)64-32-18"/>
  </r>
  <r>
    <n v="140"/>
    <s v="Самсонова"/>
    <s v="Светлана"/>
    <s v="Андреевна"/>
    <n v="15000"/>
    <n v="1500"/>
    <n v="2250"/>
    <n v="18750"/>
    <n v="2437.5"/>
    <n v="16312.5"/>
    <s v="жен"/>
    <x v="8"/>
    <s v="Менеджер"/>
    <s v="неполное высшее"/>
    <d v="2008-07-12T00:00:00"/>
    <n v="14"/>
    <d v="1980-03-04T00:00:00"/>
    <n v="42"/>
    <s v="+7(8332)64-32-01"/>
  </r>
  <r>
    <n v="121"/>
    <s v="Сидоренко"/>
    <s v="Людмила"/>
    <s v="Борисовна"/>
    <n v="14000"/>
    <n v="1400"/>
    <n v="2100"/>
    <n v="17500"/>
    <n v="2275"/>
    <n v="15225"/>
    <s v="жен"/>
    <x v="4"/>
    <s v="Технический корректор"/>
    <s v="среднее специальное"/>
    <d v="2009-02-01T00:00:00"/>
    <n v="13"/>
    <d v="1985-12-10T00:00:00"/>
    <n v="36"/>
    <s v="+7(8332)64-32-18"/>
  </r>
  <r>
    <n v="163"/>
    <s v="Силкин"/>
    <s v="Алексей"/>
    <s v="Сергеевич"/>
    <n v="20000"/>
    <n v="2000"/>
    <n v="3000"/>
    <n v="25000"/>
    <n v="3250"/>
    <n v="21750"/>
    <s v="муж"/>
    <x v="2"/>
    <s v="Главный редактор"/>
    <s v="высшее"/>
    <d v="1996-03-29T00:00:00"/>
    <n v="26"/>
    <d v="1967-12-08T00:00:00"/>
    <n v="54"/>
    <s v="+7(8332)64-32-01"/>
  </r>
  <r>
    <n v="147"/>
    <s v="Сильченко"/>
    <s v="Савелий"/>
    <s v="Романович"/>
    <n v="11000"/>
    <n v="1100"/>
    <n v="1650"/>
    <n v="13750"/>
    <n v="1787.5"/>
    <n v="11962.5"/>
    <s v="муж"/>
    <x v="3"/>
    <s v="Грузчик"/>
    <s v="среднее"/>
    <d v="2016-01-30T00:00:00"/>
    <n v="6"/>
    <d v="1992-09-11T00:00:00"/>
    <n v="30"/>
    <s v="+7(8332)64-32-23"/>
  </r>
  <r>
    <n v="122"/>
    <s v="Синицына"/>
    <s v="Вера"/>
    <s v="Николаевна"/>
    <n v="14000"/>
    <n v="1400"/>
    <n v="2100"/>
    <n v="17500"/>
    <n v="2275"/>
    <n v="15225"/>
    <s v="жен"/>
    <x v="4"/>
    <s v="Технический специалист"/>
    <s v="среднее специальное"/>
    <d v="1999-09-24T00:00:00"/>
    <n v="23"/>
    <d v="1968-01-09T00:00:00"/>
    <n v="54"/>
    <s v="+7(8332)64-32-18"/>
  </r>
  <r>
    <n v="159"/>
    <s v="Старцева"/>
    <s v="Ольга"/>
    <s v="Виталиевна"/>
    <n v="14000"/>
    <n v="1400"/>
    <n v="2100"/>
    <n v="17500"/>
    <n v="2275"/>
    <n v="15225"/>
    <s v="жен"/>
    <x v="2"/>
    <s v="Корректор"/>
    <s v="высшее"/>
    <d v="1995-11-29T00:00:00"/>
    <n v="26"/>
    <d v="1960-05-29T00:00:00"/>
    <n v="62"/>
    <s v="+7(8332)64-32-01"/>
  </r>
  <r>
    <n v="149"/>
    <s v="Старшинов"/>
    <s v="Федор"/>
    <s v="Дмитриевич"/>
    <n v="12000"/>
    <n v="1200"/>
    <n v="1800"/>
    <n v="15000"/>
    <n v="1950"/>
    <n v="13050"/>
    <s v="муж"/>
    <x v="6"/>
    <s v="Водитель"/>
    <s v="среднее"/>
    <d v="1995-03-01T00:00:00"/>
    <n v="27"/>
    <d v="1968-12-14T00:00:00"/>
    <n v="53"/>
    <s v="+7(8332)64-32-18"/>
  </r>
  <r>
    <n v="164"/>
    <s v="Толоконникова"/>
    <s v="Майя"/>
    <s v="Кириловна"/>
    <n v="12000"/>
    <n v="0"/>
    <n v="1800"/>
    <n v="13800"/>
    <n v="1794"/>
    <n v="12006"/>
    <s v="жен"/>
    <x v="6"/>
    <s v="Диспетчер"/>
    <s v="среднее"/>
    <d v="2018-12-04T00:00:00"/>
    <n v="3"/>
    <d v="1995-01-15T00:00:00"/>
    <n v="27"/>
    <s v="+7(8332)64-32-18"/>
  </r>
  <r>
    <n v="129"/>
    <s v="Урбановский"/>
    <s v="Константин"/>
    <s v="Владимирович"/>
    <n v="15000"/>
    <n v="1500"/>
    <n v="2250"/>
    <n v="18750"/>
    <n v="2437.5"/>
    <n v="16312.5"/>
    <s v="муж"/>
    <x v="8"/>
    <s v="Менеджер"/>
    <s v="высшее"/>
    <d v="2014-11-29T00:00:00"/>
    <n v="7"/>
    <d v="1992-09-04T00:00:00"/>
    <n v="30"/>
    <s v="+7(8332)64-32-01"/>
  </r>
  <r>
    <n v="110"/>
    <s v="Федотова"/>
    <s v="Инна"/>
    <s v="Николаевна"/>
    <n v="30000"/>
    <n v="3000"/>
    <n v="4500"/>
    <n v="37500"/>
    <n v="4875"/>
    <n v="32625"/>
    <s v="жен"/>
    <x v="1"/>
    <s v="Финансовый директор"/>
    <s v="высшее"/>
    <d v="1994-04-12T00:00:00"/>
    <n v="28"/>
    <d v="1973-06-06T00:00:00"/>
    <n v="49"/>
    <s v="+7(8332)64-32-18"/>
  </r>
  <r>
    <n v="148"/>
    <s v="Ферапонтов"/>
    <s v="Илья"/>
    <s v="Леонидович"/>
    <n v="22000"/>
    <n v="0"/>
    <n v="3300"/>
    <n v="25300"/>
    <n v="3289"/>
    <n v="22011"/>
    <s v="муж"/>
    <x v="8"/>
    <s v="Начальник отдела"/>
    <s v="высшее"/>
    <d v="2019-03-15T00:00:00"/>
    <n v="3"/>
    <d v="1975-12-09T00:00:00"/>
    <n v="46"/>
    <s v="+7(8332)64-32-01"/>
  </r>
  <r>
    <n v="160"/>
    <s v="Фомина"/>
    <s v="Анна"/>
    <s v="Сергеевна"/>
    <n v="14000"/>
    <n v="1400"/>
    <n v="2100"/>
    <n v="17500"/>
    <n v="2275"/>
    <n v="15225"/>
    <s v="жен"/>
    <x v="2"/>
    <s v="Корректор"/>
    <s v="высшее"/>
    <d v="2017-09-13T00:00:00"/>
    <n v="5"/>
    <d v="1990-03-04T00:00:00"/>
    <n v="32"/>
    <s v="+7(8332)64-32-01"/>
  </r>
  <r>
    <n v="137"/>
    <s v="Царева"/>
    <s v="Марина"/>
    <s v="Игоревна"/>
    <n v="15000"/>
    <n v="1500"/>
    <n v="2250"/>
    <n v="18750"/>
    <n v="2437.5"/>
    <n v="16312.5"/>
    <s v="жен"/>
    <x v="1"/>
    <s v="Референт"/>
    <s v="неполное высшее"/>
    <d v="2015-09-24T00:00:00"/>
    <n v="7"/>
    <d v="1992-09-04T00:00:00"/>
    <n v="30"/>
    <s v="+7(8332)64-32-18"/>
  </r>
  <r>
    <n v="123"/>
    <s v="Чаповская"/>
    <s v="Марина"/>
    <s v="Владиславовна"/>
    <n v="12000"/>
    <n v="1200"/>
    <n v="1800"/>
    <n v="15000"/>
    <n v="1950"/>
    <n v="13050"/>
    <s v="жен"/>
    <x v="4"/>
    <s v="Верстальщик"/>
    <s v="высшее"/>
    <d v="1996-08-13T00:00:00"/>
    <n v="26"/>
    <d v="1960-12-30T00:00:00"/>
    <n v="61"/>
    <s v="+7(8332)64-32-18"/>
  </r>
  <r>
    <n v="113"/>
    <s v="Черкизова"/>
    <s v="Татьяна"/>
    <s v="Владиславовна"/>
    <n v="18000"/>
    <n v="1800"/>
    <n v="2700"/>
    <n v="22500"/>
    <n v="2925"/>
    <n v="19575"/>
    <s v="жен"/>
    <x v="8"/>
    <s v="Специалист по маркетингу"/>
    <s v="высшее"/>
    <d v="1995-03-30T00:00:00"/>
    <n v="27"/>
    <d v="1968-12-14T00:00:00"/>
    <n v="53"/>
    <s v="+7(8332)64-32-01"/>
  </r>
  <r>
    <n v="133"/>
    <s v="Шалашников"/>
    <s v="Евгений"/>
    <s v="Петрович"/>
    <n v="15000"/>
    <n v="1500"/>
    <n v="2250"/>
    <n v="18750"/>
    <n v="2437.5"/>
    <n v="16312.5"/>
    <s v="муж"/>
    <x v="8"/>
    <s v="Менеджер"/>
    <s v="высшее"/>
    <d v="2014-05-23T00:00:00"/>
    <n v="8"/>
    <d v="1992-09-24T00:00:00"/>
    <n v="30"/>
    <s v="+7(8332)64-32-01"/>
  </r>
  <r>
    <n v="138"/>
    <s v="Шаталова"/>
    <s v="Ирина"/>
    <s v="Игнатьевна"/>
    <n v="18000"/>
    <n v="1800"/>
    <n v="2700"/>
    <n v="22500"/>
    <n v="2925"/>
    <n v="19575"/>
    <s v="жен"/>
    <x v="7"/>
    <s v="Зам. начальника отдела"/>
    <s v="высшее"/>
    <d v="1994-02-15T00:00:00"/>
    <n v="28"/>
    <d v="1965-01-15T00:00:00"/>
    <n v="57"/>
    <s v="+7(8332)64-32-01"/>
  </r>
  <r>
    <n v="127"/>
    <s v="Шлайфер"/>
    <s v="Сергей"/>
    <s v="Дмитриевич"/>
    <n v="20000"/>
    <n v="2000"/>
    <n v="3000"/>
    <n v="25000"/>
    <n v="3250"/>
    <n v="21750"/>
    <s v="муж"/>
    <x v="4"/>
    <s v="Художник"/>
    <s v="высшее"/>
    <d v="2011-09-24T00:00:00"/>
    <n v="11"/>
    <d v="1985-12-09T00:00:00"/>
    <n v="36"/>
    <s v="+7(8332)64-32-18"/>
  </r>
  <r>
    <n v="124"/>
    <s v="Эль-фалах"/>
    <s v="Наима"/>
    <s v="Николаевна"/>
    <n v="15000"/>
    <n v="1500"/>
    <n v="2250"/>
    <n v="18750"/>
    <n v="2437.5"/>
    <n v="16312.5"/>
    <s v="жен"/>
    <x v="4"/>
    <s v="Технолог"/>
    <s v="среднее"/>
    <d v="1997-01-21T00:00:00"/>
    <n v="25"/>
    <d v="1975-06-06T00:00:00"/>
    <n v="47"/>
    <s v="+7(8332)64-32-18"/>
  </r>
  <r>
    <n v="125"/>
    <s v="Юматова"/>
    <s v="Татьяна"/>
    <s v="Сергеевна"/>
    <n v="12000"/>
    <n v="1200"/>
    <n v="1800"/>
    <n v="15000"/>
    <n v="1950"/>
    <n v="13050"/>
    <s v="жен"/>
    <x v="4"/>
    <s v="Верстальщик"/>
    <s v="среднее"/>
    <d v="1996-08-13T00:00:00"/>
    <n v="26"/>
    <d v="1960-05-29T00:00:00"/>
    <n v="62"/>
    <s v="+7(8332)64-32-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F645E-E276-44FF-AC18-8693A8E17D27}" name="Сводная таблица4" cacheId="2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14" firstHeaderRow="1" firstDataRow="2" firstDataCol="1"/>
  <pivotFields count="14"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0"/>
        <item x="4"/>
        <item x="5"/>
        <item x="8"/>
        <item x="2"/>
        <item x="6"/>
        <item x="3"/>
        <item x="7"/>
        <item x="1"/>
        <item t="default"/>
      </items>
    </pivotField>
    <pivotField showAll="0"/>
    <pivotField numFmtId="165" showAll="0"/>
    <pivotField showAll="0"/>
    <pivotField numFmtId="14" showAll="0"/>
    <pivotField numFmtId="14"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Количество по полю Табельный номер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FCFD1-0DB1-46A0-8690-20D12AD7AF05}" name="Сводная таблица5" cacheId="2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Образование" colHeaderCaption="пол">
  <location ref="A3:D9" firstHeaderRow="1" firstDataRow="2" firstDataCol="1"/>
  <pivotFields count="14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numFmtId="165" showAll="0"/>
    <pivotField axis="axisRow" showAll="0">
      <items count="5">
        <item x="0"/>
        <item x="2"/>
        <item x="3"/>
        <item x="1"/>
        <item t="default"/>
      </items>
    </pivotField>
    <pivotField numFmtId="14" showAll="0"/>
    <pivotField numFmtId="14"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Среднее по полю Оклад" fld="7" subtotal="average" baseField="8" baseItem="0" numFmtId="165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98D46-58AC-4585-B309-8E6B5F27A4D6}" name="Сводная таблица6" cacheId="1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35" rowHeaderCaption="Отдел">
  <location ref="A3:B13" firstHeaderRow="1" firstDataRow="1" firstDataCol="1"/>
  <pivotFields count="19">
    <pivotField showAll="0"/>
    <pivotField showAll="0"/>
    <pivotField showAll="0"/>
    <pivotField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10">
        <item x="0"/>
        <item x="5"/>
        <item x="7"/>
        <item x="2"/>
        <item x="8"/>
        <item x="3"/>
        <item x="4"/>
        <item x="6"/>
        <item x="1"/>
        <item t="default"/>
      </items>
    </pivotField>
    <pivotField showAll="0"/>
    <pivotField showAll="0"/>
    <pivotField numFmtId="14" showAll="0"/>
    <pivotField showAll="0"/>
    <pivotField numFmtId="14" showAll="0"/>
    <pivotField showAll="0"/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полю Премия" fld="5" baseField="11" baseItem="0" numFmtId="165"/>
  </dataFields>
  <formats count="1">
    <format dxfId="0">
      <pivotArea outline="0" collapsedLevelsAreSubtotals="1" fieldPosition="0"/>
    </format>
  </formats>
  <chartFormats count="1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BAB27-BC4B-4248-8957-1124463043B2}" name="Сводная таблица7" cacheId="2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Отдел" colHeaderCaption="пол">
  <location ref="A3:G8" firstHeaderRow="1" firstDataRow="3" firstDataCol="1"/>
  <pivotFields count="14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h="1" x="0"/>
        <item h="1" x="4"/>
        <item h="1" x="5"/>
        <item h="1" x="8"/>
        <item x="2"/>
        <item h="1" x="6"/>
        <item h="1" x="3"/>
        <item h="1" x="7"/>
        <item x="1"/>
        <item t="default"/>
      </items>
    </pivotField>
    <pivotField showAll="0"/>
    <pivotField numFmtId="165" showAll="0"/>
    <pivotField showAll="0"/>
    <pivotField numFmtId="14" showAll="0"/>
    <pivotField numFmtId="14" showAll="0"/>
    <pivotField dataField="1" showAll="0"/>
    <pivotField dataField="1" showAll="0"/>
    <pivotField showAll="0"/>
  </pivotFields>
  <rowFields count="1">
    <field x="5"/>
  </rowFields>
  <rowItems count="3">
    <i>
      <x v="4"/>
    </i>
    <i>
      <x v="8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Максимум Возраст" fld="12" subtotal="max" baseField="5" baseItem="0"/>
    <dataField name="Максимум Стаж" fld="11" subtotal="max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C11" sqref="C11"/>
    </sheetView>
  </sheetViews>
  <sheetFormatPr defaultRowHeight="15" x14ac:dyDescent="0.25"/>
  <cols>
    <col min="1" max="2" width="24.140625" bestFit="1" customWidth="1"/>
    <col min="3" max="3" width="11.7109375" style="17" bestFit="1" customWidth="1"/>
    <col min="6" max="6" width="22.140625" bestFit="1" customWidth="1"/>
    <col min="7" max="7" width="12.42578125" customWidth="1"/>
    <col min="8" max="8" width="21.7109375" customWidth="1"/>
  </cols>
  <sheetData>
    <row r="1" spans="1:8" x14ac:dyDescent="0.25">
      <c r="A1" s="2" t="s">
        <v>3</v>
      </c>
      <c r="B1" s="2" t="s">
        <v>4</v>
      </c>
      <c r="C1" s="15" t="s">
        <v>0</v>
      </c>
      <c r="F1" s="2" t="s">
        <v>3</v>
      </c>
      <c r="G1" s="9" t="s">
        <v>58</v>
      </c>
      <c r="H1" s="9" t="s">
        <v>8</v>
      </c>
    </row>
    <row r="2" spans="1:8" x14ac:dyDescent="0.25">
      <c r="A2" s="6" t="s">
        <v>10</v>
      </c>
      <c r="B2" s="6" t="s">
        <v>11</v>
      </c>
      <c r="C2" s="16">
        <v>12000</v>
      </c>
      <c r="F2" s="6" t="s">
        <v>10</v>
      </c>
      <c r="G2" s="8" t="s">
        <v>59</v>
      </c>
      <c r="H2" s="14" t="str">
        <f>CONCATENATE("+7(8332)", MID(G2, 1, 2), "-", MID(G2, 3, 2), "-", MID(G2, 5, 2))</f>
        <v>+7(8332)64-32-01</v>
      </c>
    </row>
    <row r="3" spans="1:8" x14ac:dyDescent="0.25">
      <c r="A3" s="6" t="s">
        <v>29</v>
      </c>
      <c r="B3" s="6" t="s">
        <v>35</v>
      </c>
      <c r="C3" s="16">
        <v>17000</v>
      </c>
      <c r="F3" s="6" t="s">
        <v>29</v>
      </c>
      <c r="G3" s="8" t="s">
        <v>60</v>
      </c>
      <c r="H3" s="14" t="str">
        <f t="shared" ref="H3:H10" si="0">CONCATENATE("+7(8332)", MID(G3, 1, 2), "-", MID(G3, 3, 2), "-", MID(G3, 5, 2))</f>
        <v>+7(8332)64-32-14</v>
      </c>
    </row>
    <row r="4" spans="1:8" x14ac:dyDescent="0.25">
      <c r="A4" s="6" t="s">
        <v>29</v>
      </c>
      <c r="B4" s="6" t="s">
        <v>34</v>
      </c>
      <c r="C4" s="16">
        <v>12000</v>
      </c>
      <c r="F4" s="6" t="s">
        <v>49</v>
      </c>
      <c r="G4" s="8" t="s">
        <v>61</v>
      </c>
      <c r="H4" s="14" t="str">
        <f t="shared" si="0"/>
        <v>+7(8332)64-32-31</v>
      </c>
    </row>
    <row r="5" spans="1:8" x14ac:dyDescent="0.25">
      <c r="A5" s="6" t="s">
        <v>49</v>
      </c>
      <c r="B5" s="6" t="s">
        <v>50</v>
      </c>
      <c r="C5" s="16">
        <v>12000</v>
      </c>
      <c r="F5" s="6" t="s">
        <v>51</v>
      </c>
      <c r="G5" s="8" t="s">
        <v>62</v>
      </c>
      <c r="H5" s="14" t="str">
        <f t="shared" si="0"/>
        <v>+7(8332)64-32-13</v>
      </c>
    </row>
    <row r="6" spans="1:8" x14ac:dyDescent="0.25">
      <c r="A6" s="6" t="s">
        <v>10</v>
      </c>
      <c r="B6" s="6" t="s">
        <v>13</v>
      </c>
      <c r="C6" s="16">
        <v>20000</v>
      </c>
      <c r="F6" s="6" t="s">
        <v>45</v>
      </c>
      <c r="G6" s="8" t="s">
        <v>63</v>
      </c>
      <c r="H6" s="14" t="str">
        <f t="shared" si="0"/>
        <v>+7(8332)64-32-23</v>
      </c>
    </row>
    <row r="7" spans="1:8" x14ac:dyDescent="0.25">
      <c r="A7" s="6" t="s">
        <v>51</v>
      </c>
      <c r="B7" s="7" t="s">
        <v>56</v>
      </c>
      <c r="C7" s="16">
        <v>20000</v>
      </c>
      <c r="F7" s="6" t="s">
        <v>19</v>
      </c>
      <c r="G7" s="8" t="s">
        <v>64</v>
      </c>
      <c r="H7" s="14" t="str">
        <f t="shared" si="0"/>
        <v>+7(8332)64-32-10</v>
      </c>
    </row>
    <row r="8" spans="1:8" x14ac:dyDescent="0.25">
      <c r="A8" s="6" t="s">
        <v>29</v>
      </c>
      <c r="B8" s="6" t="s">
        <v>30</v>
      </c>
      <c r="C8" s="16">
        <v>22000</v>
      </c>
      <c r="F8" s="6" t="s">
        <v>43</v>
      </c>
      <c r="G8" s="8" t="s">
        <v>65</v>
      </c>
      <c r="H8" s="14" t="str">
        <f t="shared" si="0"/>
        <v>+7(8332)64-32-20</v>
      </c>
    </row>
    <row r="9" spans="1:8" x14ac:dyDescent="0.25">
      <c r="A9" s="6" t="s">
        <v>45</v>
      </c>
      <c r="B9" s="6" t="s">
        <v>47</v>
      </c>
      <c r="C9" s="16">
        <v>11000</v>
      </c>
      <c r="F9" s="6" t="s">
        <v>26</v>
      </c>
      <c r="G9" s="8" t="s">
        <v>66</v>
      </c>
      <c r="H9" s="14" t="str">
        <f t="shared" si="0"/>
        <v>+7(8332)64-32-17</v>
      </c>
    </row>
    <row r="10" spans="1:8" x14ac:dyDescent="0.25">
      <c r="A10" s="6" t="s">
        <v>19</v>
      </c>
      <c r="B10" s="6" t="s">
        <v>21</v>
      </c>
      <c r="C10" s="16">
        <v>35000</v>
      </c>
      <c r="F10" s="6" t="s">
        <v>41</v>
      </c>
      <c r="G10" s="8" t="s">
        <v>67</v>
      </c>
      <c r="H10" s="14" t="str">
        <f t="shared" si="0"/>
        <v>+7(8332)64-32-18</v>
      </c>
    </row>
    <row r="11" spans="1:8" x14ac:dyDescent="0.25">
      <c r="A11" s="6" t="s">
        <v>49</v>
      </c>
      <c r="B11" s="6" t="s">
        <v>57</v>
      </c>
      <c r="C11" s="16">
        <v>12000</v>
      </c>
    </row>
    <row r="12" spans="1:8" x14ac:dyDescent="0.25">
      <c r="A12" s="6" t="s">
        <v>10</v>
      </c>
      <c r="B12" s="6" t="s">
        <v>18</v>
      </c>
      <c r="C12" s="16">
        <v>17000</v>
      </c>
    </row>
    <row r="13" spans="1:8" x14ac:dyDescent="0.25">
      <c r="A13" s="6" t="s">
        <v>51</v>
      </c>
      <c r="B13" s="7" t="s">
        <v>53</v>
      </c>
      <c r="C13" s="16">
        <v>19000</v>
      </c>
    </row>
    <row r="14" spans="1:8" x14ac:dyDescent="0.25">
      <c r="A14" s="6" t="s">
        <v>19</v>
      </c>
      <c r="B14" s="6" t="s">
        <v>22</v>
      </c>
      <c r="C14" s="16">
        <v>28000</v>
      </c>
    </row>
    <row r="15" spans="1:8" x14ac:dyDescent="0.25">
      <c r="A15" s="6" t="s">
        <v>43</v>
      </c>
      <c r="B15" s="6" t="s">
        <v>44</v>
      </c>
      <c r="C15" s="16">
        <v>18000</v>
      </c>
    </row>
    <row r="16" spans="1:8" x14ac:dyDescent="0.25">
      <c r="A16" s="6" t="s">
        <v>10</v>
      </c>
      <c r="B16" s="6" t="s">
        <v>15</v>
      </c>
      <c r="C16" s="16">
        <v>12000</v>
      </c>
    </row>
    <row r="17" spans="1:3" x14ac:dyDescent="0.25">
      <c r="A17" s="6" t="s">
        <v>45</v>
      </c>
      <c r="B17" s="6" t="s">
        <v>46</v>
      </c>
      <c r="C17" s="16">
        <v>15000</v>
      </c>
    </row>
    <row r="18" spans="1:3" x14ac:dyDescent="0.25">
      <c r="A18" s="6" t="s">
        <v>51</v>
      </c>
      <c r="B18" s="7" t="s">
        <v>55</v>
      </c>
      <c r="C18" s="16">
        <v>14000</v>
      </c>
    </row>
    <row r="19" spans="1:3" x14ac:dyDescent="0.25">
      <c r="A19" s="6" t="s">
        <v>29</v>
      </c>
      <c r="B19" s="6" t="s">
        <v>31</v>
      </c>
      <c r="C19" s="16">
        <v>12000</v>
      </c>
    </row>
    <row r="20" spans="1:3" x14ac:dyDescent="0.25">
      <c r="A20" s="6" t="s">
        <v>26</v>
      </c>
      <c r="B20" s="6" t="s">
        <v>40</v>
      </c>
      <c r="C20" s="16">
        <v>15000</v>
      </c>
    </row>
    <row r="21" spans="1:3" x14ac:dyDescent="0.25">
      <c r="A21" s="6" t="s">
        <v>41</v>
      </c>
      <c r="B21" s="6" t="s">
        <v>42</v>
      </c>
      <c r="C21" s="16">
        <v>15000</v>
      </c>
    </row>
    <row r="22" spans="1:3" x14ac:dyDescent="0.25">
      <c r="A22" s="6" t="s">
        <v>26</v>
      </c>
      <c r="B22" s="6" t="s">
        <v>27</v>
      </c>
      <c r="C22" s="16">
        <v>22000</v>
      </c>
    </row>
    <row r="23" spans="1:3" x14ac:dyDescent="0.25">
      <c r="A23" s="6" t="s">
        <v>45</v>
      </c>
      <c r="B23" s="6" t="s">
        <v>48</v>
      </c>
      <c r="C23" s="16">
        <v>22000</v>
      </c>
    </row>
    <row r="24" spans="1:3" x14ac:dyDescent="0.25">
      <c r="A24" s="6" t="s">
        <v>51</v>
      </c>
      <c r="B24" s="6" t="s">
        <v>52</v>
      </c>
      <c r="C24" s="16">
        <v>16000</v>
      </c>
    </row>
    <row r="25" spans="1:3" x14ac:dyDescent="0.25">
      <c r="A25" s="6" t="s">
        <v>51</v>
      </c>
      <c r="B25" s="7" t="s">
        <v>54</v>
      </c>
      <c r="C25" s="16">
        <v>14000</v>
      </c>
    </row>
    <row r="26" spans="1:3" x14ac:dyDescent="0.25">
      <c r="A26" s="6" t="s">
        <v>19</v>
      </c>
      <c r="B26" s="6" t="s">
        <v>20</v>
      </c>
      <c r="C26" s="16">
        <v>15000</v>
      </c>
    </row>
    <row r="27" spans="1:3" x14ac:dyDescent="0.25">
      <c r="A27" s="6" t="s">
        <v>19</v>
      </c>
      <c r="B27" s="6" t="s">
        <v>24</v>
      </c>
      <c r="C27" s="16">
        <v>15000</v>
      </c>
    </row>
    <row r="28" spans="1:3" x14ac:dyDescent="0.25">
      <c r="A28" s="6" t="s">
        <v>26</v>
      </c>
      <c r="B28" s="6" t="s">
        <v>28</v>
      </c>
      <c r="C28" s="16">
        <v>18000</v>
      </c>
    </row>
    <row r="29" spans="1:3" x14ac:dyDescent="0.25">
      <c r="A29" s="6" t="s">
        <v>26</v>
      </c>
      <c r="B29" s="6" t="s">
        <v>39</v>
      </c>
      <c r="C29" s="16">
        <v>18000</v>
      </c>
    </row>
    <row r="30" spans="1:3" x14ac:dyDescent="0.25">
      <c r="A30" s="6" t="s">
        <v>29</v>
      </c>
      <c r="B30" s="6" t="s">
        <v>36</v>
      </c>
      <c r="C30" s="16">
        <v>14000</v>
      </c>
    </row>
    <row r="31" spans="1:3" x14ac:dyDescent="0.25">
      <c r="A31" s="6" t="s">
        <v>29</v>
      </c>
      <c r="B31" s="6" t="s">
        <v>37</v>
      </c>
      <c r="C31" s="16">
        <v>14000</v>
      </c>
    </row>
    <row r="32" spans="1:3" x14ac:dyDescent="0.25">
      <c r="A32" s="6" t="s">
        <v>29</v>
      </c>
      <c r="B32" s="6" t="s">
        <v>32</v>
      </c>
      <c r="C32" s="16">
        <v>15000</v>
      </c>
    </row>
    <row r="33" spans="1:3" x14ac:dyDescent="0.25">
      <c r="A33" s="6" t="s">
        <v>19</v>
      </c>
      <c r="B33" s="6" t="s">
        <v>23</v>
      </c>
      <c r="C33" s="16">
        <v>30000</v>
      </c>
    </row>
    <row r="34" spans="1:3" x14ac:dyDescent="0.25">
      <c r="A34" s="6" t="s">
        <v>29</v>
      </c>
      <c r="B34" s="6" t="s">
        <v>38</v>
      </c>
      <c r="C34" s="16">
        <v>20000</v>
      </c>
    </row>
    <row r="35" spans="1:3" x14ac:dyDescent="0.25">
      <c r="A35" s="6" t="s">
        <v>10</v>
      </c>
      <c r="B35" s="6" t="s">
        <v>16</v>
      </c>
      <c r="C35" s="16">
        <v>15000</v>
      </c>
    </row>
  </sheetData>
  <sortState xmlns:xlrd2="http://schemas.microsoft.com/office/spreadsheetml/2017/richdata2" ref="A2:C35">
    <sortCondition ref="B2"/>
  </sortState>
  <pageMargins left="0.7" right="0.7" top="0.75" bottom="0.75" header="0.3" footer="0.3"/>
  <ignoredErrors>
    <ignoredError sqref="G2:G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zoomScaleNormal="100" workbookViewId="0">
      <pane ySplit="1" topLeftCell="A2" activePane="bottomLeft" state="frozen"/>
      <selection pane="bottomLeft" activeCell="F53" sqref="F53"/>
    </sheetView>
  </sheetViews>
  <sheetFormatPr defaultRowHeight="12.75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0.7109375" style="18" bestFit="1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x14ac:dyDescent="0.25">
      <c r="A2" s="10">
        <v>101</v>
      </c>
      <c r="B2" s="12" t="s">
        <v>68</v>
      </c>
      <c r="C2" s="12" t="s">
        <v>69</v>
      </c>
      <c r="D2" s="12" t="s">
        <v>70</v>
      </c>
      <c r="E2" s="10" t="s">
        <v>9</v>
      </c>
      <c r="F2" s="10" t="str">
        <f>LOOKUP(G2,Справочники!$B$2:$B$35,Справочники!$A$2:$A$35)</f>
        <v>Бухгалтерия</v>
      </c>
      <c r="G2" s="6" t="s">
        <v>11</v>
      </c>
      <c r="H2" s="16">
        <f>LOOKUP(G2,Справочники!$B$2:$B$35,Справочники!$C$2:$C$35)</f>
        <v>12000</v>
      </c>
      <c r="I2" s="6" t="s">
        <v>14</v>
      </c>
      <c r="J2" s="11">
        <v>38944</v>
      </c>
      <c r="K2" s="11">
        <v>30198</v>
      </c>
      <c r="L2" s="10">
        <f ca="1">DATEDIF(J2, TODAY(),"Y")</f>
        <v>16</v>
      </c>
      <c r="M2" s="10">
        <f ca="1">DATEDIF(K2, TODAY(),"Y")</f>
        <v>40</v>
      </c>
      <c r="N2" s="10" t="str">
        <f>LOOKUP(F2,Справочники!$F$2:$F$10,Справочники!$H$2:$H$10)</f>
        <v>+7(8332)64-32-01</v>
      </c>
    </row>
    <row r="3" spans="1:14" ht="15" x14ac:dyDescent="0.25">
      <c r="A3" s="10">
        <v>102</v>
      </c>
      <c r="B3" s="12" t="s">
        <v>71</v>
      </c>
      <c r="C3" s="12" t="s">
        <v>72</v>
      </c>
      <c r="D3" s="12" t="s">
        <v>73</v>
      </c>
      <c r="E3" s="10" t="s">
        <v>9</v>
      </c>
      <c r="F3" s="10" t="str">
        <f>LOOKUP(G3,Справочники!$B$2:$B$35,Справочники!$A$2:$A$35)</f>
        <v>Бухгалтерия</v>
      </c>
      <c r="G3" s="6" t="s">
        <v>13</v>
      </c>
      <c r="H3" s="16">
        <f>LOOKUP(G3,Справочники!$B$2:$B$35,Справочники!$C$2:$C$35)</f>
        <v>20000</v>
      </c>
      <c r="I3" s="6" t="s">
        <v>14</v>
      </c>
      <c r="J3" s="11">
        <v>34380</v>
      </c>
      <c r="K3" s="11">
        <v>25186</v>
      </c>
      <c r="L3" s="10">
        <f t="shared" ref="L3:L65" ca="1" si="0">DATEDIF(J3, TODAY(),"Y")</f>
        <v>28</v>
      </c>
      <c r="M3" s="10">
        <f t="shared" ref="M3:M65" ca="1" si="1">DATEDIF(K3, TODAY(),"Y")</f>
        <v>53</v>
      </c>
      <c r="N3" s="10" t="str">
        <f>LOOKUP(F3,Справочники!$F$2:$F$10,Справочники!$H$2:$H$10)</f>
        <v>+7(8332)64-32-01</v>
      </c>
    </row>
    <row r="4" spans="1:14" ht="15" x14ac:dyDescent="0.25">
      <c r="A4" s="10">
        <v>103</v>
      </c>
      <c r="B4" s="12" t="s">
        <v>74</v>
      </c>
      <c r="C4" s="12" t="s">
        <v>75</v>
      </c>
      <c r="D4" s="12" t="s">
        <v>76</v>
      </c>
      <c r="E4" s="10" t="s">
        <v>9</v>
      </c>
      <c r="F4" s="10" t="str">
        <f>LOOKUP(G4,Справочники!$B$2:$B$35,Справочники!$A$2:$A$35)</f>
        <v>Бухгалтерия</v>
      </c>
      <c r="G4" s="6" t="s">
        <v>15</v>
      </c>
      <c r="H4" s="16">
        <f>LOOKUP(G4,Справочники!$B$2:$B$35,Справочники!$C$2:$C$35)</f>
        <v>12000</v>
      </c>
      <c r="I4" s="6" t="s">
        <v>12</v>
      </c>
      <c r="J4" s="11">
        <v>42962</v>
      </c>
      <c r="K4" s="11">
        <v>34762</v>
      </c>
      <c r="L4" s="10">
        <f t="shared" ca="1" si="0"/>
        <v>5</v>
      </c>
      <c r="M4" s="10">
        <f t="shared" ca="1" si="1"/>
        <v>27</v>
      </c>
      <c r="N4" s="10" t="str">
        <f>LOOKUP(F4,Справочники!$F$2:$F$10,Справочники!$H$2:$H$10)</f>
        <v>+7(8332)64-32-01</v>
      </c>
    </row>
    <row r="5" spans="1:14" ht="15" x14ac:dyDescent="0.25">
      <c r="A5" s="10">
        <v>104</v>
      </c>
      <c r="B5" s="12" t="s">
        <v>77</v>
      </c>
      <c r="C5" s="12" t="s">
        <v>78</v>
      </c>
      <c r="D5" s="12" t="s">
        <v>79</v>
      </c>
      <c r="E5" s="10" t="s">
        <v>9</v>
      </c>
      <c r="F5" s="10" t="str">
        <f>LOOKUP(G5,Справочники!$B$2:$B$35,Справочники!$A$2:$A$35)</f>
        <v>Бухгалтерия</v>
      </c>
      <c r="G5" s="6" t="s">
        <v>16</v>
      </c>
      <c r="H5" s="16">
        <f>LOOKUP(G5,Справочники!$B$2:$B$35,Справочники!$C$2:$C$35)</f>
        <v>15000</v>
      </c>
      <c r="I5" s="6" t="s">
        <v>14</v>
      </c>
      <c r="J5" s="11">
        <v>41530</v>
      </c>
      <c r="K5" s="11">
        <v>25346</v>
      </c>
      <c r="L5" s="10">
        <f t="shared" ca="1" si="0"/>
        <v>9</v>
      </c>
      <c r="M5" s="10">
        <f t="shared" ca="1" si="1"/>
        <v>53</v>
      </c>
      <c r="N5" s="10" t="str">
        <f>LOOKUP(F5,Справочники!$F$2:$F$10,Справочники!$H$2:$H$10)</f>
        <v>+7(8332)64-32-01</v>
      </c>
    </row>
    <row r="6" spans="1:14" ht="15" x14ac:dyDescent="0.25">
      <c r="A6" s="10">
        <v>105</v>
      </c>
      <c r="B6" s="12" t="s">
        <v>80</v>
      </c>
      <c r="C6" s="12" t="s">
        <v>81</v>
      </c>
      <c r="D6" s="12" t="s">
        <v>82</v>
      </c>
      <c r="E6" s="10" t="s">
        <v>17</v>
      </c>
      <c r="F6" s="10" t="str">
        <f>LOOKUP(G6,Справочники!$B$2:$B$35,Справочники!$A$2:$A$35)</f>
        <v>Бухгалтерия</v>
      </c>
      <c r="G6" s="6" t="s">
        <v>18</v>
      </c>
      <c r="H6" s="16">
        <f>LOOKUP(G6,Справочники!$B$2:$B$35,Справочники!$C$2:$C$35)</f>
        <v>17000</v>
      </c>
      <c r="I6" s="6" t="s">
        <v>14</v>
      </c>
      <c r="J6" s="11">
        <v>41165</v>
      </c>
      <c r="K6" s="11">
        <v>31196</v>
      </c>
      <c r="L6" s="10">
        <f t="shared" ca="1" si="0"/>
        <v>10</v>
      </c>
      <c r="M6" s="10">
        <f t="shared" ca="1" si="1"/>
        <v>37</v>
      </c>
      <c r="N6" s="10" t="str">
        <f>LOOKUP(F6,Справочники!$F$2:$F$10,Справочники!$H$2:$H$10)</f>
        <v>+7(8332)64-32-01</v>
      </c>
    </row>
    <row r="7" spans="1:14" ht="15" x14ac:dyDescent="0.25">
      <c r="A7" s="10">
        <v>106</v>
      </c>
      <c r="B7" s="12" t="s">
        <v>83</v>
      </c>
      <c r="C7" s="12" t="s">
        <v>84</v>
      </c>
      <c r="D7" s="12" t="s">
        <v>85</v>
      </c>
      <c r="E7" s="10" t="s">
        <v>17</v>
      </c>
      <c r="F7" s="10" t="str">
        <f>LOOKUP(G7,Справочники!$B$2:$B$35,Справочники!$A$2:$A$35)</f>
        <v>Бухгалтерия</v>
      </c>
      <c r="G7" s="6" t="s">
        <v>11</v>
      </c>
      <c r="H7" s="16">
        <f>LOOKUP(G7,Справочники!$B$2:$B$35,Справочники!$C$2:$C$35)</f>
        <v>12000</v>
      </c>
      <c r="I7" s="6" t="s">
        <v>25</v>
      </c>
      <c r="J7" s="11">
        <v>42626</v>
      </c>
      <c r="K7" s="11">
        <v>31062</v>
      </c>
      <c r="L7" s="10">
        <f t="shared" ca="1" si="0"/>
        <v>6</v>
      </c>
      <c r="M7" s="10">
        <f t="shared" ca="1" si="1"/>
        <v>37</v>
      </c>
      <c r="N7" s="10" t="str">
        <f>LOOKUP(F7,Справочники!$F$2:$F$10,Справочники!$H$2:$H$10)</f>
        <v>+7(8332)64-32-01</v>
      </c>
    </row>
    <row r="8" spans="1:14" ht="15" x14ac:dyDescent="0.25">
      <c r="A8" s="10">
        <v>107</v>
      </c>
      <c r="B8" s="12" t="s">
        <v>86</v>
      </c>
      <c r="C8" s="12" t="s">
        <v>87</v>
      </c>
      <c r="D8" s="12" t="s">
        <v>88</v>
      </c>
      <c r="E8" s="10" t="s">
        <v>9</v>
      </c>
      <c r="F8" s="10" t="str">
        <f>LOOKUP(G8,Справочники!$B$2:$B$35,Справочники!$A$2:$A$35)</f>
        <v>Управление</v>
      </c>
      <c r="G8" s="6" t="s">
        <v>20</v>
      </c>
      <c r="H8" s="16">
        <f>LOOKUP(G8,Справочники!$B$2:$B$35,Справочники!$C$2:$C$35)</f>
        <v>15000</v>
      </c>
      <c r="I8" s="6" t="s">
        <v>12</v>
      </c>
      <c r="J8" s="11">
        <v>39956</v>
      </c>
      <c r="K8" s="11">
        <v>30254</v>
      </c>
      <c r="L8" s="10">
        <f t="shared" ca="1" si="0"/>
        <v>13</v>
      </c>
      <c r="M8" s="10">
        <f t="shared" ca="1" si="1"/>
        <v>40</v>
      </c>
      <c r="N8" s="10" t="str">
        <f>LOOKUP(F8,Справочники!$F$2:$F$10,Справочники!$H$2:$H$10)</f>
        <v>+7(8332)64-32-18</v>
      </c>
    </row>
    <row r="9" spans="1:14" ht="15" x14ac:dyDescent="0.25">
      <c r="A9" s="10">
        <v>108</v>
      </c>
      <c r="B9" s="12" t="s">
        <v>89</v>
      </c>
      <c r="C9" s="12" t="s">
        <v>90</v>
      </c>
      <c r="D9" s="12" t="s">
        <v>91</v>
      </c>
      <c r="E9" s="10" t="s">
        <v>17</v>
      </c>
      <c r="F9" s="10" t="str">
        <f>LOOKUP(G9,Справочники!$B$2:$B$35,Справочники!$A$2:$A$35)</f>
        <v>Управление</v>
      </c>
      <c r="G9" s="6" t="s">
        <v>21</v>
      </c>
      <c r="H9" s="16">
        <f>LOOKUP(G9,Справочники!$B$2:$B$35,Справочники!$C$2:$C$35)</f>
        <v>35000</v>
      </c>
      <c r="I9" s="6" t="s">
        <v>14</v>
      </c>
      <c r="J9" s="11">
        <v>38579</v>
      </c>
      <c r="K9" s="11">
        <v>28499</v>
      </c>
      <c r="L9" s="10">
        <f t="shared" ca="1" si="0"/>
        <v>17</v>
      </c>
      <c r="M9" s="10">
        <f t="shared" ca="1" si="1"/>
        <v>44</v>
      </c>
      <c r="N9" s="10" t="str">
        <f>LOOKUP(F9,Справочники!$F$2:$F$10,Справочники!$H$2:$H$10)</f>
        <v>+7(8332)64-32-18</v>
      </c>
    </row>
    <row r="10" spans="1:14" ht="15" x14ac:dyDescent="0.25">
      <c r="A10" s="10">
        <v>109</v>
      </c>
      <c r="B10" s="12" t="s">
        <v>92</v>
      </c>
      <c r="C10" s="12" t="s">
        <v>81</v>
      </c>
      <c r="D10" s="12" t="s">
        <v>93</v>
      </c>
      <c r="E10" s="10" t="s">
        <v>17</v>
      </c>
      <c r="F10" s="10" t="str">
        <f>LOOKUP(G10,Справочники!$B$2:$B$35,Справочники!$A$2:$A$35)</f>
        <v>Управление</v>
      </c>
      <c r="G10" s="6" t="s">
        <v>22</v>
      </c>
      <c r="H10" s="16">
        <f>LOOKUP(G10,Справочники!$B$2:$B$35,Справочники!$C$2:$C$35)</f>
        <v>28000</v>
      </c>
      <c r="I10" s="6" t="s">
        <v>14</v>
      </c>
      <c r="J10" s="11">
        <v>39103</v>
      </c>
      <c r="K10" s="11">
        <v>27786</v>
      </c>
      <c r="L10" s="10">
        <f t="shared" ca="1" si="0"/>
        <v>15</v>
      </c>
      <c r="M10" s="10">
        <f t="shared" ca="1" si="1"/>
        <v>46</v>
      </c>
      <c r="N10" s="10" t="str">
        <f>LOOKUP(F10,Справочники!$F$2:$F$10,Справочники!$H$2:$H$10)</f>
        <v>+7(8332)64-32-18</v>
      </c>
    </row>
    <row r="11" spans="1:14" ht="15" x14ac:dyDescent="0.25">
      <c r="A11" s="10">
        <v>110</v>
      </c>
      <c r="B11" s="12" t="s">
        <v>94</v>
      </c>
      <c r="C11" s="12" t="s">
        <v>95</v>
      </c>
      <c r="D11" s="12" t="s">
        <v>96</v>
      </c>
      <c r="E11" s="10" t="s">
        <v>9</v>
      </c>
      <c r="F11" s="10" t="str">
        <f>LOOKUP(G11,Справочники!$B$2:$B$35,Справочники!$A$2:$A$35)</f>
        <v>Управление</v>
      </c>
      <c r="G11" s="6" t="s">
        <v>23</v>
      </c>
      <c r="H11" s="16">
        <f>LOOKUP(G11,Справочники!$B$2:$B$35,Справочники!$C$2:$C$35)</f>
        <v>30000</v>
      </c>
      <c r="I11" s="6" t="s">
        <v>14</v>
      </c>
      <c r="J11" s="11">
        <v>34436</v>
      </c>
      <c r="K11" s="11">
        <v>26821</v>
      </c>
      <c r="L11" s="10">
        <f t="shared" ca="1" si="0"/>
        <v>28</v>
      </c>
      <c r="M11" s="10">
        <f t="shared" ca="1" si="1"/>
        <v>49</v>
      </c>
      <c r="N11" s="10" t="str">
        <f>LOOKUP(F11,Справочники!$F$2:$F$10,Справочники!$H$2:$H$10)</f>
        <v>+7(8332)64-32-18</v>
      </c>
    </row>
    <row r="12" spans="1:14" ht="15" x14ac:dyDescent="0.25">
      <c r="A12" s="10">
        <v>111</v>
      </c>
      <c r="B12" s="12" t="s">
        <v>97</v>
      </c>
      <c r="C12" s="12" t="s">
        <v>98</v>
      </c>
      <c r="D12" s="12" t="s">
        <v>76</v>
      </c>
      <c r="E12" s="10" t="s">
        <v>9</v>
      </c>
      <c r="F12" s="10" t="str">
        <f>LOOKUP(G12,Справочники!$B$2:$B$35,Справочники!$A$2:$A$35)</f>
        <v>Управление</v>
      </c>
      <c r="G12" s="6" t="s">
        <v>24</v>
      </c>
      <c r="H12" s="16">
        <f>LOOKUP(G12,Справочники!$B$2:$B$35,Справочники!$C$2:$C$35)</f>
        <v>15000</v>
      </c>
      <c r="I12" s="6" t="s">
        <v>25</v>
      </c>
      <c r="J12" s="11">
        <v>42960</v>
      </c>
      <c r="K12" s="11">
        <v>33207</v>
      </c>
      <c r="L12" s="10">
        <f t="shared" ca="1" si="0"/>
        <v>5</v>
      </c>
      <c r="M12" s="10">
        <f t="shared" ca="1" si="1"/>
        <v>31</v>
      </c>
      <c r="N12" s="10" t="str">
        <f>LOOKUP(F12,Справочники!$F$2:$F$10,Справочники!$H$2:$H$10)</f>
        <v>+7(8332)64-32-18</v>
      </c>
    </row>
    <row r="13" spans="1:14" ht="15" x14ac:dyDescent="0.25">
      <c r="A13" s="10">
        <v>112</v>
      </c>
      <c r="B13" s="12" t="s">
        <v>99</v>
      </c>
      <c r="C13" s="12" t="s">
        <v>100</v>
      </c>
      <c r="D13" s="12" t="s">
        <v>101</v>
      </c>
      <c r="E13" s="10" t="s">
        <v>17</v>
      </c>
      <c r="F13" s="10" t="str">
        <f>LOOKUP(G13,Справочники!$B$2:$B$35,Справочники!$A$2:$A$35)</f>
        <v>Рекламный отдел</v>
      </c>
      <c r="G13" s="6" t="s">
        <v>27</v>
      </c>
      <c r="H13" s="16">
        <f>LOOKUP(G13,Справочники!$B$2:$B$35,Справочники!$C$2:$C$35)</f>
        <v>22000</v>
      </c>
      <c r="I13" s="6" t="s">
        <v>14</v>
      </c>
      <c r="J13" s="11">
        <v>40966</v>
      </c>
      <c r="K13" s="11">
        <v>31390</v>
      </c>
      <c r="L13" s="10">
        <f t="shared" ca="1" si="0"/>
        <v>10</v>
      </c>
      <c r="M13" s="10">
        <f t="shared" ca="1" si="1"/>
        <v>36</v>
      </c>
      <c r="N13" s="10" t="str">
        <f>LOOKUP(F13,Справочники!$F$2:$F$10,Справочники!$H$2:$H$10)</f>
        <v>+7(8332)64-32-01</v>
      </c>
    </row>
    <row r="14" spans="1:14" ht="15" x14ac:dyDescent="0.25">
      <c r="A14" s="10">
        <v>113</v>
      </c>
      <c r="B14" s="12" t="s">
        <v>102</v>
      </c>
      <c r="C14" s="12" t="s">
        <v>98</v>
      </c>
      <c r="D14" s="12" t="s">
        <v>103</v>
      </c>
      <c r="E14" s="10" t="s">
        <v>9</v>
      </c>
      <c r="F14" s="10" t="str">
        <f>LOOKUP(G14,Справочники!$B$2:$B$35,Справочники!$A$2:$A$35)</f>
        <v>Рекламный отдел</v>
      </c>
      <c r="G14" s="6" t="s">
        <v>28</v>
      </c>
      <c r="H14" s="16">
        <f>LOOKUP(G14,Справочники!$B$2:$B$35,Справочники!$C$2:$C$35)</f>
        <v>18000</v>
      </c>
      <c r="I14" s="6" t="s">
        <v>14</v>
      </c>
      <c r="J14" s="11">
        <v>34788</v>
      </c>
      <c r="K14" s="11">
        <v>25186</v>
      </c>
      <c r="L14" s="10">
        <f t="shared" ca="1" si="0"/>
        <v>27</v>
      </c>
      <c r="M14" s="10">
        <f t="shared" ca="1" si="1"/>
        <v>53</v>
      </c>
      <c r="N14" s="10" t="str">
        <f>LOOKUP(F14,Справочники!$F$2:$F$10,Справочники!$H$2:$H$10)</f>
        <v>+7(8332)64-32-01</v>
      </c>
    </row>
    <row r="15" spans="1:14" ht="15" x14ac:dyDescent="0.25">
      <c r="A15" s="10">
        <v>114</v>
      </c>
      <c r="B15" s="12" t="s">
        <v>104</v>
      </c>
      <c r="C15" s="12" t="s">
        <v>105</v>
      </c>
      <c r="D15" s="12" t="s">
        <v>106</v>
      </c>
      <c r="E15" s="10" t="s">
        <v>9</v>
      </c>
      <c r="F15" s="10" t="str">
        <f>LOOKUP(G15,Справочники!$B$2:$B$35,Справочники!$A$2:$A$35)</f>
        <v>Технологический отдел</v>
      </c>
      <c r="G15" s="6" t="s">
        <v>30</v>
      </c>
      <c r="H15" s="16">
        <f>LOOKUP(G15,Справочники!$B$2:$B$35,Справочники!$C$2:$C$35)</f>
        <v>22000</v>
      </c>
      <c r="I15" s="6" t="s">
        <v>14</v>
      </c>
      <c r="J15" s="11">
        <v>43356</v>
      </c>
      <c r="K15" s="11">
        <v>24300</v>
      </c>
      <c r="L15" s="10">
        <f t="shared" ca="1" si="0"/>
        <v>4</v>
      </c>
      <c r="M15" s="10">
        <f t="shared" ca="1" si="1"/>
        <v>56</v>
      </c>
      <c r="N15" s="10" t="str">
        <f>LOOKUP(F15,Справочники!$F$2:$F$10,Справочники!$H$2:$H$10)</f>
        <v>+7(8332)64-32-18</v>
      </c>
    </row>
    <row r="16" spans="1:14" ht="15" x14ac:dyDescent="0.25">
      <c r="A16" s="10">
        <v>115</v>
      </c>
      <c r="B16" s="12" t="s">
        <v>107</v>
      </c>
      <c r="C16" s="12" t="s">
        <v>108</v>
      </c>
      <c r="D16" s="12" t="s">
        <v>76</v>
      </c>
      <c r="E16" s="10" t="s">
        <v>9</v>
      </c>
      <c r="F16" s="10" t="str">
        <f>LOOKUP(G16,Справочники!$B$2:$B$35,Справочники!$A$2:$A$35)</f>
        <v>Технологический отдел</v>
      </c>
      <c r="G16" s="6" t="s">
        <v>31</v>
      </c>
      <c r="H16" s="16">
        <f>LOOKUP(G16,Справочники!$B$2:$B$35,Справочники!$C$2:$C$35)</f>
        <v>12000</v>
      </c>
      <c r="I16" s="6" t="s">
        <v>12</v>
      </c>
      <c r="J16" s="11">
        <v>35096</v>
      </c>
      <c r="K16" s="11">
        <v>26553</v>
      </c>
      <c r="L16" s="10">
        <f t="shared" ca="1" si="0"/>
        <v>26</v>
      </c>
      <c r="M16" s="10">
        <f t="shared" ca="1" si="1"/>
        <v>50</v>
      </c>
      <c r="N16" s="10" t="str">
        <f>LOOKUP(F16,Справочники!$F$2:$F$10,Справочники!$H$2:$H$10)</f>
        <v>+7(8332)64-32-18</v>
      </c>
    </row>
    <row r="17" spans="1:14" ht="15" x14ac:dyDescent="0.25">
      <c r="A17" s="10">
        <v>116</v>
      </c>
      <c r="B17" s="12" t="s">
        <v>109</v>
      </c>
      <c r="C17" s="12" t="s">
        <v>110</v>
      </c>
      <c r="D17" s="12" t="s">
        <v>111</v>
      </c>
      <c r="E17" s="10" t="s">
        <v>9</v>
      </c>
      <c r="F17" s="10" t="str">
        <f>LOOKUP(G17,Справочники!$B$2:$B$35,Справочники!$A$2:$A$35)</f>
        <v>Технологический отдел</v>
      </c>
      <c r="G17" s="6" t="s">
        <v>32</v>
      </c>
      <c r="H17" s="16">
        <f>LOOKUP(G17,Справочники!$B$2:$B$35,Справочники!$C$2:$C$35)</f>
        <v>15000</v>
      </c>
      <c r="I17" s="6" t="s">
        <v>12</v>
      </c>
      <c r="J17" s="11">
        <v>35292</v>
      </c>
      <c r="K17" s="11">
        <v>25810</v>
      </c>
      <c r="L17" s="10">
        <f t="shared" ca="1" si="0"/>
        <v>26</v>
      </c>
      <c r="M17" s="10">
        <f t="shared" ca="1" si="1"/>
        <v>52</v>
      </c>
      <c r="N17" s="10" t="str">
        <f>LOOKUP(F17,Справочники!$F$2:$F$10,Справочники!$H$2:$H$10)</f>
        <v>+7(8332)64-32-18</v>
      </c>
    </row>
    <row r="18" spans="1:14" ht="15" x14ac:dyDescent="0.25">
      <c r="A18" s="10">
        <v>117</v>
      </c>
      <c r="B18" s="12" t="s">
        <v>112</v>
      </c>
      <c r="C18" s="12" t="s">
        <v>72</v>
      </c>
      <c r="D18" s="12" t="s">
        <v>88</v>
      </c>
      <c r="E18" s="10" t="s">
        <v>9</v>
      </c>
      <c r="F18" s="10" t="str">
        <f>LOOKUP(G18,Справочники!$B$2:$B$35,Справочники!$A$2:$A$35)</f>
        <v>Технологический отдел</v>
      </c>
      <c r="G18" s="6" t="s">
        <v>31</v>
      </c>
      <c r="H18" s="16">
        <f>LOOKUP(G18,Справочники!$B$2:$B$35,Справочники!$C$2:$C$35)</f>
        <v>12000</v>
      </c>
      <c r="I18" s="6" t="s">
        <v>33</v>
      </c>
      <c r="J18" s="11">
        <v>35445</v>
      </c>
      <c r="K18" s="11">
        <v>26821</v>
      </c>
      <c r="L18" s="10">
        <f t="shared" ca="1" si="0"/>
        <v>25</v>
      </c>
      <c r="M18" s="10">
        <f t="shared" ca="1" si="1"/>
        <v>49</v>
      </c>
      <c r="N18" s="10" t="str">
        <f>LOOKUP(F18,Справочники!$F$2:$F$10,Справочники!$H$2:$H$10)</f>
        <v>+7(8332)64-32-18</v>
      </c>
    </row>
    <row r="19" spans="1:14" ht="15" x14ac:dyDescent="0.25">
      <c r="A19" s="10">
        <v>118</v>
      </c>
      <c r="B19" s="12" t="s">
        <v>113</v>
      </c>
      <c r="C19" s="12" t="s">
        <v>114</v>
      </c>
      <c r="D19" s="12" t="s">
        <v>115</v>
      </c>
      <c r="E19" s="10" t="s">
        <v>9</v>
      </c>
      <c r="F19" s="10" t="str">
        <f>LOOKUP(G19,Справочники!$B$2:$B$35,Справочники!$A$2:$A$35)</f>
        <v>Технологический отдел</v>
      </c>
      <c r="G19" s="6" t="s">
        <v>34</v>
      </c>
      <c r="H19" s="16">
        <f>LOOKUP(G19,Справочники!$B$2:$B$35,Справочники!$C$2:$C$35)</f>
        <v>12000</v>
      </c>
      <c r="I19" s="6" t="s">
        <v>12</v>
      </c>
      <c r="J19" s="11">
        <v>36303</v>
      </c>
      <c r="K19" s="11">
        <v>25641</v>
      </c>
      <c r="L19" s="10">
        <f t="shared" ca="1" si="0"/>
        <v>23</v>
      </c>
      <c r="M19" s="10">
        <f t="shared" ca="1" si="1"/>
        <v>52</v>
      </c>
      <c r="N19" s="10" t="str">
        <f>LOOKUP(F19,Справочники!$F$2:$F$10,Справочники!$H$2:$H$10)</f>
        <v>+7(8332)64-32-18</v>
      </c>
    </row>
    <row r="20" spans="1:14" ht="15" x14ac:dyDescent="0.25">
      <c r="A20" s="10">
        <v>119</v>
      </c>
      <c r="B20" s="12" t="s">
        <v>116</v>
      </c>
      <c r="C20" s="12" t="s">
        <v>117</v>
      </c>
      <c r="D20" s="12" t="s">
        <v>70</v>
      </c>
      <c r="E20" s="10" t="s">
        <v>9</v>
      </c>
      <c r="F20" s="10" t="str">
        <f>LOOKUP(G20,Справочники!$B$2:$B$35,Справочники!$A$2:$A$35)</f>
        <v>Технологический отдел</v>
      </c>
      <c r="G20" s="6" t="s">
        <v>35</v>
      </c>
      <c r="H20" s="16">
        <f>LOOKUP(G20,Справочники!$B$2:$B$35,Справочники!$C$2:$C$35)</f>
        <v>17000</v>
      </c>
      <c r="I20" s="6" t="s">
        <v>14</v>
      </c>
      <c r="J20" s="11">
        <v>39550</v>
      </c>
      <c r="K20" s="11">
        <v>28420</v>
      </c>
      <c r="L20" s="10">
        <f t="shared" ca="1" si="0"/>
        <v>14</v>
      </c>
      <c r="M20" s="10">
        <f t="shared" ca="1" si="1"/>
        <v>45</v>
      </c>
      <c r="N20" s="10" t="str">
        <f>LOOKUP(F20,Справочники!$F$2:$F$10,Справочники!$H$2:$H$10)</f>
        <v>+7(8332)64-32-18</v>
      </c>
    </row>
    <row r="21" spans="1:14" ht="15" x14ac:dyDescent="0.25">
      <c r="A21" s="10">
        <v>120</v>
      </c>
      <c r="B21" s="12" t="s">
        <v>118</v>
      </c>
      <c r="C21" s="12" t="s">
        <v>98</v>
      </c>
      <c r="D21" s="12" t="s">
        <v>119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36</v>
      </c>
      <c r="H21" s="16">
        <f>LOOKUP(G21,Справочники!$B$2:$B$35,Справочники!$C$2:$C$35)</f>
        <v>14000</v>
      </c>
      <c r="I21" s="6" t="s">
        <v>12</v>
      </c>
      <c r="J21" s="11">
        <v>35442</v>
      </c>
      <c r="K21" s="11">
        <v>24134</v>
      </c>
      <c r="L21" s="10">
        <f t="shared" ca="1" si="0"/>
        <v>25</v>
      </c>
      <c r="M21" s="10">
        <f t="shared" ca="1" si="1"/>
        <v>56</v>
      </c>
      <c r="N21" s="10" t="str">
        <f>LOOKUP(F21,Справочники!$F$2:$F$10,Справочники!$H$2:$H$10)</f>
        <v>+7(8332)64-32-18</v>
      </c>
    </row>
    <row r="22" spans="1:14" ht="15" x14ac:dyDescent="0.25">
      <c r="A22" s="10">
        <v>121</v>
      </c>
      <c r="B22" s="12" t="s">
        <v>120</v>
      </c>
      <c r="C22" s="12" t="s">
        <v>75</v>
      </c>
      <c r="D22" s="12" t="s">
        <v>79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36</v>
      </c>
      <c r="H22" s="16">
        <f>LOOKUP(G22,Справочники!$B$2:$B$35,Справочники!$C$2:$C$35)</f>
        <v>14000</v>
      </c>
      <c r="I22" s="6" t="s">
        <v>12</v>
      </c>
      <c r="J22" s="11">
        <v>39845</v>
      </c>
      <c r="K22" s="11">
        <v>31391</v>
      </c>
      <c r="L22" s="10">
        <f t="shared" ca="1" si="0"/>
        <v>13</v>
      </c>
      <c r="M22" s="10">
        <f t="shared" ca="1" si="1"/>
        <v>36</v>
      </c>
      <c r="N22" s="10" t="str">
        <f>LOOKUP(F22,Справочники!$F$2:$F$10,Справочники!$H$2:$H$10)</f>
        <v>+7(8332)64-32-18</v>
      </c>
    </row>
    <row r="23" spans="1:14" ht="15" x14ac:dyDescent="0.25">
      <c r="A23" s="10">
        <v>122</v>
      </c>
      <c r="B23" s="12" t="s">
        <v>121</v>
      </c>
      <c r="C23" s="12" t="s">
        <v>122</v>
      </c>
      <c r="D23" s="12" t="s">
        <v>96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37</v>
      </c>
      <c r="H23" s="16">
        <f>LOOKUP(G23,Справочники!$B$2:$B$35,Справочники!$C$2:$C$35)</f>
        <v>14000</v>
      </c>
      <c r="I23" s="6" t="s">
        <v>12</v>
      </c>
      <c r="J23" s="11">
        <v>36427</v>
      </c>
      <c r="K23" s="11">
        <v>24846</v>
      </c>
      <c r="L23" s="10">
        <f t="shared" ca="1" si="0"/>
        <v>23</v>
      </c>
      <c r="M23" s="10">
        <f t="shared" ca="1" si="1"/>
        <v>54</v>
      </c>
      <c r="N23" s="10" t="str">
        <f>LOOKUP(F23,Справочники!$F$2:$F$10,Справочники!$H$2:$H$10)</f>
        <v>+7(8332)64-32-18</v>
      </c>
    </row>
    <row r="24" spans="1:14" ht="15" x14ac:dyDescent="0.25">
      <c r="A24" s="10">
        <v>123</v>
      </c>
      <c r="B24" s="12" t="s">
        <v>123</v>
      </c>
      <c r="C24" s="12" t="s">
        <v>114</v>
      </c>
      <c r="D24" s="12" t="s">
        <v>103</v>
      </c>
      <c r="E24" s="10" t="s">
        <v>9</v>
      </c>
      <c r="F24" s="10" t="str">
        <f>LOOKUP(G24,Справочники!$B$2:$B$35,Справочники!$A$2:$A$35)</f>
        <v>Технологический отдел</v>
      </c>
      <c r="G24" s="6" t="s">
        <v>34</v>
      </c>
      <c r="H24" s="16">
        <f>LOOKUP(G24,Справочники!$B$2:$B$35,Справочники!$C$2:$C$35)</f>
        <v>12000</v>
      </c>
      <c r="I24" s="6" t="s">
        <v>14</v>
      </c>
      <c r="J24" s="11">
        <v>35290</v>
      </c>
      <c r="K24" s="11">
        <v>22280</v>
      </c>
      <c r="L24" s="10">
        <f t="shared" ca="1" si="0"/>
        <v>26</v>
      </c>
      <c r="M24" s="10">
        <f t="shared" ca="1" si="1"/>
        <v>61</v>
      </c>
      <c r="N24" s="10" t="str">
        <f>LOOKUP(F24,Справочники!$F$2:$F$10,Справочники!$H$2:$H$10)</f>
        <v>+7(8332)64-32-18</v>
      </c>
    </row>
    <row r="25" spans="1:14" ht="15" x14ac:dyDescent="0.25">
      <c r="A25" s="10">
        <v>124</v>
      </c>
      <c r="B25" s="12" t="s">
        <v>124</v>
      </c>
      <c r="C25" s="12" t="s">
        <v>125</v>
      </c>
      <c r="D25" s="12" t="s">
        <v>96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32</v>
      </c>
      <c r="H25" s="16">
        <f>LOOKUP(G25,Справочники!$B$2:$B$35,Справочники!$C$2:$C$35)</f>
        <v>15000</v>
      </c>
      <c r="I25" s="6" t="s">
        <v>33</v>
      </c>
      <c r="J25" s="11">
        <v>35451</v>
      </c>
      <c r="K25" s="11">
        <v>27551</v>
      </c>
      <c r="L25" s="10">
        <f t="shared" ca="1" si="0"/>
        <v>25</v>
      </c>
      <c r="M25" s="10">
        <f t="shared" ca="1" si="1"/>
        <v>47</v>
      </c>
      <c r="N25" s="10" t="str">
        <f>LOOKUP(F25,Справочники!$F$2:$F$10,Справочники!$H$2:$H$10)</f>
        <v>+7(8332)64-32-18</v>
      </c>
    </row>
    <row r="26" spans="1:14" ht="15" x14ac:dyDescent="0.25">
      <c r="A26" s="10">
        <v>125</v>
      </c>
      <c r="B26" s="12" t="s">
        <v>126</v>
      </c>
      <c r="C26" s="12" t="s">
        <v>98</v>
      </c>
      <c r="D26" s="12" t="s">
        <v>127</v>
      </c>
      <c r="E26" s="10" t="s">
        <v>9</v>
      </c>
      <c r="F26" s="10" t="str">
        <f>LOOKUP(G26,Справочники!$B$2:$B$35,Справочники!$A$2:$A$35)</f>
        <v>Технологический отдел</v>
      </c>
      <c r="G26" s="6" t="s">
        <v>34</v>
      </c>
      <c r="H26" s="16">
        <f>LOOKUP(G26,Справочники!$B$2:$B$35,Справочники!$C$2:$C$35)</f>
        <v>12000</v>
      </c>
      <c r="I26" s="6" t="s">
        <v>33</v>
      </c>
      <c r="J26" s="11">
        <v>35290</v>
      </c>
      <c r="K26" s="11">
        <v>22065</v>
      </c>
      <c r="L26" s="10">
        <f t="shared" ca="1" si="0"/>
        <v>26</v>
      </c>
      <c r="M26" s="10">
        <f t="shared" ca="1" si="1"/>
        <v>62</v>
      </c>
      <c r="N26" s="10" t="str">
        <f>LOOKUP(F26,Справочники!$F$2:$F$10,Справочники!$H$2:$H$10)</f>
        <v>+7(8332)64-32-18</v>
      </c>
    </row>
    <row r="27" spans="1:14" ht="15" x14ac:dyDescent="0.25">
      <c r="A27" s="10">
        <v>126</v>
      </c>
      <c r="B27" s="12" t="s">
        <v>128</v>
      </c>
      <c r="C27" s="12" t="s">
        <v>129</v>
      </c>
      <c r="D27" s="12" t="s">
        <v>101</v>
      </c>
      <c r="E27" s="10" t="s">
        <v>17</v>
      </c>
      <c r="F27" s="10" t="str">
        <f>LOOKUP(G27,Справочники!$B$2:$B$35,Справочники!$A$2:$A$35)</f>
        <v>Рекламный отдел</v>
      </c>
      <c r="G27" s="6" t="s">
        <v>27</v>
      </c>
      <c r="H27" s="16">
        <f>LOOKUP(G27,Справочники!$B$2:$B$35,Справочники!$C$2:$C$35)</f>
        <v>22000</v>
      </c>
      <c r="I27" s="6" t="s">
        <v>14</v>
      </c>
      <c r="J27" s="11">
        <v>40321</v>
      </c>
      <c r="K27" s="11">
        <v>30232</v>
      </c>
      <c r="L27" s="10">
        <f t="shared" ca="1" si="0"/>
        <v>12</v>
      </c>
      <c r="M27" s="10">
        <f t="shared" ca="1" si="1"/>
        <v>40</v>
      </c>
      <c r="N27" s="10" t="str">
        <f>LOOKUP(F27,Справочники!$F$2:$F$10,Справочники!$H$2:$H$10)</f>
        <v>+7(8332)64-32-01</v>
      </c>
    </row>
    <row r="28" spans="1:14" ht="15" x14ac:dyDescent="0.25">
      <c r="A28" s="10">
        <v>127</v>
      </c>
      <c r="B28" s="12" t="s">
        <v>130</v>
      </c>
      <c r="C28" s="12" t="s">
        <v>131</v>
      </c>
      <c r="D28" s="12" t="s">
        <v>132</v>
      </c>
      <c r="E28" s="10" t="s">
        <v>17</v>
      </c>
      <c r="F28" s="10" t="str">
        <f>LOOKUP(G28,Справочники!$B$2:$B$35,Справочники!$A$2:$A$35)</f>
        <v>Технологический отдел</v>
      </c>
      <c r="G28" s="6" t="s">
        <v>38</v>
      </c>
      <c r="H28" s="16">
        <f>LOOKUP(G28,Справочники!$B$2:$B$35,Справочники!$C$2:$C$35)</f>
        <v>20000</v>
      </c>
      <c r="I28" s="6" t="s">
        <v>14</v>
      </c>
      <c r="J28" s="11">
        <v>40810</v>
      </c>
      <c r="K28" s="11">
        <v>31390</v>
      </c>
      <c r="L28" s="10">
        <f t="shared" ca="1" si="0"/>
        <v>11</v>
      </c>
      <c r="M28" s="10">
        <f t="shared" ca="1" si="1"/>
        <v>36</v>
      </c>
      <c r="N28" s="10" t="str">
        <f>LOOKUP(F28,Справочники!$F$2:$F$10,Справочники!$H$2:$H$10)</f>
        <v>+7(8332)64-32-18</v>
      </c>
    </row>
    <row r="29" spans="1:14" ht="15" x14ac:dyDescent="0.25">
      <c r="A29" s="10">
        <v>128</v>
      </c>
      <c r="B29" s="12" t="s">
        <v>133</v>
      </c>
      <c r="C29" s="12" t="s">
        <v>90</v>
      </c>
      <c r="D29" s="12" t="s">
        <v>132</v>
      </c>
      <c r="E29" s="10" t="s">
        <v>17</v>
      </c>
      <c r="F29" s="10" t="str">
        <f>LOOKUP(G29,Справочники!$B$2:$B$35,Справочники!$A$2:$A$35)</f>
        <v>Рекламный отдел</v>
      </c>
      <c r="G29" s="6" t="s">
        <v>39</v>
      </c>
      <c r="H29" s="16">
        <f>LOOKUP(G29,Справочники!$B$2:$B$35,Справочники!$C$2:$C$35)</f>
        <v>18000</v>
      </c>
      <c r="I29" s="6" t="s">
        <v>12</v>
      </c>
      <c r="J29" s="11">
        <v>42260</v>
      </c>
      <c r="K29" s="11">
        <v>32292</v>
      </c>
      <c r="L29" s="10">
        <f t="shared" ca="1" si="0"/>
        <v>7</v>
      </c>
      <c r="M29" s="10">
        <f t="shared" ca="1" si="1"/>
        <v>34</v>
      </c>
      <c r="N29" s="10" t="str">
        <f>LOOKUP(F29,Справочники!$F$2:$F$10,Справочники!$H$2:$H$10)</f>
        <v>+7(8332)64-32-01</v>
      </c>
    </row>
    <row r="30" spans="1:14" ht="15" x14ac:dyDescent="0.25">
      <c r="A30" s="10">
        <v>129</v>
      </c>
      <c r="B30" s="12" t="s">
        <v>134</v>
      </c>
      <c r="C30" s="12" t="s">
        <v>135</v>
      </c>
      <c r="D30" s="12" t="s">
        <v>136</v>
      </c>
      <c r="E30" s="10" t="s">
        <v>17</v>
      </c>
      <c r="F30" s="10" t="str">
        <f>LOOKUP(G30,Справочники!$B$2:$B$35,Справочники!$A$2:$A$35)</f>
        <v>Рекламный отдел</v>
      </c>
      <c r="G30" s="6" t="s">
        <v>40</v>
      </c>
      <c r="H30" s="16">
        <f>LOOKUP(G30,Справочники!$B$2:$B$35,Справочники!$C$2:$C$35)</f>
        <v>15000</v>
      </c>
      <c r="I30" s="6" t="s">
        <v>14</v>
      </c>
      <c r="J30" s="11">
        <v>41972</v>
      </c>
      <c r="K30" s="11">
        <v>33851</v>
      </c>
      <c r="L30" s="10">
        <f t="shared" ca="1" si="0"/>
        <v>7</v>
      </c>
      <c r="M30" s="10">
        <f t="shared" ca="1" si="1"/>
        <v>30</v>
      </c>
      <c r="N30" s="10" t="str">
        <f>LOOKUP(F30,Справочники!$F$2:$F$10,Справочники!$H$2:$H$10)</f>
        <v>+7(8332)64-32-01</v>
      </c>
    </row>
    <row r="31" spans="1:14" ht="15" x14ac:dyDescent="0.25">
      <c r="A31" s="10">
        <v>130</v>
      </c>
      <c r="B31" s="12" t="s">
        <v>137</v>
      </c>
      <c r="C31" s="12" t="s">
        <v>138</v>
      </c>
      <c r="D31" s="12" t="s">
        <v>139</v>
      </c>
      <c r="E31" s="10" t="s">
        <v>9</v>
      </c>
      <c r="F31" s="10" t="str">
        <f>LOOKUP(G31,Справочники!$B$2:$B$35,Справочники!$A$2:$A$35)</f>
        <v>Управление</v>
      </c>
      <c r="G31" s="6" t="s">
        <v>20</v>
      </c>
      <c r="H31" s="16">
        <f>LOOKUP(G31,Справочники!$B$2:$B$35,Справочники!$C$2:$C$35)</f>
        <v>15000</v>
      </c>
      <c r="I31" s="6" t="s">
        <v>25</v>
      </c>
      <c r="J31" s="11">
        <v>42765</v>
      </c>
      <c r="K31" s="11">
        <v>34714</v>
      </c>
      <c r="L31" s="10">
        <f t="shared" ca="1" si="0"/>
        <v>5</v>
      </c>
      <c r="M31" s="10">
        <f t="shared" ca="1" si="1"/>
        <v>27</v>
      </c>
      <c r="N31" s="10" t="str">
        <f>LOOKUP(F31,Справочники!$F$2:$F$10,Справочники!$H$2:$H$10)</f>
        <v>+7(8332)64-32-18</v>
      </c>
    </row>
    <row r="32" spans="1:14" ht="15" x14ac:dyDescent="0.25">
      <c r="A32" s="10">
        <v>131</v>
      </c>
      <c r="B32" s="12" t="s">
        <v>140</v>
      </c>
      <c r="C32" s="12" t="s">
        <v>141</v>
      </c>
      <c r="D32" s="12" t="s">
        <v>142</v>
      </c>
      <c r="E32" s="10" t="s">
        <v>17</v>
      </c>
      <c r="F32" s="10" t="str">
        <f>LOOKUP(G32,Справочники!$B$2:$B$35,Справочники!$A$2:$A$35)</f>
        <v>Рекламный отдел</v>
      </c>
      <c r="G32" s="6" t="s">
        <v>27</v>
      </c>
      <c r="H32" s="16">
        <f>LOOKUP(G32,Справочники!$B$2:$B$35,Справочники!$C$2:$C$35)</f>
        <v>22000</v>
      </c>
      <c r="I32" s="6" t="s">
        <v>14</v>
      </c>
      <c r="J32" s="11">
        <v>39459</v>
      </c>
      <c r="K32" s="11">
        <v>27953</v>
      </c>
      <c r="L32" s="10">
        <f t="shared" ca="1" si="0"/>
        <v>14</v>
      </c>
      <c r="M32" s="10">
        <f t="shared" ca="1" si="1"/>
        <v>46</v>
      </c>
      <c r="N32" s="10" t="str">
        <f>LOOKUP(F32,Справочники!$F$2:$F$10,Справочники!$H$2:$H$10)</f>
        <v>+7(8332)64-32-01</v>
      </c>
    </row>
    <row r="33" spans="1:14" ht="15" x14ac:dyDescent="0.25">
      <c r="A33" s="10">
        <v>132</v>
      </c>
      <c r="B33" s="12" t="s">
        <v>143</v>
      </c>
      <c r="C33" s="12" t="s">
        <v>141</v>
      </c>
      <c r="D33" s="12" t="s">
        <v>85</v>
      </c>
      <c r="E33" s="10" t="s">
        <v>17</v>
      </c>
      <c r="F33" s="10" t="str">
        <f>LOOKUP(G33,Справочники!$B$2:$B$35,Справочники!$A$2:$A$35)</f>
        <v>Отдел продаж</v>
      </c>
      <c r="G33" s="6" t="s">
        <v>42</v>
      </c>
      <c r="H33" s="16">
        <f>LOOKUP(G33,Справочники!$B$2:$B$35,Справочники!$C$2:$C$35)</f>
        <v>15000</v>
      </c>
      <c r="I33" s="6" t="s">
        <v>12</v>
      </c>
      <c r="J33" s="11">
        <v>41306</v>
      </c>
      <c r="K33" s="11">
        <v>33115</v>
      </c>
      <c r="L33" s="10">
        <f t="shared" ca="1" si="0"/>
        <v>9</v>
      </c>
      <c r="M33" s="10">
        <f t="shared" ca="1" si="1"/>
        <v>32</v>
      </c>
      <c r="N33" s="10" t="str">
        <f>LOOKUP(F33,Справочники!$F$2:$F$10,Справочники!$H$2:$H$10)</f>
        <v>+7(8332)64-32-01</v>
      </c>
    </row>
    <row r="34" spans="1:14" ht="15" x14ac:dyDescent="0.25">
      <c r="A34" s="10">
        <v>133</v>
      </c>
      <c r="B34" s="12" t="s">
        <v>144</v>
      </c>
      <c r="C34" s="12" t="s">
        <v>84</v>
      </c>
      <c r="D34" s="12" t="s">
        <v>145</v>
      </c>
      <c r="E34" s="10" t="s">
        <v>17</v>
      </c>
      <c r="F34" s="10" t="str">
        <f>LOOKUP(G34,Справочники!$B$2:$B$35,Справочники!$A$2:$A$35)</f>
        <v>Рекламный отдел</v>
      </c>
      <c r="G34" s="6" t="s">
        <v>40</v>
      </c>
      <c r="H34" s="16">
        <f>LOOKUP(G34,Справочники!$B$2:$B$35,Справочники!$C$2:$C$35)</f>
        <v>15000</v>
      </c>
      <c r="I34" s="6" t="s">
        <v>14</v>
      </c>
      <c r="J34" s="11">
        <v>41782</v>
      </c>
      <c r="K34" s="11">
        <v>33871</v>
      </c>
      <c r="L34" s="10">
        <f t="shared" ca="1" si="0"/>
        <v>8</v>
      </c>
      <c r="M34" s="10">
        <f t="shared" ca="1" si="1"/>
        <v>30</v>
      </c>
      <c r="N34" s="10" t="str">
        <f>LOOKUP(F34,Справочники!$F$2:$F$10,Справочники!$H$2:$H$10)</f>
        <v>+7(8332)64-32-01</v>
      </c>
    </row>
    <row r="35" spans="1:14" ht="15" x14ac:dyDescent="0.25">
      <c r="A35" s="10">
        <v>134</v>
      </c>
      <c r="B35" s="12" t="s">
        <v>146</v>
      </c>
      <c r="C35" s="12" t="s">
        <v>147</v>
      </c>
      <c r="D35" s="12" t="s">
        <v>148</v>
      </c>
      <c r="E35" s="10" t="s">
        <v>9</v>
      </c>
      <c r="F35" s="10" t="str">
        <f>LOOKUP(G35,Справочники!$B$2:$B$35,Справочники!$A$2:$A$35)</f>
        <v>Технологический отдел</v>
      </c>
      <c r="G35" s="6" t="s">
        <v>38</v>
      </c>
      <c r="H35" s="16">
        <f>LOOKUP(G35,Справочники!$B$2:$B$35,Справочники!$C$2:$C$35)</f>
        <v>20000</v>
      </c>
      <c r="I35" s="6" t="s">
        <v>14</v>
      </c>
      <c r="J35" s="11">
        <v>35208</v>
      </c>
      <c r="K35" s="11">
        <v>25186</v>
      </c>
      <c r="L35" s="10">
        <f t="shared" ca="1" si="0"/>
        <v>26</v>
      </c>
      <c r="M35" s="10">
        <f t="shared" ca="1" si="1"/>
        <v>53</v>
      </c>
      <c r="N35" s="10" t="str">
        <f>LOOKUP(F35,Справочники!$F$2:$F$10,Справочники!$H$2:$H$10)</f>
        <v>+7(8332)64-32-18</v>
      </c>
    </row>
    <row r="36" spans="1:14" ht="15" x14ac:dyDescent="0.25">
      <c r="A36" s="10">
        <v>135</v>
      </c>
      <c r="B36" s="12" t="s">
        <v>149</v>
      </c>
      <c r="C36" s="12" t="s">
        <v>75</v>
      </c>
      <c r="D36" s="12" t="s">
        <v>96</v>
      </c>
      <c r="E36" s="10" t="s">
        <v>9</v>
      </c>
      <c r="F36" s="10" t="str">
        <f>LOOKUP(G36,Справочники!$B$2:$B$35,Справочники!$A$2:$A$35)</f>
        <v>Технологический отдел</v>
      </c>
      <c r="G36" s="6" t="s">
        <v>38</v>
      </c>
      <c r="H36" s="16">
        <f>LOOKUP(G36,Справочники!$B$2:$B$35,Справочники!$C$2:$C$35)</f>
        <v>20000</v>
      </c>
      <c r="I36" s="6" t="s">
        <v>25</v>
      </c>
      <c r="J36" s="11">
        <v>35290</v>
      </c>
      <c r="K36" s="11">
        <v>23891</v>
      </c>
      <c r="L36" s="10">
        <f t="shared" ca="1" si="0"/>
        <v>26</v>
      </c>
      <c r="M36" s="10">
        <f t="shared" ca="1" si="1"/>
        <v>57</v>
      </c>
      <c r="N36" s="10" t="str">
        <f>LOOKUP(F36,Справочники!$F$2:$F$10,Справочники!$H$2:$H$10)</f>
        <v>+7(8332)64-32-18</v>
      </c>
    </row>
    <row r="37" spans="1:14" ht="15" x14ac:dyDescent="0.25">
      <c r="A37" s="10">
        <v>136</v>
      </c>
      <c r="B37" s="12" t="s">
        <v>150</v>
      </c>
      <c r="C37" s="12" t="s">
        <v>151</v>
      </c>
      <c r="D37" s="12" t="s">
        <v>152</v>
      </c>
      <c r="E37" s="10" t="s">
        <v>9</v>
      </c>
      <c r="F37" s="10" t="str">
        <f>LOOKUP(G37,Справочники!$B$2:$B$35,Справочники!$A$2:$A$35)</f>
        <v>Рекламный отдел</v>
      </c>
      <c r="G37" s="6" t="s">
        <v>27</v>
      </c>
      <c r="H37" s="16">
        <f>LOOKUP(G37,Справочники!$B$2:$B$35,Справочники!$C$2:$C$35)</f>
        <v>22000</v>
      </c>
      <c r="I37" s="6" t="s">
        <v>25</v>
      </c>
      <c r="J37" s="11">
        <v>39479</v>
      </c>
      <c r="K37" s="11">
        <v>27737</v>
      </c>
      <c r="L37" s="10">
        <f t="shared" ca="1" si="0"/>
        <v>14</v>
      </c>
      <c r="M37" s="10">
        <f t="shared" ca="1" si="1"/>
        <v>46</v>
      </c>
      <c r="N37" s="10" t="str">
        <f>LOOKUP(F37,Справочники!$F$2:$F$10,Справочники!$H$2:$H$10)</f>
        <v>+7(8332)64-32-01</v>
      </c>
    </row>
    <row r="38" spans="1:14" ht="15" x14ac:dyDescent="0.25">
      <c r="A38" s="10">
        <v>137</v>
      </c>
      <c r="B38" s="12" t="s">
        <v>153</v>
      </c>
      <c r="C38" s="12" t="s">
        <v>114</v>
      </c>
      <c r="D38" s="12" t="s">
        <v>154</v>
      </c>
      <c r="E38" s="10" t="s">
        <v>9</v>
      </c>
      <c r="F38" s="10" t="str">
        <f>LOOKUP(G38,Справочники!$B$2:$B$35,Справочники!$A$2:$A$35)</f>
        <v>Управление</v>
      </c>
      <c r="G38" s="6" t="s">
        <v>20</v>
      </c>
      <c r="H38" s="16">
        <f>LOOKUP(G38,Справочники!$B$2:$B$35,Справочники!$C$2:$C$35)</f>
        <v>15000</v>
      </c>
      <c r="I38" s="6" t="s">
        <v>25</v>
      </c>
      <c r="J38" s="11">
        <v>42271</v>
      </c>
      <c r="K38" s="11">
        <v>33851</v>
      </c>
      <c r="L38" s="10">
        <f t="shared" ca="1" si="0"/>
        <v>7</v>
      </c>
      <c r="M38" s="10">
        <f t="shared" ca="1" si="1"/>
        <v>30</v>
      </c>
      <c r="N38" s="10" t="str">
        <f>LOOKUP(F38,Справочники!$F$2:$F$10,Справочники!$H$2:$H$10)</f>
        <v>+7(8332)64-32-18</v>
      </c>
    </row>
    <row r="39" spans="1:14" ht="15" x14ac:dyDescent="0.25">
      <c r="A39" s="10">
        <v>138</v>
      </c>
      <c r="B39" s="12" t="s">
        <v>155</v>
      </c>
      <c r="C39" s="12" t="s">
        <v>108</v>
      </c>
      <c r="D39" s="12" t="s">
        <v>156</v>
      </c>
      <c r="E39" s="10" t="s">
        <v>9</v>
      </c>
      <c r="F39" s="10" t="str">
        <f>LOOKUP(G39,Справочники!$B$2:$B$35,Справочники!$A$2:$A$35)</f>
        <v>Отдел худ. оформления</v>
      </c>
      <c r="G39" s="6" t="s">
        <v>44</v>
      </c>
      <c r="H39" s="16">
        <f>LOOKUP(G39,Справочники!$B$2:$B$35,Справочники!$C$2:$C$35)</f>
        <v>18000</v>
      </c>
      <c r="I39" s="6" t="s">
        <v>14</v>
      </c>
      <c r="J39" s="11">
        <v>34380</v>
      </c>
      <c r="K39" s="11">
        <v>23757</v>
      </c>
      <c r="L39" s="10">
        <f t="shared" ca="1" si="0"/>
        <v>28</v>
      </c>
      <c r="M39" s="10">
        <f t="shared" ca="1" si="1"/>
        <v>57</v>
      </c>
      <c r="N39" s="10" t="str">
        <f>LOOKUP(F39,Справочники!$F$2:$F$10,Справочники!$H$2:$H$10)</f>
        <v>+7(8332)64-32-01</v>
      </c>
    </row>
    <row r="40" spans="1:14" ht="15" x14ac:dyDescent="0.25">
      <c r="A40" s="10">
        <v>139</v>
      </c>
      <c r="B40" s="12" t="s">
        <v>157</v>
      </c>
      <c r="C40" s="12" t="s">
        <v>158</v>
      </c>
      <c r="D40" s="12" t="s">
        <v>159</v>
      </c>
      <c r="E40" s="10" t="s">
        <v>9</v>
      </c>
      <c r="F40" s="10" t="str">
        <f>LOOKUP(G40,Справочники!$B$2:$B$35,Справочники!$A$2:$A$35)</f>
        <v>Управление</v>
      </c>
      <c r="G40" s="6" t="s">
        <v>20</v>
      </c>
      <c r="H40" s="16">
        <f>LOOKUP(G40,Справочники!$B$2:$B$35,Справочники!$C$2:$C$35)</f>
        <v>15000</v>
      </c>
      <c r="I40" s="6" t="s">
        <v>12</v>
      </c>
      <c r="J40" s="11">
        <v>41697</v>
      </c>
      <c r="K40" s="11">
        <v>33022</v>
      </c>
      <c r="L40" s="10">
        <f t="shared" ca="1" si="0"/>
        <v>8</v>
      </c>
      <c r="M40" s="10">
        <f t="shared" ca="1" si="1"/>
        <v>32</v>
      </c>
      <c r="N40" s="10" t="str">
        <f>LOOKUP(F40,Справочники!$F$2:$F$10,Справочники!$H$2:$H$10)</f>
        <v>+7(8332)64-32-18</v>
      </c>
    </row>
    <row r="41" spans="1:14" ht="15" x14ac:dyDescent="0.25">
      <c r="A41" s="10">
        <v>140</v>
      </c>
      <c r="B41" s="12" t="s">
        <v>160</v>
      </c>
      <c r="C41" s="12" t="s">
        <v>161</v>
      </c>
      <c r="D41" s="12" t="s">
        <v>162</v>
      </c>
      <c r="E41" s="10" t="s">
        <v>9</v>
      </c>
      <c r="F41" s="10" t="str">
        <f>LOOKUP(G41,Справочники!$B$2:$B$35,Справочники!$A$2:$A$35)</f>
        <v>Рекламный отдел</v>
      </c>
      <c r="G41" s="6" t="s">
        <v>40</v>
      </c>
      <c r="H41" s="16">
        <f>LOOKUP(G41,Справочники!$B$2:$B$35,Справочники!$C$2:$C$35)</f>
        <v>15000</v>
      </c>
      <c r="I41" s="6" t="s">
        <v>25</v>
      </c>
      <c r="J41" s="11">
        <v>39641</v>
      </c>
      <c r="K41" s="11">
        <v>29284</v>
      </c>
      <c r="L41" s="10">
        <f t="shared" ca="1" si="0"/>
        <v>14</v>
      </c>
      <c r="M41" s="10">
        <f t="shared" ca="1" si="1"/>
        <v>42</v>
      </c>
      <c r="N41" s="10" t="str">
        <f>LOOKUP(F41,Справочники!$F$2:$F$10,Справочники!$H$2:$H$10)</f>
        <v>+7(8332)64-32-01</v>
      </c>
    </row>
    <row r="42" spans="1:14" ht="15" x14ac:dyDescent="0.25">
      <c r="A42" s="10">
        <v>141</v>
      </c>
      <c r="B42" s="12" t="s">
        <v>163</v>
      </c>
      <c r="C42" s="12" t="s">
        <v>164</v>
      </c>
      <c r="D42" s="12" t="s">
        <v>93</v>
      </c>
      <c r="E42" s="10" t="s">
        <v>17</v>
      </c>
      <c r="F42" s="10" t="str">
        <f>LOOKUP(G42,Справочники!$B$2:$B$35,Справочники!$A$2:$A$35)</f>
        <v>Отдел худ. оформления</v>
      </c>
      <c r="G42" s="6" t="s">
        <v>44</v>
      </c>
      <c r="H42" s="16">
        <f>LOOKUP(G42,Справочники!$B$2:$B$35,Справочники!$C$2:$C$35)</f>
        <v>18000</v>
      </c>
      <c r="I42" s="6" t="s">
        <v>14</v>
      </c>
      <c r="J42" s="11">
        <v>35290</v>
      </c>
      <c r="K42" s="11">
        <v>27405</v>
      </c>
      <c r="L42" s="10">
        <f t="shared" ca="1" si="0"/>
        <v>26</v>
      </c>
      <c r="M42" s="10">
        <f t="shared" ca="1" si="1"/>
        <v>47</v>
      </c>
      <c r="N42" s="10" t="str">
        <f>LOOKUP(F42,Справочники!$F$2:$F$10,Справочники!$H$2:$H$10)</f>
        <v>+7(8332)64-32-01</v>
      </c>
    </row>
    <row r="43" spans="1:14" ht="15" x14ac:dyDescent="0.25">
      <c r="A43" s="10">
        <v>142</v>
      </c>
      <c r="B43" s="12" t="s">
        <v>165</v>
      </c>
      <c r="C43" s="12" t="s">
        <v>166</v>
      </c>
      <c r="D43" s="12" t="s">
        <v>127</v>
      </c>
      <c r="E43" s="10" t="s">
        <v>9</v>
      </c>
      <c r="F43" s="10" t="str">
        <f>LOOKUP(G43,Справочники!$B$2:$B$35,Справочники!$A$2:$A$35)</f>
        <v>Склад</v>
      </c>
      <c r="G43" s="6" t="s">
        <v>46</v>
      </c>
      <c r="H43" s="16">
        <f>LOOKUP(G43,Справочники!$B$2:$B$35,Справочники!$C$2:$C$35)</f>
        <v>15000</v>
      </c>
      <c r="I43" s="6" t="s">
        <v>33</v>
      </c>
      <c r="J43" s="11">
        <v>34955</v>
      </c>
      <c r="K43" s="11">
        <v>24134</v>
      </c>
      <c r="L43" s="10">
        <f t="shared" ca="1" si="0"/>
        <v>27</v>
      </c>
      <c r="M43" s="10">
        <f t="shared" ca="1" si="1"/>
        <v>56</v>
      </c>
      <c r="N43" s="10" t="str">
        <f>LOOKUP(F43,Справочники!$F$2:$F$10,Справочники!$H$2:$H$10)</f>
        <v>+7(8332)64-32-23</v>
      </c>
    </row>
    <row r="44" spans="1:14" ht="15" x14ac:dyDescent="0.25">
      <c r="A44" s="10">
        <v>143</v>
      </c>
      <c r="B44" s="12" t="s">
        <v>167</v>
      </c>
      <c r="C44" s="12" t="s">
        <v>168</v>
      </c>
      <c r="D44" s="12" t="s">
        <v>169</v>
      </c>
      <c r="E44" s="10" t="s">
        <v>17</v>
      </c>
      <c r="F44" s="10" t="str">
        <f>LOOKUP(G44,Справочники!$B$2:$B$35,Справочники!$A$2:$A$35)</f>
        <v>Склад</v>
      </c>
      <c r="G44" s="6" t="s">
        <v>47</v>
      </c>
      <c r="H44" s="16">
        <f>LOOKUP(G44,Справочники!$B$2:$B$35,Справочники!$C$2:$C$35)</f>
        <v>11000</v>
      </c>
      <c r="I44" s="6" t="s">
        <v>33</v>
      </c>
      <c r="J44" s="11">
        <v>42016</v>
      </c>
      <c r="K44" s="11">
        <v>30232</v>
      </c>
      <c r="L44" s="10">
        <f t="shared" ca="1" si="0"/>
        <v>7</v>
      </c>
      <c r="M44" s="10">
        <f t="shared" ca="1" si="1"/>
        <v>40</v>
      </c>
      <c r="N44" s="10" t="str">
        <f>LOOKUP(F44,Справочники!$F$2:$F$10,Справочники!$H$2:$H$10)</f>
        <v>+7(8332)64-32-23</v>
      </c>
    </row>
    <row r="45" spans="1:14" ht="15" x14ac:dyDescent="0.25">
      <c r="A45" s="10">
        <v>144</v>
      </c>
      <c r="B45" s="12" t="s">
        <v>170</v>
      </c>
      <c r="C45" s="12" t="s">
        <v>164</v>
      </c>
      <c r="D45" s="12" t="s">
        <v>171</v>
      </c>
      <c r="E45" s="10" t="s">
        <v>17</v>
      </c>
      <c r="F45" s="10" t="str">
        <f>LOOKUP(G45,Справочники!$B$2:$B$35,Справочники!$A$2:$A$35)</f>
        <v>Склад</v>
      </c>
      <c r="G45" s="6" t="s">
        <v>47</v>
      </c>
      <c r="H45" s="16">
        <f>LOOKUP(G45,Справочники!$B$2:$B$35,Справочники!$C$2:$C$35)</f>
        <v>11000</v>
      </c>
      <c r="I45" s="6" t="s">
        <v>33</v>
      </c>
      <c r="J45" s="11">
        <v>43115</v>
      </c>
      <c r="K45" s="11">
        <v>33207</v>
      </c>
      <c r="L45" s="10">
        <f t="shared" ca="1" si="0"/>
        <v>4</v>
      </c>
      <c r="M45" s="10">
        <f t="shared" ca="1" si="1"/>
        <v>31</v>
      </c>
      <c r="N45" s="10" t="str">
        <f>LOOKUP(F45,Справочники!$F$2:$F$10,Справочники!$H$2:$H$10)</f>
        <v>+7(8332)64-32-23</v>
      </c>
    </row>
    <row r="46" spans="1:14" ht="15" x14ac:dyDescent="0.25">
      <c r="A46" s="10">
        <v>145</v>
      </c>
      <c r="B46" s="12" t="s">
        <v>172</v>
      </c>
      <c r="C46" s="12" t="s">
        <v>131</v>
      </c>
      <c r="D46" s="12" t="s">
        <v>145</v>
      </c>
      <c r="E46" s="10" t="s">
        <v>17</v>
      </c>
      <c r="F46" s="10" t="str">
        <f>LOOKUP(G46,Справочники!$B$2:$B$35,Справочники!$A$2:$A$35)</f>
        <v>Склад</v>
      </c>
      <c r="G46" s="6" t="s">
        <v>48</v>
      </c>
      <c r="H46" s="16">
        <f>LOOKUP(G46,Справочники!$B$2:$B$35,Справочники!$C$2:$C$35)</f>
        <v>22000</v>
      </c>
      <c r="I46" s="6" t="s">
        <v>25</v>
      </c>
      <c r="J46" s="11">
        <v>34788</v>
      </c>
      <c r="K46" s="11">
        <v>25204</v>
      </c>
      <c r="L46" s="10">
        <f t="shared" ca="1" si="0"/>
        <v>27</v>
      </c>
      <c r="M46" s="10">
        <f t="shared" ca="1" si="1"/>
        <v>53</v>
      </c>
      <c r="N46" s="10" t="str">
        <f>LOOKUP(F46,Справочники!$F$2:$F$10,Справочники!$H$2:$H$10)</f>
        <v>+7(8332)64-32-23</v>
      </c>
    </row>
    <row r="47" spans="1:14" ht="15" x14ac:dyDescent="0.25">
      <c r="A47" s="10">
        <v>146</v>
      </c>
      <c r="B47" s="12" t="s">
        <v>173</v>
      </c>
      <c r="C47" s="12" t="s">
        <v>129</v>
      </c>
      <c r="D47" s="12" t="s">
        <v>174</v>
      </c>
      <c r="E47" s="10" t="s">
        <v>17</v>
      </c>
      <c r="F47" s="10" t="str">
        <f>LOOKUP(G47,Справочники!$B$2:$B$35,Справочники!$A$2:$A$35)</f>
        <v>Склад</v>
      </c>
      <c r="G47" s="6" t="s">
        <v>46</v>
      </c>
      <c r="H47" s="16">
        <f>LOOKUP(G47,Справочники!$B$2:$B$35,Справочники!$C$2:$C$35)</f>
        <v>15000</v>
      </c>
      <c r="I47" s="6" t="s">
        <v>33</v>
      </c>
      <c r="J47" s="11">
        <v>35032</v>
      </c>
      <c r="K47" s="11">
        <v>26821</v>
      </c>
      <c r="L47" s="10">
        <f t="shared" ca="1" si="0"/>
        <v>26</v>
      </c>
      <c r="M47" s="10">
        <f t="shared" ca="1" si="1"/>
        <v>49</v>
      </c>
      <c r="N47" s="10" t="str">
        <f>LOOKUP(F47,Справочники!$F$2:$F$10,Справочники!$H$2:$H$10)</f>
        <v>+7(8332)64-32-23</v>
      </c>
    </row>
    <row r="48" spans="1:14" ht="15" x14ac:dyDescent="0.25">
      <c r="A48" s="10">
        <v>147</v>
      </c>
      <c r="B48" s="12" t="s">
        <v>175</v>
      </c>
      <c r="C48" s="12" t="s">
        <v>176</v>
      </c>
      <c r="D48" s="12" t="s">
        <v>177</v>
      </c>
      <c r="E48" s="10" t="s">
        <v>17</v>
      </c>
      <c r="F48" s="10" t="str">
        <f>LOOKUP(G48,Справочники!$B$2:$B$35,Справочники!$A$2:$A$35)</f>
        <v>Склад</v>
      </c>
      <c r="G48" s="6" t="s">
        <v>47</v>
      </c>
      <c r="H48" s="16">
        <f>LOOKUP(G48,Справочники!$B$2:$B$35,Справочники!$C$2:$C$35)</f>
        <v>11000</v>
      </c>
      <c r="I48" s="6" t="s">
        <v>33</v>
      </c>
      <c r="J48" s="11">
        <v>42399</v>
      </c>
      <c r="K48" s="11">
        <v>33858</v>
      </c>
      <c r="L48" s="10">
        <f t="shared" ca="1" si="0"/>
        <v>6</v>
      </c>
      <c r="M48" s="10">
        <f t="shared" ca="1" si="1"/>
        <v>30</v>
      </c>
      <c r="N48" s="10" t="str">
        <f>LOOKUP(F48,Справочники!$F$2:$F$10,Справочники!$H$2:$H$10)</f>
        <v>+7(8332)64-32-23</v>
      </c>
    </row>
    <row r="49" spans="1:14" ht="15" x14ac:dyDescent="0.25">
      <c r="A49" s="10">
        <v>148</v>
      </c>
      <c r="B49" s="12" t="s">
        <v>178</v>
      </c>
      <c r="C49" s="12" t="s">
        <v>179</v>
      </c>
      <c r="D49" s="12" t="s">
        <v>101</v>
      </c>
      <c r="E49" s="10" t="s">
        <v>17</v>
      </c>
      <c r="F49" s="10" t="str">
        <f>LOOKUP(G49,Справочники!$B$2:$B$35,Справочники!$A$2:$A$35)</f>
        <v>Рекламный отдел</v>
      </c>
      <c r="G49" s="6" t="s">
        <v>27</v>
      </c>
      <c r="H49" s="16">
        <f>LOOKUP(G49,Справочники!$B$2:$B$35,Справочники!$C$2:$C$35)</f>
        <v>22000</v>
      </c>
      <c r="I49" s="6" t="s">
        <v>14</v>
      </c>
      <c r="J49" s="11">
        <v>43539</v>
      </c>
      <c r="K49" s="11">
        <v>27737</v>
      </c>
      <c r="L49" s="10">
        <f t="shared" ca="1" si="0"/>
        <v>3</v>
      </c>
      <c r="M49" s="10">
        <f t="shared" ca="1" si="1"/>
        <v>46</v>
      </c>
      <c r="N49" s="10" t="str">
        <f>LOOKUP(F49,Справочники!$F$2:$F$10,Справочники!$H$2:$H$10)</f>
        <v>+7(8332)64-32-01</v>
      </c>
    </row>
    <row r="50" spans="1:14" ht="15" x14ac:dyDescent="0.25">
      <c r="A50" s="10">
        <v>149</v>
      </c>
      <c r="B50" s="12" t="s">
        <v>180</v>
      </c>
      <c r="C50" s="12" t="s">
        <v>181</v>
      </c>
      <c r="D50" s="12" t="s">
        <v>132</v>
      </c>
      <c r="E50" s="10" t="s">
        <v>17</v>
      </c>
      <c r="F50" s="10" t="str">
        <f>LOOKUP(G50,Справочники!$B$2:$B$35,Справочники!$A$2:$A$35)</f>
        <v>Транспортный отдел</v>
      </c>
      <c r="G50" s="6" t="s">
        <v>50</v>
      </c>
      <c r="H50" s="16">
        <f>LOOKUP(G50,Справочники!$B$2:$B$35,Справочники!$C$2:$C$35)</f>
        <v>12000</v>
      </c>
      <c r="I50" s="6" t="s">
        <v>33</v>
      </c>
      <c r="J50" s="11">
        <v>34759</v>
      </c>
      <c r="K50" s="11">
        <v>25186</v>
      </c>
      <c r="L50" s="10">
        <f t="shared" ca="1" si="0"/>
        <v>27</v>
      </c>
      <c r="M50" s="10">
        <f t="shared" ca="1" si="1"/>
        <v>53</v>
      </c>
      <c r="N50" s="10" t="str">
        <f>LOOKUP(F50,Справочники!$F$2:$F$10,Справочники!$H$2:$H$10)</f>
        <v>+7(8332)64-32-18</v>
      </c>
    </row>
    <row r="51" spans="1:14" ht="15" x14ac:dyDescent="0.25">
      <c r="A51" s="10">
        <v>150</v>
      </c>
      <c r="B51" s="12" t="s">
        <v>182</v>
      </c>
      <c r="C51" s="12" t="s">
        <v>75</v>
      </c>
      <c r="D51" s="12" t="s">
        <v>76</v>
      </c>
      <c r="E51" s="10" t="s">
        <v>9</v>
      </c>
      <c r="F51" s="10" t="str">
        <f>LOOKUP(G51,Справочники!$B$2:$B$35,Справочники!$A$2:$A$35)</f>
        <v>Редакторский отдел</v>
      </c>
      <c r="G51" s="6" t="s">
        <v>52</v>
      </c>
      <c r="H51" s="16">
        <f>LOOKUP(G51,Справочники!$B$2:$B$35,Справочники!$C$2:$C$35)</f>
        <v>16000</v>
      </c>
      <c r="I51" s="6" t="s">
        <v>14</v>
      </c>
      <c r="J51" s="11">
        <v>34714</v>
      </c>
      <c r="K51" s="11">
        <v>22250</v>
      </c>
      <c r="L51" s="10">
        <f t="shared" ca="1" si="0"/>
        <v>27</v>
      </c>
      <c r="M51" s="10">
        <f t="shared" ca="1" si="1"/>
        <v>61</v>
      </c>
      <c r="N51" s="10" t="str">
        <f>LOOKUP(F51,Справочники!$F$2:$F$10,Справочники!$H$2:$H$10)</f>
        <v>+7(8332)64-32-01</v>
      </c>
    </row>
    <row r="52" spans="1:14" ht="15" x14ac:dyDescent="0.25">
      <c r="A52" s="10">
        <v>151</v>
      </c>
      <c r="B52" s="12" t="s">
        <v>183</v>
      </c>
      <c r="C52" s="12" t="s">
        <v>161</v>
      </c>
      <c r="D52" s="12" t="s">
        <v>184</v>
      </c>
      <c r="E52" s="10" t="s">
        <v>9</v>
      </c>
      <c r="F52" s="10" t="str">
        <f>LOOKUP(G52,Справочники!$B$2:$B$35,Справочники!$A$2:$A$35)</f>
        <v>Редакторский отдел</v>
      </c>
      <c r="G52" s="7" t="s">
        <v>53</v>
      </c>
      <c r="H52" s="16">
        <f>LOOKUP(G52,Справочники!$B$2:$B$35,Справочники!$C$2:$C$35)</f>
        <v>19000</v>
      </c>
      <c r="I52" s="6" t="s">
        <v>25</v>
      </c>
      <c r="J52" s="11">
        <v>35445</v>
      </c>
      <c r="K52" s="11">
        <v>26821</v>
      </c>
      <c r="L52" s="10">
        <f t="shared" ca="1" si="0"/>
        <v>25</v>
      </c>
      <c r="M52" s="10">
        <f t="shared" ca="1" si="1"/>
        <v>49</v>
      </c>
      <c r="N52" s="10" t="str">
        <f>LOOKUP(F52,Справочники!$F$2:$F$10,Справочники!$H$2:$H$10)</f>
        <v>+7(8332)64-32-01</v>
      </c>
    </row>
    <row r="53" spans="1:14" ht="15" x14ac:dyDescent="0.25">
      <c r="A53" s="10">
        <v>152</v>
      </c>
      <c r="B53" s="12" t="s">
        <v>185</v>
      </c>
      <c r="C53" s="12" t="s">
        <v>186</v>
      </c>
      <c r="D53" s="12" t="s">
        <v>76</v>
      </c>
      <c r="E53" s="10" t="s">
        <v>9</v>
      </c>
      <c r="F53" s="10" t="str">
        <f>LOOKUP(G53,Справочники!$B$2:$B$35,Справочники!$A$2:$A$35)</f>
        <v>Редакторский отдел</v>
      </c>
      <c r="G53" s="7" t="s">
        <v>54</v>
      </c>
      <c r="H53" s="16">
        <f>LOOKUP(G53,Справочники!$B$2:$B$35,Справочники!$C$2:$C$35)</f>
        <v>14000</v>
      </c>
      <c r="I53" s="6" t="s">
        <v>25</v>
      </c>
      <c r="J53" s="11">
        <v>40998</v>
      </c>
      <c r="K53" s="11">
        <v>30213</v>
      </c>
      <c r="L53" s="10">
        <f t="shared" ca="1" si="0"/>
        <v>10</v>
      </c>
      <c r="M53" s="10">
        <f t="shared" ca="1" si="1"/>
        <v>40</v>
      </c>
      <c r="N53" s="10" t="str">
        <f>LOOKUP(F53,Справочники!$F$2:$F$10,Справочники!$H$2:$H$10)</f>
        <v>+7(8332)64-32-01</v>
      </c>
    </row>
    <row r="54" spans="1:14" ht="15" x14ac:dyDescent="0.25">
      <c r="A54" s="10">
        <v>153</v>
      </c>
      <c r="B54" s="12" t="s">
        <v>187</v>
      </c>
      <c r="C54" s="12" t="s">
        <v>158</v>
      </c>
      <c r="D54" s="12" t="s">
        <v>111</v>
      </c>
      <c r="E54" s="10" t="s">
        <v>9</v>
      </c>
      <c r="F54" s="10" t="str">
        <f>LOOKUP(G54,Справочники!$B$2:$B$35,Справочники!$A$2:$A$35)</f>
        <v>Редакторский отдел</v>
      </c>
      <c r="G54" s="6" t="s">
        <v>52</v>
      </c>
      <c r="H54" s="16">
        <f>LOOKUP(G54,Справочники!$B$2:$B$35,Справочники!$C$2:$C$35)</f>
        <v>16000</v>
      </c>
      <c r="I54" s="6" t="s">
        <v>14</v>
      </c>
      <c r="J54" s="11">
        <v>36220</v>
      </c>
      <c r="K54" s="11">
        <v>26580</v>
      </c>
      <c r="L54" s="10">
        <f t="shared" ca="1" si="0"/>
        <v>23</v>
      </c>
      <c r="M54" s="10">
        <f t="shared" ca="1" si="1"/>
        <v>50</v>
      </c>
      <c r="N54" s="10" t="str">
        <f>LOOKUP(F54,Справочники!$F$2:$F$10,Справочники!$H$2:$H$10)</f>
        <v>+7(8332)64-32-01</v>
      </c>
    </row>
    <row r="55" spans="1:14" ht="15" x14ac:dyDescent="0.25">
      <c r="A55" s="10">
        <v>154</v>
      </c>
      <c r="B55" s="12" t="s">
        <v>188</v>
      </c>
      <c r="C55" s="12" t="s">
        <v>189</v>
      </c>
      <c r="D55" s="12" t="s">
        <v>162</v>
      </c>
      <c r="E55" s="10" t="s">
        <v>9</v>
      </c>
      <c r="F55" s="10" t="str">
        <f>LOOKUP(G55,Справочники!$B$2:$B$35,Справочники!$A$2:$A$35)</f>
        <v>Редакторский отдел</v>
      </c>
      <c r="G55" s="7" t="s">
        <v>54</v>
      </c>
      <c r="H55" s="16">
        <f>LOOKUP(G55,Справочники!$B$2:$B$35,Справочники!$C$2:$C$35)</f>
        <v>14000</v>
      </c>
      <c r="I55" s="6" t="s">
        <v>14</v>
      </c>
      <c r="J55" s="11">
        <v>35258</v>
      </c>
      <c r="K55" s="11">
        <v>21600</v>
      </c>
      <c r="L55" s="10">
        <f t="shared" ca="1" si="0"/>
        <v>26</v>
      </c>
      <c r="M55" s="10">
        <f t="shared" ca="1" si="1"/>
        <v>63</v>
      </c>
      <c r="N55" s="10" t="str">
        <f>LOOKUP(F55,Справочники!$F$2:$F$10,Справочники!$H$2:$H$10)</f>
        <v>+7(8332)64-32-01</v>
      </c>
    </row>
    <row r="56" spans="1:14" ht="15" x14ac:dyDescent="0.25">
      <c r="A56" s="10">
        <v>155</v>
      </c>
      <c r="B56" s="12" t="s">
        <v>190</v>
      </c>
      <c r="C56" s="12" t="s">
        <v>191</v>
      </c>
      <c r="D56" s="12" t="s">
        <v>192</v>
      </c>
      <c r="E56" s="10" t="s">
        <v>9</v>
      </c>
      <c r="F56" s="10" t="str">
        <f>LOOKUP(G56,Справочники!$B$2:$B$35,Справочники!$A$2:$A$35)</f>
        <v>Редакторский отдел</v>
      </c>
      <c r="G56" s="7" t="s">
        <v>55</v>
      </c>
      <c r="H56" s="16">
        <f>LOOKUP(G56,Справочники!$B$2:$B$35,Справочники!$C$2:$C$35)</f>
        <v>14000</v>
      </c>
      <c r="I56" s="6" t="s">
        <v>14</v>
      </c>
      <c r="J56" s="11">
        <v>35442</v>
      </c>
      <c r="K56" s="11">
        <v>24134</v>
      </c>
      <c r="L56" s="10">
        <f t="shared" ca="1" si="0"/>
        <v>25</v>
      </c>
      <c r="M56" s="10">
        <f t="shared" ca="1" si="1"/>
        <v>56</v>
      </c>
      <c r="N56" s="10" t="str">
        <f>LOOKUP(F56,Справочники!$F$2:$F$10,Справочники!$H$2:$H$10)</f>
        <v>+7(8332)64-32-01</v>
      </c>
    </row>
    <row r="57" spans="1:14" ht="15" x14ac:dyDescent="0.25">
      <c r="A57" s="10">
        <v>156</v>
      </c>
      <c r="B57" s="12" t="s">
        <v>193</v>
      </c>
      <c r="C57" s="12" t="s">
        <v>108</v>
      </c>
      <c r="D57" s="12" t="s">
        <v>194</v>
      </c>
      <c r="E57" s="10" t="s">
        <v>9</v>
      </c>
      <c r="F57" s="10" t="str">
        <f>LOOKUP(G57,Справочники!$B$2:$B$35,Справочники!$A$2:$A$35)</f>
        <v>Редакторский отдел</v>
      </c>
      <c r="G57" s="7" t="s">
        <v>55</v>
      </c>
      <c r="H57" s="16">
        <f>LOOKUP(G57,Справочники!$B$2:$B$35,Справочники!$C$2:$C$35)</f>
        <v>14000</v>
      </c>
      <c r="I57" s="6" t="s">
        <v>25</v>
      </c>
      <c r="J57" s="11">
        <v>35460</v>
      </c>
      <c r="K57" s="11">
        <v>21194</v>
      </c>
      <c r="L57" s="10">
        <f t="shared" ca="1" si="0"/>
        <v>25</v>
      </c>
      <c r="M57" s="10">
        <f t="shared" ca="1" si="1"/>
        <v>64</v>
      </c>
      <c r="N57" s="10" t="str">
        <f>LOOKUP(F57,Справочники!$F$2:$F$10,Справочники!$H$2:$H$10)</f>
        <v>+7(8332)64-32-01</v>
      </c>
    </row>
    <row r="58" spans="1:14" ht="15" x14ac:dyDescent="0.25">
      <c r="A58" s="10">
        <v>157</v>
      </c>
      <c r="B58" s="12" t="s">
        <v>195</v>
      </c>
      <c r="C58" s="12" t="s">
        <v>196</v>
      </c>
      <c r="D58" s="12" t="s">
        <v>197</v>
      </c>
      <c r="E58" s="10" t="s">
        <v>9</v>
      </c>
      <c r="F58" s="10" t="str">
        <f>LOOKUP(G58,Справочники!$B$2:$B$35,Справочники!$A$2:$A$35)</f>
        <v>Технологический отдел</v>
      </c>
      <c r="G58" s="6" t="s">
        <v>31</v>
      </c>
      <c r="H58" s="16">
        <f>LOOKUP(G58,Справочники!$B$2:$B$35,Справочники!$C$2:$C$35)</f>
        <v>12000</v>
      </c>
      <c r="I58" s="6" t="s">
        <v>12</v>
      </c>
      <c r="J58" s="11">
        <v>39887</v>
      </c>
      <c r="K58" s="11">
        <v>30205</v>
      </c>
      <c r="L58" s="10">
        <f t="shared" ca="1" si="0"/>
        <v>13</v>
      </c>
      <c r="M58" s="10">
        <f t="shared" ca="1" si="1"/>
        <v>40</v>
      </c>
      <c r="N58" s="10" t="str">
        <f>LOOKUP(F58,Справочники!$F$2:$F$10,Справочники!$H$2:$H$10)</f>
        <v>+7(8332)64-32-18</v>
      </c>
    </row>
    <row r="59" spans="1:14" ht="15" x14ac:dyDescent="0.25">
      <c r="A59" s="10">
        <v>158</v>
      </c>
      <c r="B59" s="12" t="s">
        <v>198</v>
      </c>
      <c r="C59" s="12" t="s">
        <v>199</v>
      </c>
      <c r="D59" s="12" t="s">
        <v>159</v>
      </c>
      <c r="E59" s="10" t="s">
        <v>9</v>
      </c>
      <c r="F59" s="10" t="str">
        <f>LOOKUP(G59,Справочники!$B$2:$B$35,Справочники!$A$2:$A$35)</f>
        <v>Редакторский отдел</v>
      </c>
      <c r="G59" s="7" t="s">
        <v>54</v>
      </c>
      <c r="H59" s="16">
        <f>LOOKUP(G59,Справочники!$B$2:$B$35,Справочники!$C$2:$C$35)</f>
        <v>14000</v>
      </c>
      <c r="I59" s="6" t="s">
        <v>14</v>
      </c>
      <c r="J59" s="11">
        <v>35122</v>
      </c>
      <c r="K59" s="11">
        <v>23253</v>
      </c>
      <c r="L59" s="10">
        <f t="shared" ca="1" si="0"/>
        <v>26</v>
      </c>
      <c r="M59" s="10">
        <f t="shared" ca="1" si="1"/>
        <v>59</v>
      </c>
      <c r="N59" s="10" t="str">
        <f>LOOKUP(F59,Справочники!$F$2:$F$10,Справочники!$H$2:$H$10)</f>
        <v>+7(8332)64-32-01</v>
      </c>
    </row>
    <row r="60" spans="1:14" ht="15" x14ac:dyDescent="0.25">
      <c r="A60" s="10">
        <v>159</v>
      </c>
      <c r="B60" s="12" t="s">
        <v>200</v>
      </c>
      <c r="C60" s="12" t="s">
        <v>158</v>
      </c>
      <c r="D60" s="12" t="s">
        <v>201</v>
      </c>
      <c r="E60" s="10" t="s">
        <v>9</v>
      </c>
      <c r="F60" s="10" t="str">
        <f>LOOKUP(G60,Справочники!$B$2:$B$35,Справочники!$A$2:$A$35)</f>
        <v>Редакторский отдел</v>
      </c>
      <c r="G60" s="7" t="s">
        <v>55</v>
      </c>
      <c r="H60" s="16">
        <f>LOOKUP(G60,Справочники!$B$2:$B$35,Справочники!$C$2:$C$35)</f>
        <v>14000</v>
      </c>
      <c r="I60" s="6" t="s">
        <v>14</v>
      </c>
      <c r="J60" s="11">
        <v>35032</v>
      </c>
      <c r="K60" s="11">
        <v>22065</v>
      </c>
      <c r="L60" s="10">
        <f t="shared" ca="1" si="0"/>
        <v>26</v>
      </c>
      <c r="M60" s="10">
        <f t="shared" ca="1" si="1"/>
        <v>62</v>
      </c>
      <c r="N60" s="10" t="str">
        <f>LOOKUP(F60,Справочники!$F$2:$F$10,Справочники!$H$2:$H$10)</f>
        <v>+7(8332)64-32-01</v>
      </c>
    </row>
    <row r="61" spans="1:14" ht="15" x14ac:dyDescent="0.25">
      <c r="A61" s="10">
        <v>160</v>
      </c>
      <c r="B61" s="12" t="s">
        <v>202</v>
      </c>
      <c r="C61" s="12" t="s">
        <v>203</v>
      </c>
      <c r="D61" s="12" t="s">
        <v>127</v>
      </c>
      <c r="E61" s="10" t="s">
        <v>9</v>
      </c>
      <c r="F61" s="10" t="str">
        <f>LOOKUP(G61,Справочники!$B$2:$B$35,Справочники!$A$2:$A$35)</f>
        <v>Редакторский отдел</v>
      </c>
      <c r="G61" s="7" t="s">
        <v>55</v>
      </c>
      <c r="H61" s="16">
        <f>LOOKUP(G61,Справочники!$B$2:$B$35,Справочники!$C$2:$C$35)</f>
        <v>14000</v>
      </c>
      <c r="I61" s="6" t="s">
        <v>14</v>
      </c>
      <c r="J61" s="11">
        <v>42991</v>
      </c>
      <c r="K61" s="11">
        <v>32936</v>
      </c>
      <c r="L61" s="10">
        <f t="shared" ca="1" si="0"/>
        <v>5</v>
      </c>
      <c r="M61" s="10">
        <f t="shared" ca="1" si="1"/>
        <v>32</v>
      </c>
      <c r="N61" s="10" t="str">
        <f>LOOKUP(F61,Справочники!$F$2:$F$10,Справочники!$H$2:$H$10)</f>
        <v>+7(8332)64-32-01</v>
      </c>
    </row>
    <row r="62" spans="1:14" ht="15" x14ac:dyDescent="0.25">
      <c r="A62" s="10">
        <v>161</v>
      </c>
      <c r="B62" s="12" t="s">
        <v>204</v>
      </c>
      <c r="C62" s="12" t="s">
        <v>205</v>
      </c>
      <c r="D62" s="12" t="s">
        <v>145</v>
      </c>
      <c r="E62" s="10" t="s">
        <v>17</v>
      </c>
      <c r="F62" s="10" t="str">
        <f>LOOKUP(G62,Справочники!$B$2:$B$35,Справочники!$A$2:$A$35)</f>
        <v>Транспортный отдел</v>
      </c>
      <c r="G62" s="6" t="s">
        <v>50</v>
      </c>
      <c r="H62" s="16">
        <f>LOOKUP(G62,Справочники!$B$2:$B$35,Справочники!$C$2:$C$35)</f>
        <v>12000</v>
      </c>
      <c r="I62" s="6" t="s">
        <v>12</v>
      </c>
      <c r="J62" s="11">
        <v>31108</v>
      </c>
      <c r="K62" s="11">
        <v>23891</v>
      </c>
      <c r="L62" s="10">
        <f t="shared" ca="1" si="0"/>
        <v>37</v>
      </c>
      <c r="M62" s="10">
        <f t="shared" ca="1" si="1"/>
        <v>57</v>
      </c>
      <c r="N62" s="10" t="str">
        <f>LOOKUP(F62,Справочники!$F$2:$F$10,Справочники!$H$2:$H$10)</f>
        <v>+7(8332)64-32-18</v>
      </c>
    </row>
    <row r="63" spans="1:14" ht="15" x14ac:dyDescent="0.25">
      <c r="A63" s="10">
        <v>162</v>
      </c>
      <c r="B63" s="12" t="s">
        <v>206</v>
      </c>
      <c r="C63" s="12" t="s">
        <v>100</v>
      </c>
      <c r="D63" s="12" t="s">
        <v>207</v>
      </c>
      <c r="E63" s="10" t="s">
        <v>17</v>
      </c>
      <c r="F63" s="10" t="str">
        <f>LOOKUP(G63,Справочники!$B$2:$B$35,Справочники!$A$2:$A$35)</f>
        <v>Транспортный отдел</v>
      </c>
      <c r="G63" s="6" t="s">
        <v>50</v>
      </c>
      <c r="H63" s="16">
        <f>LOOKUP(G63,Справочники!$B$2:$B$35,Справочники!$C$2:$C$35)</f>
        <v>12000</v>
      </c>
      <c r="I63" s="6" t="s">
        <v>12</v>
      </c>
      <c r="J63" s="11">
        <v>32023</v>
      </c>
      <c r="K63" s="11">
        <v>22893</v>
      </c>
      <c r="L63" s="10">
        <f t="shared" ca="1" si="0"/>
        <v>35</v>
      </c>
      <c r="M63" s="10">
        <f t="shared" ca="1" si="1"/>
        <v>60</v>
      </c>
      <c r="N63" s="10" t="str">
        <f>LOOKUP(F63,Справочники!$F$2:$F$10,Справочники!$H$2:$H$10)</f>
        <v>+7(8332)64-32-18</v>
      </c>
    </row>
    <row r="64" spans="1:14" ht="15" x14ac:dyDescent="0.25">
      <c r="A64" s="10">
        <v>163</v>
      </c>
      <c r="B64" s="12" t="s">
        <v>208</v>
      </c>
      <c r="C64" s="12" t="s">
        <v>209</v>
      </c>
      <c r="D64" s="12" t="s">
        <v>93</v>
      </c>
      <c r="E64" s="10" t="s">
        <v>17</v>
      </c>
      <c r="F64" s="10" t="str">
        <f>LOOKUP(G64,Справочники!$B$2:$B$35,Справочники!$A$2:$A$35)</f>
        <v>Редакторский отдел</v>
      </c>
      <c r="G64" s="7" t="s">
        <v>56</v>
      </c>
      <c r="H64" s="16">
        <f>LOOKUP(G64,Справочники!$B$2:$B$35,Справочники!$C$2:$C$35)</f>
        <v>20000</v>
      </c>
      <c r="I64" s="6" t="s">
        <v>14</v>
      </c>
      <c r="J64" s="11">
        <v>35153</v>
      </c>
      <c r="K64" s="11">
        <v>24814</v>
      </c>
      <c r="L64" s="10">
        <f t="shared" ca="1" si="0"/>
        <v>26</v>
      </c>
      <c r="M64" s="10">
        <f t="shared" ca="1" si="1"/>
        <v>54</v>
      </c>
      <c r="N64" s="10" t="str">
        <f>LOOKUP(F64,Справочники!$F$2:$F$10,Справочники!$H$2:$H$10)</f>
        <v>+7(8332)64-32-01</v>
      </c>
    </row>
    <row r="65" spans="1:14" ht="15" x14ac:dyDescent="0.25">
      <c r="A65" s="10">
        <v>164</v>
      </c>
      <c r="B65" s="12" t="s">
        <v>210</v>
      </c>
      <c r="C65" s="12" t="s">
        <v>211</v>
      </c>
      <c r="D65" s="12" t="s">
        <v>148</v>
      </c>
      <c r="E65" s="10" t="s">
        <v>9</v>
      </c>
      <c r="F65" s="10" t="str">
        <f>LOOKUP(G65,Справочники!$B$2:$B$35,Справочники!$A$2:$A$35)</f>
        <v>Транспортный отдел</v>
      </c>
      <c r="G65" s="6" t="s">
        <v>57</v>
      </c>
      <c r="H65" s="16">
        <f>LOOKUP(G65,Справочники!$B$2:$B$35,Справочники!$C$2:$C$35)</f>
        <v>12000</v>
      </c>
      <c r="I65" s="6" t="s">
        <v>33</v>
      </c>
      <c r="J65" s="11">
        <v>43438</v>
      </c>
      <c r="K65" s="11">
        <v>34714</v>
      </c>
      <c r="L65" s="10">
        <f t="shared" ca="1" si="0"/>
        <v>3</v>
      </c>
      <c r="M65" s="10">
        <f t="shared" ca="1" si="1"/>
        <v>27</v>
      </c>
      <c r="N65" s="10" t="str">
        <f>LOOKUP(F65,Справочники!$F$2:$F$10,Справочники!$H$2:$H$10)</f>
        <v>+7(8332)64-32-18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B0FF-CC90-41D7-ADB6-2D576D87D0F6}">
  <dimension ref="A1:S77"/>
  <sheetViews>
    <sheetView topLeftCell="D1" zoomScaleNormal="100" workbookViewId="0">
      <pane ySplit="3" topLeftCell="A58" activePane="bottomLeft" state="frozen"/>
      <selection pane="bottomLeft" activeCell="E18" sqref="E18"/>
    </sheetView>
  </sheetViews>
  <sheetFormatPr defaultRowHeight="12.75" x14ac:dyDescent="0.2"/>
  <cols>
    <col min="1" max="1" width="11.42578125" style="4" customWidth="1"/>
    <col min="2" max="2" width="27.85546875" style="13" customWidth="1"/>
    <col min="3" max="3" width="18" style="13" customWidth="1"/>
    <col min="4" max="4" width="21.140625" style="13" customWidth="1"/>
    <col min="5" max="5" width="10.7109375" style="18" bestFit="1" customWidth="1"/>
    <col min="6" max="6" width="10.85546875" style="4" customWidth="1"/>
    <col min="7" max="7" width="16.42578125" style="4" customWidth="1"/>
    <col min="8" max="8" width="12.28515625" style="4" customWidth="1"/>
    <col min="9" max="9" width="13.7109375" style="4" customWidth="1"/>
    <col min="10" max="10" width="15.140625" style="4" customWidth="1"/>
    <col min="11" max="11" width="4.5703125" style="5" hidden="1" customWidth="1"/>
    <col min="12" max="12" width="22.140625" style="5" bestFit="1" customWidth="1"/>
    <col min="13" max="13" width="24.140625" style="4" bestFit="1" customWidth="1"/>
    <col min="14" max="14" width="20" style="4" hidden="1" customWidth="1"/>
    <col min="15" max="15" width="11.85546875" style="4" hidden="1" customWidth="1"/>
    <col min="16" max="16" width="12" style="4" customWidth="1"/>
    <col min="17" max="17" width="10.42578125" style="4" hidden="1" customWidth="1"/>
    <col min="18" max="18" width="14.28515625" style="4" customWidth="1"/>
    <col min="19" max="19" width="18.28515625" style="4" hidden="1" customWidth="1"/>
    <col min="20" max="258" width="9.140625" style="4"/>
    <col min="259" max="259" width="4.42578125" style="4" bestFit="1" customWidth="1"/>
    <col min="260" max="260" width="13.85546875" style="4" bestFit="1" customWidth="1"/>
    <col min="261" max="261" width="11.28515625" style="4" bestFit="1" customWidth="1"/>
    <col min="262" max="262" width="14.5703125" style="4" bestFit="1" customWidth="1"/>
    <col min="263" max="263" width="4.5703125" style="4" bestFit="1" customWidth="1"/>
    <col min="264" max="264" width="22.140625" style="4" bestFit="1" customWidth="1"/>
    <col min="265" max="265" width="24.140625" style="4" bestFit="1" customWidth="1"/>
    <col min="266" max="266" width="10.7109375" style="4" bestFit="1" customWidth="1"/>
    <col min="267" max="267" width="20" style="4" bestFit="1" customWidth="1"/>
    <col min="268" max="268" width="11.85546875" style="4" bestFit="1" customWidth="1"/>
    <col min="269" max="269" width="10.42578125" style="4" bestFit="1" customWidth="1"/>
    <col min="270" max="270" width="42.28515625" style="4" bestFit="1" customWidth="1"/>
    <col min="271" max="271" width="13.5703125" style="4" bestFit="1" customWidth="1"/>
    <col min="272" max="272" width="7.7109375" style="4" bestFit="1" customWidth="1"/>
    <col min="273" max="273" width="10.7109375" style="4" bestFit="1" customWidth="1"/>
    <col min="274" max="274" width="9.28515625" style="4" bestFit="1" customWidth="1"/>
    <col min="275" max="275" width="8.7109375" style="4" bestFit="1" customWidth="1"/>
    <col min="276" max="514" width="9.140625" style="4"/>
    <col min="515" max="515" width="4.42578125" style="4" bestFit="1" customWidth="1"/>
    <col min="516" max="516" width="13.85546875" style="4" bestFit="1" customWidth="1"/>
    <col min="517" max="517" width="11.28515625" style="4" bestFit="1" customWidth="1"/>
    <col min="518" max="518" width="14.5703125" style="4" bestFit="1" customWidth="1"/>
    <col min="519" max="519" width="4.5703125" style="4" bestFit="1" customWidth="1"/>
    <col min="520" max="520" width="22.140625" style="4" bestFit="1" customWidth="1"/>
    <col min="521" max="521" width="24.140625" style="4" bestFit="1" customWidth="1"/>
    <col min="522" max="522" width="10.7109375" style="4" bestFit="1" customWidth="1"/>
    <col min="523" max="523" width="20" style="4" bestFit="1" customWidth="1"/>
    <col min="524" max="524" width="11.85546875" style="4" bestFit="1" customWidth="1"/>
    <col min="525" max="525" width="10.42578125" style="4" bestFit="1" customWidth="1"/>
    <col min="526" max="526" width="42.28515625" style="4" bestFit="1" customWidth="1"/>
    <col min="527" max="527" width="13.5703125" style="4" bestFit="1" customWidth="1"/>
    <col min="528" max="528" width="7.7109375" style="4" bestFit="1" customWidth="1"/>
    <col min="529" max="529" width="10.7109375" style="4" bestFit="1" customWidth="1"/>
    <col min="530" max="530" width="9.28515625" style="4" bestFit="1" customWidth="1"/>
    <col min="531" max="531" width="8.7109375" style="4" bestFit="1" customWidth="1"/>
    <col min="532" max="770" width="9.140625" style="4"/>
    <col min="771" max="771" width="4.42578125" style="4" bestFit="1" customWidth="1"/>
    <col min="772" max="772" width="13.85546875" style="4" bestFit="1" customWidth="1"/>
    <col min="773" max="773" width="11.28515625" style="4" bestFit="1" customWidth="1"/>
    <col min="774" max="774" width="14.5703125" style="4" bestFit="1" customWidth="1"/>
    <col min="775" max="775" width="4.5703125" style="4" bestFit="1" customWidth="1"/>
    <col min="776" max="776" width="22.140625" style="4" bestFit="1" customWidth="1"/>
    <col min="777" max="777" width="24.140625" style="4" bestFit="1" customWidth="1"/>
    <col min="778" max="778" width="10.7109375" style="4" bestFit="1" customWidth="1"/>
    <col min="779" max="779" width="20" style="4" bestFit="1" customWidth="1"/>
    <col min="780" max="780" width="11.85546875" style="4" bestFit="1" customWidth="1"/>
    <col min="781" max="781" width="10.42578125" style="4" bestFit="1" customWidth="1"/>
    <col min="782" max="782" width="42.28515625" style="4" bestFit="1" customWidth="1"/>
    <col min="783" max="783" width="13.5703125" style="4" bestFit="1" customWidth="1"/>
    <col min="784" max="784" width="7.7109375" style="4" bestFit="1" customWidth="1"/>
    <col min="785" max="785" width="10.7109375" style="4" bestFit="1" customWidth="1"/>
    <col min="786" max="786" width="9.28515625" style="4" bestFit="1" customWidth="1"/>
    <col min="787" max="787" width="8.7109375" style="4" bestFit="1" customWidth="1"/>
    <col min="788" max="1026" width="9.140625" style="4"/>
    <col min="1027" max="1027" width="4.42578125" style="4" bestFit="1" customWidth="1"/>
    <col min="1028" max="1028" width="13.85546875" style="4" bestFit="1" customWidth="1"/>
    <col min="1029" max="1029" width="11.28515625" style="4" bestFit="1" customWidth="1"/>
    <col min="1030" max="1030" width="14.5703125" style="4" bestFit="1" customWidth="1"/>
    <col min="1031" max="1031" width="4.5703125" style="4" bestFit="1" customWidth="1"/>
    <col min="1032" max="1032" width="22.140625" style="4" bestFit="1" customWidth="1"/>
    <col min="1033" max="1033" width="24.140625" style="4" bestFit="1" customWidth="1"/>
    <col min="1034" max="1034" width="10.7109375" style="4" bestFit="1" customWidth="1"/>
    <col min="1035" max="1035" width="20" style="4" bestFit="1" customWidth="1"/>
    <col min="1036" max="1036" width="11.85546875" style="4" bestFit="1" customWidth="1"/>
    <col min="1037" max="1037" width="10.42578125" style="4" bestFit="1" customWidth="1"/>
    <col min="1038" max="1038" width="42.28515625" style="4" bestFit="1" customWidth="1"/>
    <col min="1039" max="1039" width="13.5703125" style="4" bestFit="1" customWidth="1"/>
    <col min="1040" max="1040" width="7.7109375" style="4" bestFit="1" customWidth="1"/>
    <col min="1041" max="1041" width="10.7109375" style="4" bestFit="1" customWidth="1"/>
    <col min="1042" max="1042" width="9.28515625" style="4" bestFit="1" customWidth="1"/>
    <col min="1043" max="1043" width="8.7109375" style="4" bestFit="1" customWidth="1"/>
    <col min="1044" max="1282" width="9.140625" style="4"/>
    <col min="1283" max="1283" width="4.42578125" style="4" bestFit="1" customWidth="1"/>
    <col min="1284" max="1284" width="13.85546875" style="4" bestFit="1" customWidth="1"/>
    <col min="1285" max="1285" width="11.28515625" style="4" bestFit="1" customWidth="1"/>
    <col min="1286" max="1286" width="14.5703125" style="4" bestFit="1" customWidth="1"/>
    <col min="1287" max="1287" width="4.5703125" style="4" bestFit="1" customWidth="1"/>
    <col min="1288" max="1288" width="22.140625" style="4" bestFit="1" customWidth="1"/>
    <col min="1289" max="1289" width="24.140625" style="4" bestFit="1" customWidth="1"/>
    <col min="1290" max="1290" width="10.7109375" style="4" bestFit="1" customWidth="1"/>
    <col min="1291" max="1291" width="20" style="4" bestFit="1" customWidth="1"/>
    <col min="1292" max="1292" width="11.85546875" style="4" bestFit="1" customWidth="1"/>
    <col min="1293" max="1293" width="10.42578125" style="4" bestFit="1" customWidth="1"/>
    <col min="1294" max="1294" width="42.28515625" style="4" bestFit="1" customWidth="1"/>
    <col min="1295" max="1295" width="13.5703125" style="4" bestFit="1" customWidth="1"/>
    <col min="1296" max="1296" width="7.7109375" style="4" bestFit="1" customWidth="1"/>
    <col min="1297" max="1297" width="10.7109375" style="4" bestFit="1" customWidth="1"/>
    <col min="1298" max="1298" width="9.28515625" style="4" bestFit="1" customWidth="1"/>
    <col min="1299" max="1299" width="8.7109375" style="4" bestFit="1" customWidth="1"/>
    <col min="1300" max="1538" width="9.140625" style="4"/>
    <col min="1539" max="1539" width="4.42578125" style="4" bestFit="1" customWidth="1"/>
    <col min="1540" max="1540" width="13.85546875" style="4" bestFit="1" customWidth="1"/>
    <col min="1541" max="1541" width="11.28515625" style="4" bestFit="1" customWidth="1"/>
    <col min="1542" max="1542" width="14.5703125" style="4" bestFit="1" customWidth="1"/>
    <col min="1543" max="1543" width="4.5703125" style="4" bestFit="1" customWidth="1"/>
    <col min="1544" max="1544" width="22.140625" style="4" bestFit="1" customWidth="1"/>
    <col min="1545" max="1545" width="24.140625" style="4" bestFit="1" customWidth="1"/>
    <col min="1546" max="1546" width="10.7109375" style="4" bestFit="1" customWidth="1"/>
    <col min="1547" max="1547" width="20" style="4" bestFit="1" customWidth="1"/>
    <col min="1548" max="1548" width="11.85546875" style="4" bestFit="1" customWidth="1"/>
    <col min="1549" max="1549" width="10.42578125" style="4" bestFit="1" customWidth="1"/>
    <col min="1550" max="1550" width="42.28515625" style="4" bestFit="1" customWidth="1"/>
    <col min="1551" max="1551" width="13.5703125" style="4" bestFit="1" customWidth="1"/>
    <col min="1552" max="1552" width="7.7109375" style="4" bestFit="1" customWidth="1"/>
    <col min="1553" max="1553" width="10.7109375" style="4" bestFit="1" customWidth="1"/>
    <col min="1554" max="1554" width="9.28515625" style="4" bestFit="1" customWidth="1"/>
    <col min="1555" max="1555" width="8.7109375" style="4" bestFit="1" customWidth="1"/>
    <col min="1556" max="1794" width="9.140625" style="4"/>
    <col min="1795" max="1795" width="4.42578125" style="4" bestFit="1" customWidth="1"/>
    <col min="1796" max="1796" width="13.85546875" style="4" bestFit="1" customWidth="1"/>
    <col min="1797" max="1797" width="11.28515625" style="4" bestFit="1" customWidth="1"/>
    <col min="1798" max="1798" width="14.5703125" style="4" bestFit="1" customWidth="1"/>
    <col min="1799" max="1799" width="4.5703125" style="4" bestFit="1" customWidth="1"/>
    <col min="1800" max="1800" width="22.140625" style="4" bestFit="1" customWidth="1"/>
    <col min="1801" max="1801" width="24.140625" style="4" bestFit="1" customWidth="1"/>
    <col min="1802" max="1802" width="10.7109375" style="4" bestFit="1" customWidth="1"/>
    <col min="1803" max="1803" width="20" style="4" bestFit="1" customWidth="1"/>
    <col min="1804" max="1804" width="11.85546875" style="4" bestFit="1" customWidth="1"/>
    <col min="1805" max="1805" width="10.42578125" style="4" bestFit="1" customWidth="1"/>
    <col min="1806" max="1806" width="42.28515625" style="4" bestFit="1" customWidth="1"/>
    <col min="1807" max="1807" width="13.5703125" style="4" bestFit="1" customWidth="1"/>
    <col min="1808" max="1808" width="7.7109375" style="4" bestFit="1" customWidth="1"/>
    <col min="1809" max="1809" width="10.7109375" style="4" bestFit="1" customWidth="1"/>
    <col min="1810" max="1810" width="9.28515625" style="4" bestFit="1" customWidth="1"/>
    <col min="1811" max="1811" width="8.7109375" style="4" bestFit="1" customWidth="1"/>
    <col min="1812" max="2050" width="9.140625" style="4"/>
    <col min="2051" max="2051" width="4.42578125" style="4" bestFit="1" customWidth="1"/>
    <col min="2052" max="2052" width="13.85546875" style="4" bestFit="1" customWidth="1"/>
    <col min="2053" max="2053" width="11.28515625" style="4" bestFit="1" customWidth="1"/>
    <col min="2054" max="2054" width="14.5703125" style="4" bestFit="1" customWidth="1"/>
    <col min="2055" max="2055" width="4.5703125" style="4" bestFit="1" customWidth="1"/>
    <col min="2056" max="2056" width="22.140625" style="4" bestFit="1" customWidth="1"/>
    <col min="2057" max="2057" width="24.140625" style="4" bestFit="1" customWidth="1"/>
    <col min="2058" max="2058" width="10.7109375" style="4" bestFit="1" customWidth="1"/>
    <col min="2059" max="2059" width="20" style="4" bestFit="1" customWidth="1"/>
    <col min="2060" max="2060" width="11.85546875" style="4" bestFit="1" customWidth="1"/>
    <col min="2061" max="2061" width="10.42578125" style="4" bestFit="1" customWidth="1"/>
    <col min="2062" max="2062" width="42.28515625" style="4" bestFit="1" customWidth="1"/>
    <col min="2063" max="2063" width="13.5703125" style="4" bestFit="1" customWidth="1"/>
    <col min="2064" max="2064" width="7.7109375" style="4" bestFit="1" customWidth="1"/>
    <col min="2065" max="2065" width="10.7109375" style="4" bestFit="1" customWidth="1"/>
    <col min="2066" max="2066" width="9.28515625" style="4" bestFit="1" customWidth="1"/>
    <col min="2067" max="2067" width="8.7109375" style="4" bestFit="1" customWidth="1"/>
    <col min="2068" max="2306" width="9.140625" style="4"/>
    <col min="2307" max="2307" width="4.42578125" style="4" bestFit="1" customWidth="1"/>
    <col min="2308" max="2308" width="13.85546875" style="4" bestFit="1" customWidth="1"/>
    <col min="2309" max="2309" width="11.28515625" style="4" bestFit="1" customWidth="1"/>
    <col min="2310" max="2310" width="14.5703125" style="4" bestFit="1" customWidth="1"/>
    <col min="2311" max="2311" width="4.5703125" style="4" bestFit="1" customWidth="1"/>
    <col min="2312" max="2312" width="22.140625" style="4" bestFit="1" customWidth="1"/>
    <col min="2313" max="2313" width="24.140625" style="4" bestFit="1" customWidth="1"/>
    <col min="2314" max="2314" width="10.7109375" style="4" bestFit="1" customWidth="1"/>
    <col min="2315" max="2315" width="20" style="4" bestFit="1" customWidth="1"/>
    <col min="2316" max="2316" width="11.85546875" style="4" bestFit="1" customWidth="1"/>
    <col min="2317" max="2317" width="10.42578125" style="4" bestFit="1" customWidth="1"/>
    <col min="2318" max="2318" width="42.28515625" style="4" bestFit="1" customWidth="1"/>
    <col min="2319" max="2319" width="13.5703125" style="4" bestFit="1" customWidth="1"/>
    <col min="2320" max="2320" width="7.7109375" style="4" bestFit="1" customWidth="1"/>
    <col min="2321" max="2321" width="10.7109375" style="4" bestFit="1" customWidth="1"/>
    <col min="2322" max="2322" width="9.28515625" style="4" bestFit="1" customWidth="1"/>
    <col min="2323" max="2323" width="8.7109375" style="4" bestFit="1" customWidth="1"/>
    <col min="2324" max="2562" width="9.140625" style="4"/>
    <col min="2563" max="2563" width="4.42578125" style="4" bestFit="1" customWidth="1"/>
    <col min="2564" max="2564" width="13.85546875" style="4" bestFit="1" customWidth="1"/>
    <col min="2565" max="2565" width="11.28515625" style="4" bestFit="1" customWidth="1"/>
    <col min="2566" max="2566" width="14.5703125" style="4" bestFit="1" customWidth="1"/>
    <col min="2567" max="2567" width="4.5703125" style="4" bestFit="1" customWidth="1"/>
    <col min="2568" max="2568" width="22.140625" style="4" bestFit="1" customWidth="1"/>
    <col min="2569" max="2569" width="24.140625" style="4" bestFit="1" customWidth="1"/>
    <col min="2570" max="2570" width="10.7109375" style="4" bestFit="1" customWidth="1"/>
    <col min="2571" max="2571" width="20" style="4" bestFit="1" customWidth="1"/>
    <col min="2572" max="2572" width="11.85546875" style="4" bestFit="1" customWidth="1"/>
    <col min="2573" max="2573" width="10.42578125" style="4" bestFit="1" customWidth="1"/>
    <col min="2574" max="2574" width="42.28515625" style="4" bestFit="1" customWidth="1"/>
    <col min="2575" max="2575" width="13.5703125" style="4" bestFit="1" customWidth="1"/>
    <col min="2576" max="2576" width="7.7109375" style="4" bestFit="1" customWidth="1"/>
    <col min="2577" max="2577" width="10.7109375" style="4" bestFit="1" customWidth="1"/>
    <col min="2578" max="2578" width="9.28515625" style="4" bestFit="1" customWidth="1"/>
    <col min="2579" max="2579" width="8.7109375" style="4" bestFit="1" customWidth="1"/>
    <col min="2580" max="2818" width="9.140625" style="4"/>
    <col min="2819" max="2819" width="4.42578125" style="4" bestFit="1" customWidth="1"/>
    <col min="2820" max="2820" width="13.85546875" style="4" bestFit="1" customWidth="1"/>
    <col min="2821" max="2821" width="11.28515625" style="4" bestFit="1" customWidth="1"/>
    <col min="2822" max="2822" width="14.5703125" style="4" bestFit="1" customWidth="1"/>
    <col min="2823" max="2823" width="4.5703125" style="4" bestFit="1" customWidth="1"/>
    <col min="2824" max="2824" width="22.140625" style="4" bestFit="1" customWidth="1"/>
    <col min="2825" max="2825" width="24.140625" style="4" bestFit="1" customWidth="1"/>
    <col min="2826" max="2826" width="10.7109375" style="4" bestFit="1" customWidth="1"/>
    <col min="2827" max="2827" width="20" style="4" bestFit="1" customWidth="1"/>
    <col min="2828" max="2828" width="11.85546875" style="4" bestFit="1" customWidth="1"/>
    <col min="2829" max="2829" width="10.42578125" style="4" bestFit="1" customWidth="1"/>
    <col min="2830" max="2830" width="42.28515625" style="4" bestFit="1" customWidth="1"/>
    <col min="2831" max="2831" width="13.5703125" style="4" bestFit="1" customWidth="1"/>
    <col min="2832" max="2832" width="7.7109375" style="4" bestFit="1" customWidth="1"/>
    <col min="2833" max="2833" width="10.7109375" style="4" bestFit="1" customWidth="1"/>
    <col min="2834" max="2834" width="9.28515625" style="4" bestFit="1" customWidth="1"/>
    <col min="2835" max="2835" width="8.7109375" style="4" bestFit="1" customWidth="1"/>
    <col min="2836" max="3074" width="9.140625" style="4"/>
    <col min="3075" max="3075" width="4.42578125" style="4" bestFit="1" customWidth="1"/>
    <col min="3076" max="3076" width="13.85546875" style="4" bestFit="1" customWidth="1"/>
    <col min="3077" max="3077" width="11.28515625" style="4" bestFit="1" customWidth="1"/>
    <col min="3078" max="3078" width="14.5703125" style="4" bestFit="1" customWidth="1"/>
    <col min="3079" max="3079" width="4.5703125" style="4" bestFit="1" customWidth="1"/>
    <col min="3080" max="3080" width="22.140625" style="4" bestFit="1" customWidth="1"/>
    <col min="3081" max="3081" width="24.140625" style="4" bestFit="1" customWidth="1"/>
    <col min="3082" max="3082" width="10.7109375" style="4" bestFit="1" customWidth="1"/>
    <col min="3083" max="3083" width="20" style="4" bestFit="1" customWidth="1"/>
    <col min="3084" max="3084" width="11.85546875" style="4" bestFit="1" customWidth="1"/>
    <col min="3085" max="3085" width="10.42578125" style="4" bestFit="1" customWidth="1"/>
    <col min="3086" max="3086" width="42.28515625" style="4" bestFit="1" customWidth="1"/>
    <col min="3087" max="3087" width="13.5703125" style="4" bestFit="1" customWidth="1"/>
    <col min="3088" max="3088" width="7.7109375" style="4" bestFit="1" customWidth="1"/>
    <col min="3089" max="3089" width="10.7109375" style="4" bestFit="1" customWidth="1"/>
    <col min="3090" max="3090" width="9.28515625" style="4" bestFit="1" customWidth="1"/>
    <col min="3091" max="3091" width="8.7109375" style="4" bestFit="1" customWidth="1"/>
    <col min="3092" max="3330" width="9.140625" style="4"/>
    <col min="3331" max="3331" width="4.42578125" style="4" bestFit="1" customWidth="1"/>
    <col min="3332" max="3332" width="13.85546875" style="4" bestFit="1" customWidth="1"/>
    <col min="3333" max="3333" width="11.28515625" style="4" bestFit="1" customWidth="1"/>
    <col min="3334" max="3334" width="14.5703125" style="4" bestFit="1" customWidth="1"/>
    <col min="3335" max="3335" width="4.5703125" style="4" bestFit="1" customWidth="1"/>
    <col min="3336" max="3336" width="22.140625" style="4" bestFit="1" customWidth="1"/>
    <col min="3337" max="3337" width="24.140625" style="4" bestFit="1" customWidth="1"/>
    <col min="3338" max="3338" width="10.7109375" style="4" bestFit="1" customWidth="1"/>
    <col min="3339" max="3339" width="20" style="4" bestFit="1" customWidth="1"/>
    <col min="3340" max="3340" width="11.85546875" style="4" bestFit="1" customWidth="1"/>
    <col min="3341" max="3341" width="10.42578125" style="4" bestFit="1" customWidth="1"/>
    <col min="3342" max="3342" width="42.28515625" style="4" bestFit="1" customWidth="1"/>
    <col min="3343" max="3343" width="13.5703125" style="4" bestFit="1" customWidth="1"/>
    <col min="3344" max="3344" width="7.7109375" style="4" bestFit="1" customWidth="1"/>
    <col min="3345" max="3345" width="10.7109375" style="4" bestFit="1" customWidth="1"/>
    <col min="3346" max="3346" width="9.28515625" style="4" bestFit="1" customWidth="1"/>
    <col min="3347" max="3347" width="8.7109375" style="4" bestFit="1" customWidth="1"/>
    <col min="3348" max="3586" width="9.140625" style="4"/>
    <col min="3587" max="3587" width="4.42578125" style="4" bestFit="1" customWidth="1"/>
    <col min="3588" max="3588" width="13.85546875" style="4" bestFit="1" customWidth="1"/>
    <col min="3589" max="3589" width="11.28515625" style="4" bestFit="1" customWidth="1"/>
    <col min="3590" max="3590" width="14.5703125" style="4" bestFit="1" customWidth="1"/>
    <col min="3591" max="3591" width="4.5703125" style="4" bestFit="1" customWidth="1"/>
    <col min="3592" max="3592" width="22.140625" style="4" bestFit="1" customWidth="1"/>
    <col min="3593" max="3593" width="24.140625" style="4" bestFit="1" customWidth="1"/>
    <col min="3594" max="3594" width="10.7109375" style="4" bestFit="1" customWidth="1"/>
    <col min="3595" max="3595" width="20" style="4" bestFit="1" customWidth="1"/>
    <col min="3596" max="3596" width="11.85546875" style="4" bestFit="1" customWidth="1"/>
    <col min="3597" max="3597" width="10.42578125" style="4" bestFit="1" customWidth="1"/>
    <col min="3598" max="3598" width="42.28515625" style="4" bestFit="1" customWidth="1"/>
    <col min="3599" max="3599" width="13.5703125" style="4" bestFit="1" customWidth="1"/>
    <col min="3600" max="3600" width="7.7109375" style="4" bestFit="1" customWidth="1"/>
    <col min="3601" max="3601" width="10.7109375" style="4" bestFit="1" customWidth="1"/>
    <col min="3602" max="3602" width="9.28515625" style="4" bestFit="1" customWidth="1"/>
    <col min="3603" max="3603" width="8.7109375" style="4" bestFit="1" customWidth="1"/>
    <col min="3604" max="3842" width="9.140625" style="4"/>
    <col min="3843" max="3843" width="4.42578125" style="4" bestFit="1" customWidth="1"/>
    <col min="3844" max="3844" width="13.85546875" style="4" bestFit="1" customWidth="1"/>
    <col min="3845" max="3845" width="11.28515625" style="4" bestFit="1" customWidth="1"/>
    <col min="3846" max="3846" width="14.5703125" style="4" bestFit="1" customWidth="1"/>
    <col min="3847" max="3847" width="4.5703125" style="4" bestFit="1" customWidth="1"/>
    <col min="3848" max="3848" width="22.140625" style="4" bestFit="1" customWidth="1"/>
    <col min="3849" max="3849" width="24.140625" style="4" bestFit="1" customWidth="1"/>
    <col min="3850" max="3850" width="10.7109375" style="4" bestFit="1" customWidth="1"/>
    <col min="3851" max="3851" width="20" style="4" bestFit="1" customWidth="1"/>
    <col min="3852" max="3852" width="11.85546875" style="4" bestFit="1" customWidth="1"/>
    <col min="3853" max="3853" width="10.42578125" style="4" bestFit="1" customWidth="1"/>
    <col min="3854" max="3854" width="42.28515625" style="4" bestFit="1" customWidth="1"/>
    <col min="3855" max="3855" width="13.5703125" style="4" bestFit="1" customWidth="1"/>
    <col min="3856" max="3856" width="7.7109375" style="4" bestFit="1" customWidth="1"/>
    <col min="3857" max="3857" width="10.7109375" style="4" bestFit="1" customWidth="1"/>
    <col min="3858" max="3858" width="9.28515625" style="4" bestFit="1" customWidth="1"/>
    <col min="3859" max="3859" width="8.7109375" style="4" bestFit="1" customWidth="1"/>
    <col min="3860" max="4098" width="9.140625" style="4"/>
    <col min="4099" max="4099" width="4.42578125" style="4" bestFit="1" customWidth="1"/>
    <col min="4100" max="4100" width="13.85546875" style="4" bestFit="1" customWidth="1"/>
    <col min="4101" max="4101" width="11.28515625" style="4" bestFit="1" customWidth="1"/>
    <col min="4102" max="4102" width="14.5703125" style="4" bestFit="1" customWidth="1"/>
    <col min="4103" max="4103" width="4.5703125" style="4" bestFit="1" customWidth="1"/>
    <col min="4104" max="4104" width="22.140625" style="4" bestFit="1" customWidth="1"/>
    <col min="4105" max="4105" width="24.140625" style="4" bestFit="1" customWidth="1"/>
    <col min="4106" max="4106" width="10.7109375" style="4" bestFit="1" customWidth="1"/>
    <col min="4107" max="4107" width="20" style="4" bestFit="1" customWidth="1"/>
    <col min="4108" max="4108" width="11.85546875" style="4" bestFit="1" customWidth="1"/>
    <col min="4109" max="4109" width="10.42578125" style="4" bestFit="1" customWidth="1"/>
    <col min="4110" max="4110" width="42.28515625" style="4" bestFit="1" customWidth="1"/>
    <col min="4111" max="4111" width="13.5703125" style="4" bestFit="1" customWidth="1"/>
    <col min="4112" max="4112" width="7.7109375" style="4" bestFit="1" customWidth="1"/>
    <col min="4113" max="4113" width="10.7109375" style="4" bestFit="1" customWidth="1"/>
    <col min="4114" max="4114" width="9.28515625" style="4" bestFit="1" customWidth="1"/>
    <col min="4115" max="4115" width="8.7109375" style="4" bestFit="1" customWidth="1"/>
    <col min="4116" max="4354" width="9.140625" style="4"/>
    <col min="4355" max="4355" width="4.42578125" style="4" bestFit="1" customWidth="1"/>
    <col min="4356" max="4356" width="13.85546875" style="4" bestFit="1" customWidth="1"/>
    <col min="4357" max="4357" width="11.28515625" style="4" bestFit="1" customWidth="1"/>
    <col min="4358" max="4358" width="14.5703125" style="4" bestFit="1" customWidth="1"/>
    <col min="4359" max="4359" width="4.5703125" style="4" bestFit="1" customWidth="1"/>
    <col min="4360" max="4360" width="22.140625" style="4" bestFit="1" customWidth="1"/>
    <col min="4361" max="4361" width="24.140625" style="4" bestFit="1" customWidth="1"/>
    <col min="4362" max="4362" width="10.7109375" style="4" bestFit="1" customWidth="1"/>
    <col min="4363" max="4363" width="20" style="4" bestFit="1" customWidth="1"/>
    <col min="4364" max="4364" width="11.85546875" style="4" bestFit="1" customWidth="1"/>
    <col min="4365" max="4365" width="10.42578125" style="4" bestFit="1" customWidth="1"/>
    <col min="4366" max="4366" width="42.28515625" style="4" bestFit="1" customWidth="1"/>
    <col min="4367" max="4367" width="13.5703125" style="4" bestFit="1" customWidth="1"/>
    <col min="4368" max="4368" width="7.7109375" style="4" bestFit="1" customWidth="1"/>
    <col min="4369" max="4369" width="10.7109375" style="4" bestFit="1" customWidth="1"/>
    <col min="4370" max="4370" width="9.28515625" style="4" bestFit="1" customWidth="1"/>
    <col min="4371" max="4371" width="8.7109375" style="4" bestFit="1" customWidth="1"/>
    <col min="4372" max="4610" width="9.140625" style="4"/>
    <col min="4611" max="4611" width="4.42578125" style="4" bestFit="1" customWidth="1"/>
    <col min="4612" max="4612" width="13.85546875" style="4" bestFit="1" customWidth="1"/>
    <col min="4613" max="4613" width="11.28515625" style="4" bestFit="1" customWidth="1"/>
    <col min="4614" max="4614" width="14.5703125" style="4" bestFit="1" customWidth="1"/>
    <col min="4615" max="4615" width="4.5703125" style="4" bestFit="1" customWidth="1"/>
    <col min="4616" max="4616" width="22.140625" style="4" bestFit="1" customWidth="1"/>
    <col min="4617" max="4617" width="24.140625" style="4" bestFit="1" customWidth="1"/>
    <col min="4618" max="4618" width="10.7109375" style="4" bestFit="1" customWidth="1"/>
    <col min="4619" max="4619" width="20" style="4" bestFit="1" customWidth="1"/>
    <col min="4620" max="4620" width="11.85546875" style="4" bestFit="1" customWidth="1"/>
    <col min="4621" max="4621" width="10.42578125" style="4" bestFit="1" customWidth="1"/>
    <col min="4622" max="4622" width="42.28515625" style="4" bestFit="1" customWidth="1"/>
    <col min="4623" max="4623" width="13.5703125" style="4" bestFit="1" customWidth="1"/>
    <col min="4624" max="4624" width="7.7109375" style="4" bestFit="1" customWidth="1"/>
    <col min="4625" max="4625" width="10.7109375" style="4" bestFit="1" customWidth="1"/>
    <col min="4626" max="4626" width="9.28515625" style="4" bestFit="1" customWidth="1"/>
    <col min="4627" max="4627" width="8.7109375" style="4" bestFit="1" customWidth="1"/>
    <col min="4628" max="4866" width="9.140625" style="4"/>
    <col min="4867" max="4867" width="4.42578125" style="4" bestFit="1" customWidth="1"/>
    <col min="4868" max="4868" width="13.85546875" style="4" bestFit="1" customWidth="1"/>
    <col min="4869" max="4869" width="11.28515625" style="4" bestFit="1" customWidth="1"/>
    <col min="4870" max="4870" width="14.5703125" style="4" bestFit="1" customWidth="1"/>
    <col min="4871" max="4871" width="4.5703125" style="4" bestFit="1" customWidth="1"/>
    <col min="4872" max="4872" width="22.140625" style="4" bestFit="1" customWidth="1"/>
    <col min="4873" max="4873" width="24.140625" style="4" bestFit="1" customWidth="1"/>
    <col min="4874" max="4874" width="10.7109375" style="4" bestFit="1" customWidth="1"/>
    <col min="4875" max="4875" width="20" style="4" bestFit="1" customWidth="1"/>
    <col min="4876" max="4876" width="11.85546875" style="4" bestFit="1" customWidth="1"/>
    <col min="4877" max="4877" width="10.42578125" style="4" bestFit="1" customWidth="1"/>
    <col min="4878" max="4878" width="42.28515625" style="4" bestFit="1" customWidth="1"/>
    <col min="4879" max="4879" width="13.5703125" style="4" bestFit="1" customWidth="1"/>
    <col min="4880" max="4880" width="7.7109375" style="4" bestFit="1" customWidth="1"/>
    <col min="4881" max="4881" width="10.7109375" style="4" bestFit="1" customWidth="1"/>
    <col min="4882" max="4882" width="9.28515625" style="4" bestFit="1" customWidth="1"/>
    <col min="4883" max="4883" width="8.7109375" style="4" bestFit="1" customWidth="1"/>
    <col min="4884" max="5122" width="9.140625" style="4"/>
    <col min="5123" max="5123" width="4.42578125" style="4" bestFit="1" customWidth="1"/>
    <col min="5124" max="5124" width="13.85546875" style="4" bestFit="1" customWidth="1"/>
    <col min="5125" max="5125" width="11.28515625" style="4" bestFit="1" customWidth="1"/>
    <col min="5126" max="5126" width="14.5703125" style="4" bestFit="1" customWidth="1"/>
    <col min="5127" max="5127" width="4.5703125" style="4" bestFit="1" customWidth="1"/>
    <col min="5128" max="5128" width="22.140625" style="4" bestFit="1" customWidth="1"/>
    <col min="5129" max="5129" width="24.140625" style="4" bestFit="1" customWidth="1"/>
    <col min="5130" max="5130" width="10.7109375" style="4" bestFit="1" customWidth="1"/>
    <col min="5131" max="5131" width="20" style="4" bestFit="1" customWidth="1"/>
    <col min="5132" max="5132" width="11.85546875" style="4" bestFit="1" customWidth="1"/>
    <col min="5133" max="5133" width="10.42578125" style="4" bestFit="1" customWidth="1"/>
    <col min="5134" max="5134" width="42.28515625" style="4" bestFit="1" customWidth="1"/>
    <col min="5135" max="5135" width="13.5703125" style="4" bestFit="1" customWidth="1"/>
    <col min="5136" max="5136" width="7.7109375" style="4" bestFit="1" customWidth="1"/>
    <col min="5137" max="5137" width="10.7109375" style="4" bestFit="1" customWidth="1"/>
    <col min="5138" max="5138" width="9.28515625" style="4" bestFit="1" customWidth="1"/>
    <col min="5139" max="5139" width="8.7109375" style="4" bestFit="1" customWidth="1"/>
    <col min="5140" max="5378" width="9.140625" style="4"/>
    <col min="5379" max="5379" width="4.42578125" style="4" bestFit="1" customWidth="1"/>
    <col min="5380" max="5380" width="13.85546875" style="4" bestFit="1" customWidth="1"/>
    <col min="5381" max="5381" width="11.28515625" style="4" bestFit="1" customWidth="1"/>
    <col min="5382" max="5382" width="14.5703125" style="4" bestFit="1" customWidth="1"/>
    <col min="5383" max="5383" width="4.5703125" style="4" bestFit="1" customWidth="1"/>
    <col min="5384" max="5384" width="22.140625" style="4" bestFit="1" customWidth="1"/>
    <col min="5385" max="5385" width="24.140625" style="4" bestFit="1" customWidth="1"/>
    <col min="5386" max="5386" width="10.7109375" style="4" bestFit="1" customWidth="1"/>
    <col min="5387" max="5387" width="20" style="4" bestFit="1" customWidth="1"/>
    <col min="5388" max="5388" width="11.85546875" style="4" bestFit="1" customWidth="1"/>
    <col min="5389" max="5389" width="10.42578125" style="4" bestFit="1" customWidth="1"/>
    <col min="5390" max="5390" width="42.28515625" style="4" bestFit="1" customWidth="1"/>
    <col min="5391" max="5391" width="13.5703125" style="4" bestFit="1" customWidth="1"/>
    <col min="5392" max="5392" width="7.7109375" style="4" bestFit="1" customWidth="1"/>
    <col min="5393" max="5393" width="10.7109375" style="4" bestFit="1" customWidth="1"/>
    <col min="5394" max="5394" width="9.28515625" style="4" bestFit="1" customWidth="1"/>
    <col min="5395" max="5395" width="8.7109375" style="4" bestFit="1" customWidth="1"/>
    <col min="5396" max="5634" width="9.140625" style="4"/>
    <col min="5635" max="5635" width="4.42578125" style="4" bestFit="1" customWidth="1"/>
    <col min="5636" max="5636" width="13.85546875" style="4" bestFit="1" customWidth="1"/>
    <col min="5637" max="5637" width="11.28515625" style="4" bestFit="1" customWidth="1"/>
    <col min="5638" max="5638" width="14.5703125" style="4" bestFit="1" customWidth="1"/>
    <col min="5639" max="5639" width="4.5703125" style="4" bestFit="1" customWidth="1"/>
    <col min="5640" max="5640" width="22.140625" style="4" bestFit="1" customWidth="1"/>
    <col min="5641" max="5641" width="24.140625" style="4" bestFit="1" customWidth="1"/>
    <col min="5642" max="5642" width="10.7109375" style="4" bestFit="1" customWidth="1"/>
    <col min="5643" max="5643" width="20" style="4" bestFit="1" customWidth="1"/>
    <col min="5644" max="5644" width="11.85546875" style="4" bestFit="1" customWidth="1"/>
    <col min="5645" max="5645" width="10.42578125" style="4" bestFit="1" customWidth="1"/>
    <col min="5646" max="5646" width="42.28515625" style="4" bestFit="1" customWidth="1"/>
    <col min="5647" max="5647" width="13.5703125" style="4" bestFit="1" customWidth="1"/>
    <col min="5648" max="5648" width="7.7109375" style="4" bestFit="1" customWidth="1"/>
    <col min="5649" max="5649" width="10.7109375" style="4" bestFit="1" customWidth="1"/>
    <col min="5650" max="5650" width="9.28515625" style="4" bestFit="1" customWidth="1"/>
    <col min="5651" max="5651" width="8.7109375" style="4" bestFit="1" customWidth="1"/>
    <col min="5652" max="5890" width="9.140625" style="4"/>
    <col min="5891" max="5891" width="4.42578125" style="4" bestFit="1" customWidth="1"/>
    <col min="5892" max="5892" width="13.85546875" style="4" bestFit="1" customWidth="1"/>
    <col min="5893" max="5893" width="11.28515625" style="4" bestFit="1" customWidth="1"/>
    <col min="5894" max="5894" width="14.5703125" style="4" bestFit="1" customWidth="1"/>
    <col min="5895" max="5895" width="4.5703125" style="4" bestFit="1" customWidth="1"/>
    <col min="5896" max="5896" width="22.140625" style="4" bestFit="1" customWidth="1"/>
    <col min="5897" max="5897" width="24.140625" style="4" bestFit="1" customWidth="1"/>
    <col min="5898" max="5898" width="10.7109375" style="4" bestFit="1" customWidth="1"/>
    <col min="5899" max="5899" width="20" style="4" bestFit="1" customWidth="1"/>
    <col min="5900" max="5900" width="11.85546875" style="4" bestFit="1" customWidth="1"/>
    <col min="5901" max="5901" width="10.42578125" style="4" bestFit="1" customWidth="1"/>
    <col min="5902" max="5902" width="42.28515625" style="4" bestFit="1" customWidth="1"/>
    <col min="5903" max="5903" width="13.5703125" style="4" bestFit="1" customWidth="1"/>
    <col min="5904" max="5904" width="7.7109375" style="4" bestFit="1" customWidth="1"/>
    <col min="5905" max="5905" width="10.7109375" style="4" bestFit="1" customWidth="1"/>
    <col min="5906" max="5906" width="9.28515625" style="4" bestFit="1" customWidth="1"/>
    <col min="5907" max="5907" width="8.7109375" style="4" bestFit="1" customWidth="1"/>
    <col min="5908" max="6146" width="9.140625" style="4"/>
    <col min="6147" max="6147" width="4.42578125" style="4" bestFit="1" customWidth="1"/>
    <col min="6148" max="6148" width="13.85546875" style="4" bestFit="1" customWidth="1"/>
    <col min="6149" max="6149" width="11.28515625" style="4" bestFit="1" customWidth="1"/>
    <col min="6150" max="6150" width="14.5703125" style="4" bestFit="1" customWidth="1"/>
    <col min="6151" max="6151" width="4.5703125" style="4" bestFit="1" customWidth="1"/>
    <col min="6152" max="6152" width="22.140625" style="4" bestFit="1" customWidth="1"/>
    <col min="6153" max="6153" width="24.140625" style="4" bestFit="1" customWidth="1"/>
    <col min="6154" max="6154" width="10.7109375" style="4" bestFit="1" customWidth="1"/>
    <col min="6155" max="6155" width="20" style="4" bestFit="1" customWidth="1"/>
    <col min="6156" max="6156" width="11.85546875" style="4" bestFit="1" customWidth="1"/>
    <col min="6157" max="6157" width="10.42578125" style="4" bestFit="1" customWidth="1"/>
    <col min="6158" max="6158" width="42.28515625" style="4" bestFit="1" customWidth="1"/>
    <col min="6159" max="6159" width="13.5703125" style="4" bestFit="1" customWidth="1"/>
    <col min="6160" max="6160" width="7.7109375" style="4" bestFit="1" customWidth="1"/>
    <col min="6161" max="6161" width="10.7109375" style="4" bestFit="1" customWidth="1"/>
    <col min="6162" max="6162" width="9.28515625" style="4" bestFit="1" customWidth="1"/>
    <col min="6163" max="6163" width="8.7109375" style="4" bestFit="1" customWidth="1"/>
    <col min="6164" max="6402" width="9.140625" style="4"/>
    <col min="6403" max="6403" width="4.42578125" style="4" bestFit="1" customWidth="1"/>
    <col min="6404" max="6404" width="13.85546875" style="4" bestFit="1" customWidth="1"/>
    <col min="6405" max="6405" width="11.28515625" style="4" bestFit="1" customWidth="1"/>
    <col min="6406" max="6406" width="14.5703125" style="4" bestFit="1" customWidth="1"/>
    <col min="6407" max="6407" width="4.5703125" style="4" bestFit="1" customWidth="1"/>
    <col min="6408" max="6408" width="22.140625" style="4" bestFit="1" customWidth="1"/>
    <col min="6409" max="6409" width="24.140625" style="4" bestFit="1" customWidth="1"/>
    <col min="6410" max="6410" width="10.7109375" style="4" bestFit="1" customWidth="1"/>
    <col min="6411" max="6411" width="20" style="4" bestFit="1" customWidth="1"/>
    <col min="6412" max="6412" width="11.85546875" style="4" bestFit="1" customWidth="1"/>
    <col min="6413" max="6413" width="10.42578125" style="4" bestFit="1" customWidth="1"/>
    <col min="6414" max="6414" width="42.28515625" style="4" bestFit="1" customWidth="1"/>
    <col min="6415" max="6415" width="13.5703125" style="4" bestFit="1" customWidth="1"/>
    <col min="6416" max="6416" width="7.7109375" style="4" bestFit="1" customWidth="1"/>
    <col min="6417" max="6417" width="10.7109375" style="4" bestFit="1" customWidth="1"/>
    <col min="6418" max="6418" width="9.28515625" style="4" bestFit="1" customWidth="1"/>
    <col min="6419" max="6419" width="8.7109375" style="4" bestFit="1" customWidth="1"/>
    <col min="6420" max="6658" width="9.140625" style="4"/>
    <col min="6659" max="6659" width="4.42578125" style="4" bestFit="1" customWidth="1"/>
    <col min="6660" max="6660" width="13.85546875" style="4" bestFit="1" customWidth="1"/>
    <col min="6661" max="6661" width="11.28515625" style="4" bestFit="1" customWidth="1"/>
    <col min="6662" max="6662" width="14.5703125" style="4" bestFit="1" customWidth="1"/>
    <col min="6663" max="6663" width="4.5703125" style="4" bestFit="1" customWidth="1"/>
    <col min="6664" max="6664" width="22.140625" style="4" bestFit="1" customWidth="1"/>
    <col min="6665" max="6665" width="24.140625" style="4" bestFit="1" customWidth="1"/>
    <col min="6666" max="6666" width="10.7109375" style="4" bestFit="1" customWidth="1"/>
    <col min="6667" max="6667" width="20" style="4" bestFit="1" customWidth="1"/>
    <col min="6668" max="6668" width="11.85546875" style="4" bestFit="1" customWidth="1"/>
    <col min="6669" max="6669" width="10.42578125" style="4" bestFit="1" customWidth="1"/>
    <col min="6670" max="6670" width="42.28515625" style="4" bestFit="1" customWidth="1"/>
    <col min="6671" max="6671" width="13.5703125" style="4" bestFit="1" customWidth="1"/>
    <col min="6672" max="6672" width="7.7109375" style="4" bestFit="1" customWidth="1"/>
    <col min="6673" max="6673" width="10.7109375" style="4" bestFit="1" customWidth="1"/>
    <col min="6674" max="6674" width="9.28515625" style="4" bestFit="1" customWidth="1"/>
    <col min="6675" max="6675" width="8.7109375" style="4" bestFit="1" customWidth="1"/>
    <col min="6676" max="6914" width="9.140625" style="4"/>
    <col min="6915" max="6915" width="4.42578125" style="4" bestFit="1" customWidth="1"/>
    <col min="6916" max="6916" width="13.85546875" style="4" bestFit="1" customWidth="1"/>
    <col min="6917" max="6917" width="11.28515625" style="4" bestFit="1" customWidth="1"/>
    <col min="6918" max="6918" width="14.5703125" style="4" bestFit="1" customWidth="1"/>
    <col min="6919" max="6919" width="4.5703125" style="4" bestFit="1" customWidth="1"/>
    <col min="6920" max="6920" width="22.140625" style="4" bestFit="1" customWidth="1"/>
    <col min="6921" max="6921" width="24.140625" style="4" bestFit="1" customWidth="1"/>
    <col min="6922" max="6922" width="10.7109375" style="4" bestFit="1" customWidth="1"/>
    <col min="6923" max="6923" width="20" style="4" bestFit="1" customWidth="1"/>
    <col min="6924" max="6924" width="11.85546875" style="4" bestFit="1" customWidth="1"/>
    <col min="6925" max="6925" width="10.42578125" style="4" bestFit="1" customWidth="1"/>
    <col min="6926" max="6926" width="42.28515625" style="4" bestFit="1" customWidth="1"/>
    <col min="6927" max="6927" width="13.5703125" style="4" bestFit="1" customWidth="1"/>
    <col min="6928" max="6928" width="7.7109375" style="4" bestFit="1" customWidth="1"/>
    <col min="6929" max="6929" width="10.7109375" style="4" bestFit="1" customWidth="1"/>
    <col min="6930" max="6930" width="9.28515625" style="4" bestFit="1" customWidth="1"/>
    <col min="6931" max="6931" width="8.7109375" style="4" bestFit="1" customWidth="1"/>
    <col min="6932" max="7170" width="9.140625" style="4"/>
    <col min="7171" max="7171" width="4.42578125" style="4" bestFit="1" customWidth="1"/>
    <col min="7172" max="7172" width="13.85546875" style="4" bestFit="1" customWidth="1"/>
    <col min="7173" max="7173" width="11.28515625" style="4" bestFit="1" customWidth="1"/>
    <col min="7174" max="7174" width="14.5703125" style="4" bestFit="1" customWidth="1"/>
    <col min="7175" max="7175" width="4.5703125" style="4" bestFit="1" customWidth="1"/>
    <col min="7176" max="7176" width="22.140625" style="4" bestFit="1" customWidth="1"/>
    <col min="7177" max="7177" width="24.140625" style="4" bestFit="1" customWidth="1"/>
    <col min="7178" max="7178" width="10.7109375" style="4" bestFit="1" customWidth="1"/>
    <col min="7179" max="7179" width="20" style="4" bestFit="1" customWidth="1"/>
    <col min="7180" max="7180" width="11.85546875" style="4" bestFit="1" customWidth="1"/>
    <col min="7181" max="7181" width="10.42578125" style="4" bestFit="1" customWidth="1"/>
    <col min="7182" max="7182" width="42.28515625" style="4" bestFit="1" customWidth="1"/>
    <col min="7183" max="7183" width="13.5703125" style="4" bestFit="1" customWidth="1"/>
    <col min="7184" max="7184" width="7.7109375" style="4" bestFit="1" customWidth="1"/>
    <col min="7185" max="7185" width="10.7109375" style="4" bestFit="1" customWidth="1"/>
    <col min="7186" max="7186" width="9.28515625" style="4" bestFit="1" customWidth="1"/>
    <col min="7187" max="7187" width="8.7109375" style="4" bestFit="1" customWidth="1"/>
    <col min="7188" max="7426" width="9.140625" style="4"/>
    <col min="7427" max="7427" width="4.42578125" style="4" bestFit="1" customWidth="1"/>
    <col min="7428" max="7428" width="13.85546875" style="4" bestFit="1" customWidth="1"/>
    <col min="7429" max="7429" width="11.28515625" style="4" bestFit="1" customWidth="1"/>
    <col min="7430" max="7430" width="14.5703125" style="4" bestFit="1" customWidth="1"/>
    <col min="7431" max="7431" width="4.5703125" style="4" bestFit="1" customWidth="1"/>
    <col min="7432" max="7432" width="22.140625" style="4" bestFit="1" customWidth="1"/>
    <col min="7433" max="7433" width="24.140625" style="4" bestFit="1" customWidth="1"/>
    <col min="7434" max="7434" width="10.7109375" style="4" bestFit="1" customWidth="1"/>
    <col min="7435" max="7435" width="20" style="4" bestFit="1" customWidth="1"/>
    <col min="7436" max="7436" width="11.85546875" style="4" bestFit="1" customWidth="1"/>
    <col min="7437" max="7437" width="10.42578125" style="4" bestFit="1" customWidth="1"/>
    <col min="7438" max="7438" width="42.28515625" style="4" bestFit="1" customWidth="1"/>
    <col min="7439" max="7439" width="13.5703125" style="4" bestFit="1" customWidth="1"/>
    <col min="7440" max="7440" width="7.7109375" style="4" bestFit="1" customWidth="1"/>
    <col min="7441" max="7441" width="10.7109375" style="4" bestFit="1" customWidth="1"/>
    <col min="7442" max="7442" width="9.28515625" style="4" bestFit="1" customWidth="1"/>
    <col min="7443" max="7443" width="8.7109375" style="4" bestFit="1" customWidth="1"/>
    <col min="7444" max="7682" width="9.140625" style="4"/>
    <col min="7683" max="7683" width="4.42578125" style="4" bestFit="1" customWidth="1"/>
    <col min="7684" max="7684" width="13.85546875" style="4" bestFit="1" customWidth="1"/>
    <col min="7685" max="7685" width="11.28515625" style="4" bestFit="1" customWidth="1"/>
    <col min="7686" max="7686" width="14.5703125" style="4" bestFit="1" customWidth="1"/>
    <col min="7687" max="7687" width="4.5703125" style="4" bestFit="1" customWidth="1"/>
    <col min="7688" max="7688" width="22.140625" style="4" bestFit="1" customWidth="1"/>
    <col min="7689" max="7689" width="24.140625" style="4" bestFit="1" customWidth="1"/>
    <col min="7690" max="7690" width="10.7109375" style="4" bestFit="1" customWidth="1"/>
    <col min="7691" max="7691" width="20" style="4" bestFit="1" customWidth="1"/>
    <col min="7692" max="7692" width="11.85546875" style="4" bestFit="1" customWidth="1"/>
    <col min="7693" max="7693" width="10.42578125" style="4" bestFit="1" customWidth="1"/>
    <col min="7694" max="7694" width="42.28515625" style="4" bestFit="1" customWidth="1"/>
    <col min="7695" max="7695" width="13.5703125" style="4" bestFit="1" customWidth="1"/>
    <col min="7696" max="7696" width="7.7109375" style="4" bestFit="1" customWidth="1"/>
    <col min="7697" max="7697" width="10.7109375" style="4" bestFit="1" customWidth="1"/>
    <col min="7698" max="7698" width="9.28515625" style="4" bestFit="1" customWidth="1"/>
    <col min="7699" max="7699" width="8.7109375" style="4" bestFit="1" customWidth="1"/>
    <col min="7700" max="7938" width="9.140625" style="4"/>
    <col min="7939" max="7939" width="4.42578125" style="4" bestFit="1" customWidth="1"/>
    <col min="7940" max="7940" width="13.85546875" style="4" bestFit="1" customWidth="1"/>
    <col min="7941" max="7941" width="11.28515625" style="4" bestFit="1" customWidth="1"/>
    <col min="7942" max="7942" width="14.5703125" style="4" bestFit="1" customWidth="1"/>
    <col min="7943" max="7943" width="4.5703125" style="4" bestFit="1" customWidth="1"/>
    <col min="7944" max="7944" width="22.140625" style="4" bestFit="1" customWidth="1"/>
    <col min="7945" max="7945" width="24.140625" style="4" bestFit="1" customWidth="1"/>
    <col min="7946" max="7946" width="10.7109375" style="4" bestFit="1" customWidth="1"/>
    <col min="7947" max="7947" width="20" style="4" bestFit="1" customWidth="1"/>
    <col min="7948" max="7948" width="11.85546875" style="4" bestFit="1" customWidth="1"/>
    <col min="7949" max="7949" width="10.42578125" style="4" bestFit="1" customWidth="1"/>
    <col min="7950" max="7950" width="42.28515625" style="4" bestFit="1" customWidth="1"/>
    <col min="7951" max="7951" width="13.5703125" style="4" bestFit="1" customWidth="1"/>
    <col min="7952" max="7952" width="7.7109375" style="4" bestFit="1" customWidth="1"/>
    <col min="7953" max="7953" width="10.7109375" style="4" bestFit="1" customWidth="1"/>
    <col min="7954" max="7954" width="9.28515625" style="4" bestFit="1" customWidth="1"/>
    <col min="7955" max="7955" width="8.7109375" style="4" bestFit="1" customWidth="1"/>
    <col min="7956" max="8194" width="9.140625" style="4"/>
    <col min="8195" max="8195" width="4.42578125" style="4" bestFit="1" customWidth="1"/>
    <col min="8196" max="8196" width="13.85546875" style="4" bestFit="1" customWidth="1"/>
    <col min="8197" max="8197" width="11.28515625" style="4" bestFit="1" customWidth="1"/>
    <col min="8198" max="8198" width="14.5703125" style="4" bestFit="1" customWidth="1"/>
    <col min="8199" max="8199" width="4.5703125" style="4" bestFit="1" customWidth="1"/>
    <col min="8200" max="8200" width="22.140625" style="4" bestFit="1" customWidth="1"/>
    <col min="8201" max="8201" width="24.140625" style="4" bestFit="1" customWidth="1"/>
    <col min="8202" max="8202" width="10.7109375" style="4" bestFit="1" customWidth="1"/>
    <col min="8203" max="8203" width="20" style="4" bestFit="1" customWidth="1"/>
    <col min="8204" max="8204" width="11.85546875" style="4" bestFit="1" customWidth="1"/>
    <col min="8205" max="8205" width="10.42578125" style="4" bestFit="1" customWidth="1"/>
    <col min="8206" max="8206" width="42.28515625" style="4" bestFit="1" customWidth="1"/>
    <col min="8207" max="8207" width="13.5703125" style="4" bestFit="1" customWidth="1"/>
    <col min="8208" max="8208" width="7.7109375" style="4" bestFit="1" customWidth="1"/>
    <col min="8209" max="8209" width="10.7109375" style="4" bestFit="1" customWidth="1"/>
    <col min="8210" max="8210" width="9.28515625" style="4" bestFit="1" customWidth="1"/>
    <col min="8211" max="8211" width="8.7109375" style="4" bestFit="1" customWidth="1"/>
    <col min="8212" max="8450" width="9.140625" style="4"/>
    <col min="8451" max="8451" width="4.42578125" style="4" bestFit="1" customWidth="1"/>
    <col min="8452" max="8452" width="13.85546875" style="4" bestFit="1" customWidth="1"/>
    <col min="8453" max="8453" width="11.28515625" style="4" bestFit="1" customWidth="1"/>
    <col min="8454" max="8454" width="14.5703125" style="4" bestFit="1" customWidth="1"/>
    <col min="8455" max="8455" width="4.5703125" style="4" bestFit="1" customWidth="1"/>
    <col min="8456" max="8456" width="22.140625" style="4" bestFit="1" customWidth="1"/>
    <col min="8457" max="8457" width="24.140625" style="4" bestFit="1" customWidth="1"/>
    <col min="8458" max="8458" width="10.7109375" style="4" bestFit="1" customWidth="1"/>
    <col min="8459" max="8459" width="20" style="4" bestFit="1" customWidth="1"/>
    <col min="8460" max="8460" width="11.85546875" style="4" bestFit="1" customWidth="1"/>
    <col min="8461" max="8461" width="10.42578125" style="4" bestFit="1" customWidth="1"/>
    <col min="8462" max="8462" width="42.28515625" style="4" bestFit="1" customWidth="1"/>
    <col min="8463" max="8463" width="13.5703125" style="4" bestFit="1" customWidth="1"/>
    <col min="8464" max="8464" width="7.7109375" style="4" bestFit="1" customWidth="1"/>
    <col min="8465" max="8465" width="10.7109375" style="4" bestFit="1" customWidth="1"/>
    <col min="8466" max="8466" width="9.28515625" style="4" bestFit="1" customWidth="1"/>
    <col min="8467" max="8467" width="8.7109375" style="4" bestFit="1" customWidth="1"/>
    <col min="8468" max="8706" width="9.140625" style="4"/>
    <col min="8707" max="8707" width="4.42578125" style="4" bestFit="1" customWidth="1"/>
    <col min="8708" max="8708" width="13.85546875" style="4" bestFit="1" customWidth="1"/>
    <col min="8709" max="8709" width="11.28515625" style="4" bestFit="1" customWidth="1"/>
    <col min="8710" max="8710" width="14.5703125" style="4" bestFit="1" customWidth="1"/>
    <col min="8711" max="8711" width="4.5703125" style="4" bestFit="1" customWidth="1"/>
    <col min="8712" max="8712" width="22.140625" style="4" bestFit="1" customWidth="1"/>
    <col min="8713" max="8713" width="24.140625" style="4" bestFit="1" customWidth="1"/>
    <col min="8714" max="8714" width="10.7109375" style="4" bestFit="1" customWidth="1"/>
    <col min="8715" max="8715" width="20" style="4" bestFit="1" customWidth="1"/>
    <col min="8716" max="8716" width="11.85546875" style="4" bestFit="1" customWidth="1"/>
    <col min="8717" max="8717" width="10.42578125" style="4" bestFit="1" customWidth="1"/>
    <col min="8718" max="8718" width="42.28515625" style="4" bestFit="1" customWidth="1"/>
    <col min="8719" max="8719" width="13.5703125" style="4" bestFit="1" customWidth="1"/>
    <col min="8720" max="8720" width="7.7109375" style="4" bestFit="1" customWidth="1"/>
    <col min="8721" max="8721" width="10.7109375" style="4" bestFit="1" customWidth="1"/>
    <col min="8722" max="8722" width="9.28515625" style="4" bestFit="1" customWidth="1"/>
    <col min="8723" max="8723" width="8.7109375" style="4" bestFit="1" customWidth="1"/>
    <col min="8724" max="8962" width="9.140625" style="4"/>
    <col min="8963" max="8963" width="4.42578125" style="4" bestFit="1" customWidth="1"/>
    <col min="8964" max="8964" width="13.85546875" style="4" bestFit="1" customWidth="1"/>
    <col min="8965" max="8965" width="11.28515625" style="4" bestFit="1" customWidth="1"/>
    <col min="8966" max="8966" width="14.5703125" style="4" bestFit="1" customWidth="1"/>
    <col min="8967" max="8967" width="4.5703125" style="4" bestFit="1" customWidth="1"/>
    <col min="8968" max="8968" width="22.140625" style="4" bestFit="1" customWidth="1"/>
    <col min="8969" max="8969" width="24.140625" style="4" bestFit="1" customWidth="1"/>
    <col min="8970" max="8970" width="10.7109375" style="4" bestFit="1" customWidth="1"/>
    <col min="8971" max="8971" width="20" style="4" bestFit="1" customWidth="1"/>
    <col min="8972" max="8972" width="11.85546875" style="4" bestFit="1" customWidth="1"/>
    <col min="8973" max="8973" width="10.42578125" style="4" bestFit="1" customWidth="1"/>
    <col min="8974" max="8974" width="42.28515625" style="4" bestFit="1" customWidth="1"/>
    <col min="8975" max="8975" width="13.5703125" style="4" bestFit="1" customWidth="1"/>
    <col min="8976" max="8976" width="7.7109375" style="4" bestFit="1" customWidth="1"/>
    <col min="8977" max="8977" width="10.7109375" style="4" bestFit="1" customWidth="1"/>
    <col min="8978" max="8978" width="9.28515625" style="4" bestFit="1" customWidth="1"/>
    <col min="8979" max="8979" width="8.7109375" style="4" bestFit="1" customWidth="1"/>
    <col min="8980" max="9218" width="9.140625" style="4"/>
    <col min="9219" max="9219" width="4.42578125" style="4" bestFit="1" customWidth="1"/>
    <col min="9220" max="9220" width="13.85546875" style="4" bestFit="1" customWidth="1"/>
    <col min="9221" max="9221" width="11.28515625" style="4" bestFit="1" customWidth="1"/>
    <col min="9222" max="9222" width="14.5703125" style="4" bestFit="1" customWidth="1"/>
    <col min="9223" max="9223" width="4.5703125" style="4" bestFit="1" customWidth="1"/>
    <col min="9224" max="9224" width="22.140625" style="4" bestFit="1" customWidth="1"/>
    <col min="9225" max="9225" width="24.140625" style="4" bestFit="1" customWidth="1"/>
    <col min="9226" max="9226" width="10.7109375" style="4" bestFit="1" customWidth="1"/>
    <col min="9227" max="9227" width="20" style="4" bestFit="1" customWidth="1"/>
    <col min="9228" max="9228" width="11.85546875" style="4" bestFit="1" customWidth="1"/>
    <col min="9229" max="9229" width="10.42578125" style="4" bestFit="1" customWidth="1"/>
    <col min="9230" max="9230" width="42.28515625" style="4" bestFit="1" customWidth="1"/>
    <col min="9231" max="9231" width="13.5703125" style="4" bestFit="1" customWidth="1"/>
    <col min="9232" max="9232" width="7.7109375" style="4" bestFit="1" customWidth="1"/>
    <col min="9233" max="9233" width="10.7109375" style="4" bestFit="1" customWidth="1"/>
    <col min="9234" max="9234" width="9.28515625" style="4" bestFit="1" customWidth="1"/>
    <col min="9235" max="9235" width="8.7109375" style="4" bestFit="1" customWidth="1"/>
    <col min="9236" max="9474" width="9.140625" style="4"/>
    <col min="9475" max="9475" width="4.42578125" style="4" bestFit="1" customWidth="1"/>
    <col min="9476" max="9476" width="13.85546875" style="4" bestFit="1" customWidth="1"/>
    <col min="9477" max="9477" width="11.28515625" style="4" bestFit="1" customWidth="1"/>
    <col min="9478" max="9478" width="14.5703125" style="4" bestFit="1" customWidth="1"/>
    <col min="9479" max="9479" width="4.5703125" style="4" bestFit="1" customWidth="1"/>
    <col min="9480" max="9480" width="22.140625" style="4" bestFit="1" customWidth="1"/>
    <col min="9481" max="9481" width="24.140625" style="4" bestFit="1" customWidth="1"/>
    <col min="9482" max="9482" width="10.7109375" style="4" bestFit="1" customWidth="1"/>
    <col min="9483" max="9483" width="20" style="4" bestFit="1" customWidth="1"/>
    <col min="9484" max="9484" width="11.85546875" style="4" bestFit="1" customWidth="1"/>
    <col min="9485" max="9485" width="10.42578125" style="4" bestFit="1" customWidth="1"/>
    <col min="9486" max="9486" width="42.28515625" style="4" bestFit="1" customWidth="1"/>
    <col min="9487" max="9487" width="13.5703125" style="4" bestFit="1" customWidth="1"/>
    <col min="9488" max="9488" width="7.7109375" style="4" bestFit="1" customWidth="1"/>
    <col min="9489" max="9489" width="10.7109375" style="4" bestFit="1" customWidth="1"/>
    <col min="9490" max="9490" width="9.28515625" style="4" bestFit="1" customWidth="1"/>
    <col min="9491" max="9491" width="8.7109375" style="4" bestFit="1" customWidth="1"/>
    <col min="9492" max="9730" width="9.140625" style="4"/>
    <col min="9731" max="9731" width="4.42578125" style="4" bestFit="1" customWidth="1"/>
    <col min="9732" max="9732" width="13.85546875" style="4" bestFit="1" customWidth="1"/>
    <col min="9733" max="9733" width="11.28515625" style="4" bestFit="1" customWidth="1"/>
    <col min="9734" max="9734" width="14.5703125" style="4" bestFit="1" customWidth="1"/>
    <col min="9735" max="9735" width="4.5703125" style="4" bestFit="1" customWidth="1"/>
    <col min="9736" max="9736" width="22.140625" style="4" bestFit="1" customWidth="1"/>
    <col min="9737" max="9737" width="24.140625" style="4" bestFit="1" customWidth="1"/>
    <col min="9738" max="9738" width="10.7109375" style="4" bestFit="1" customWidth="1"/>
    <col min="9739" max="9739" width="20" style="4" bestFit="1" customWidth="1"/>
    <col min="9740" max="9740" width="11.85546875" style="4" bestFit="1" customWidth="1"/>
    <col min="9741" max="9741" width="10.42578125" style="4" bestFit="1" customWidth="1"/>
    <col min="9742" max="9742" width="42.28515625" style="4" bestFit="1" customWidth="1"/>
    <col min="9743" max="9743" width="13.5703125" style="4" bestFit="1" customWidth="1"/>
    <col min="9744" max="9744" width="7.7109375" style="4" bestFit="1" customWidth="1"/>
    <col min="9745" max="9745" width="10.7109375" style="4" bestFit="1" customWidth="1"/>
    <col min="9746" max="9746" width="9.28515625" style="4" bestFit="1" customWidth="1"/>
    <col min="9747" max="9747" width="8.7109375" style="4" bestFit="1" customWidth="1"/>
    <col min="9748" max="9986" width="9.140625" style="4"/>
    <col min="9987" max="9987" width="4.42578125" style="4" bestFit="1" customWidth="1"/>
    <col min="9988" max="9988" width="13.85546875" style="4" bestFit="1" customWidth="1"/>
    <col min="9989" max="9989" width="11.28515625" style="4" bestFit="1" customWidth="1"/>
    <col min="9990" max="9990" width="14.5703125" style="4" bestFit="1" customWidth="1"/>
    <col min="9991" max="9991" width="4.5703125" style="4" bestFit="1" customWidth="1"/>
    <col min="9992" max="9992" width="22.140625" style="4" bestFit="1" customWidth="1"/>
    <col min="9993" max="9993" width="24.140625" style="4" bestFit="1" customWidth="1"/>
    <col min="9994" max="9994" width="10.7109375" style="4" bestFit="1" customWidth="1"/>
    <col min="9995" max="9995" width="20" style="4" bestFit="1" customWidth="1"/>
    <col min="9996" max="9996" width="11.85546875" style="4" bestFit="1" customWidth="1"/>
    <col min="9997" max="9997" width="10.42578125" style="4" bestFit="1" customWidth="1"/>
    <col min="9998" max="9998" width="42.28515625" style="4" bestFit="1" customWidth="1"/>
    <col min="9999" max="9999" width="13.5703125" style="4" bestFit="1" customWidth="1"/>
    <col min="10000" max="10000" width="7.7109375" style="4" bestFit="1" customWidth="1"/>
    <col min="10001" max="10001" width="10.7109375" style="4" bestFit="1" customWidth="1"/>
    <col min="10002" max="10002" width="9.28515625" style="4" bestFit="1" customWidth="1"/>
    <col min="10003" max="10003" width="8.7109375" style="4" bestFit="1" customWidth="1"/>
    <col min="10004" max="10242" width="9.140625" style="4"/>
    <col min="10243" max="10243" width="4.42578125" style="4" bestFit="1" customWidth="1"/>
    <col min="10244" max="10244" width="13.85546875" style="4" bestFit="1" customWidth="1"/>
    <col min="10245" max="10245" width="11.28515625" style="4" bestFit="1" customWidth="1"/>
    <col min="10246" max="10246" width="14.5703125" style="4" bestFit="1" customWidth="1"/>
    <col min="10247" max="10247" width="4.5703125" style="4" bestFit="1" customWidth="1"/>
    <col min="10248" max="10248" width="22.140625" style="4" bestFit="1" customWidth="1"/>
    <col min="10249" max="10249" width="24.140625" style="4" bestFit="1" customWidth="1"/>
    <col min="10250" max="10250" width="10.7109375" style="4" bestFit="1" customWidth="1"/>
    <col min="10251" max="10251" width="20" style="4" bestFit="1" customWidth="1"/>
    <col min="10252" max="10252" width="11.85546875" style="4" bestFit="1" customWidth="1"/>
    <col min="10253" max="10253" width="10.42578125" style="4" bestFit="1" customWidth="1"/>
    <col min="10254" max="10254" width="42.28515625" style="4" bestFit="1" customWidth="1"/>
    <col min="10255" max="10255" width="13.5703125" style="4" bestFit="1" customWidth="1"/>
    <col min="10256" max="10256" width="7.7109375" style="4" bestFit="1" customWidth="1"/>
    <col min="10257" max="10257" width="10.7109375" style="4" bestFit="1" customWidth="1"/>
    <col min="10258" max="10258" width="9.28515625" style="4" bestFit="1" customWidth="1"/>
    <col min="10259" max="10259" width="8.7109375" style="4" bestFit="1" customWidth="1"/>
    <col min="10260" max="10498" width="9.140625" style="4"/>
    <col min="10499" max="10499" width="4.42578125" style="4" bestFit="1" customWidth="1"/>
    <col min="10500" max="10500" width="13.85546875" style="4" bestFit="1" customWidth="1"/>
    <col min="10501" max="10501" width="11.28515625" style="4" bestFit="1" customWidth="1"/>
    <col min="10502" max="10502" width="14.5703125" style="4" bestFit="1" customWidth="1"/>
    <col min="10503" max="10503" width="4.5703125" style="4" bestFit="1" customWidth="1"/>
    <col min="10504" max="10504" width="22.140625" style="4" bestFit="1" customWidth="1"/>
    <col min="10505" max="10505" width="24.140625" style="4" bestFit="1" customWidth="1"/>
    <col min="10506" max="10506" width="10.7109375" style="4" bestFit="1" customWidth="1"/>
    <col min="10507" max="10507" width="20" style="4" bestFit="1" customWidth="1"/>
    <col min="10508" max="10508" width="11.85546875" style="4" bestFit="1" customWidth="1"/>
    <col min="10509" max="10509" width="10.42578125" style="4" bestFit="1" customWidth="1"/>
    <col min="10510" max="10510" width="42.28515625" style="4" bestFit="1" customWidth="1"/>
    <col min="10511" max="10511" width="13.5703125" style="4" bestFit="1" customWidth="1"/>
    <col min="10512" max="10512" width="7.7109375" style="4" bestFit="1" customWidth="1"/>
    <col min="10513" max="10513" width="10.7109375" style="4" bestFit="1" customWidth="1"/>
    <col min="10514" max="10514" width="9.28515625" style="4" bestFit="1" customWidth="1"/>
    <col min="10515" max="10515" width="8.7109375" style="4" bestFit="1" customWidth="1"/>
    <col min="10516" max="10754" width="9.140625" style="4"/>
    <col min="10755" max="10755" width="4.42578125" style="4" bestFit="1" customWidth="1"/>
    <col min="10756" max="10756" width="13.85546875" style="4" bestFit="1" customWidth="1"/>
    <col min="10757" max="10757" width="11.28515625" style="4" bestFit="1" customWidth="1"/>
    <col min="10758" max="10758" width="14.5703125" style="4" bestFit="1" customWidth="1"/>
    <col min="10759" max="10759" width="4.5703125" style="4" bestFit="1" customWidth="1"/>
    <col min="10760" max="10760" width="22.140625" style="4" bestFit="1" customWidth="1"/>
    <col min="10761" max="10761" width="24.140625" style="4" bestFit="1" customWidth="1"/>
    <col min="10762" max="10762" width="10.7109375" style="4" bestFit="1" customWidth="1"/>
    <col min="10763" max="10763" width="20" style="4" bestFit="1" customWidth="1"/>
    <col min="10764" max="10764" width="11.85546875" style="4" bestFit="1" customWidth="1"/>
    <col min="10765" max="10765" width="10.42578125" style="4" bestFit="1" customWidth="1"/>
    <col min="10766" max="10766" width="42.28515625" style="4" bestFit="1" customWidth="1"/>
    <col min="10767" max="10767" width="13.5703125" style="4" bestFit="1" customWidth="1"/>
    <col min="10768" max="10768" width="7.7109375" style="4" bestFit="1" customWidth="1"/>
    <col min="10769" max="10769" width="10.7109375" style="4" bestFit="1" customWidth="1"/>
    <col min="10770" max="10770" width="9.28515625" style="4" bestFit="1" customWidth="1"/>
    <col min="10771" max="10771" width="8.7109375" style="4" bestFit="1" customWidth="1"/>
    <col min="10772" max="11010" width="9.140625" style="4"/>
    <col min="11011" max="11011" width="4.42578125" style="4" bestFit="1" customWidth="1"/>
    <col min="11012" max="11012" width="13.85546875" style="4" bestFit="1" customWidth="1"/>
    <col min="11013" max="11013" width="11.28515625" style="4" bestFit="1" customWidth="1"/>
    <col min="11014" max="11014" width="14.5703125" style="4" bestFit="1" customWidth="1"/>
    <col min="11015" max="11015" width="4.5703125" style="4" bestFit="1" customWidth="1"/>
    <col min="11016" max="11016" width="22.140625" style="4" bestFit="1" customWidth="1"/>
    <col min="11017" max="11017" width="24.140625" style="4" bestFit="1" customWidth="1"/>
    <col min="11018" max="11018" width="10.7109375" style="4" bestFit="1" customWidth="1"/>
    <col min="11019" max="11019" width="20" style="4" bestFit="1" customWidth="1"/>
    <col min="11020" max="11020" width="11.85546875" style="4" bestFit="1" customWidth="1"/>
    <col min="11021" max="11021" width="10.42578125" style="4" bestFit="1" customWidth="1"/>
    <col min="11022" max="11022" width="42.28515625" style="4" bestFit="1" customWidth="1"/>
    <col min="11023" max="11023" width="13.5703125" style="4" bestFit="1" customWidth="1"/>
    <col min="11024" max="11024" width="7.7109375" style="4" bestFit="1" customWidth="1"/>
    <col min="11025" max="11025" width="10.7109375" style="4" bestFit="1" customWidth="1"/>
    <col min="11026" max="11026" width="9.28515625" style="4" bestFit="1" customWidth="1"/>
    <col min="11027" max="11027" width="8.7109375" style="4" bestFit="1" customWidth="1"/>
    <col min="11028" max="11266" width="9.140625" style="4"/>
    <col min="11267" max="11267" width="4.42578125" style="4" bestFit="1" customWidth="1"/>
    <col min="11268" max="11268" width="13.85546875" style="4" bestFit="1" customWidth="1"/>
    <col min="11269" max="11269" width="11.28515625" style="4" bestFit="1" customWidth="1"/>
    <col min="11270" max="11270" width="14.5703125" style="4" bestFit="1" customWidth="1"/>
    <col min="11271" max="11271" width="4.5703125" style="4" bestFit="1" customWidth="1"/>
    <col min="11272" max="11272" width="22.140625" style="4" bestFit="1" customWidth="1"/>
    <col min="11273" max="11273" width="24.140625" style="4" bestFit="1" customWidth="1"/>
    <col min="11274" max="11274" width="10.7109375" style="4" bestFit="1" customWidth="1"/>
    <col min="11275" max="11275" width="20" style="4" bestFit="1" customWidth="1"/>
    <col min="11276" max="11276" width="11.85546875" style="4" bestFit="1" customWidth="1"/>
    <col min="11277" max="11277" width="10.42578125" style="4" bestFit="1" customWidth="1"/>
    <col min="11278" max="11278" width="42.28515625" style="4" bestFit="1" customWidth="1"/>
    <col min="11279" max="11279" width="13.5703125" style="4" bestFit="1" customWidth="1"/>
    <col min="11280" max="11280" width="7.7109375" style="4" bestFit="1" customWidth="1"/>
    <col min="11281" max="11281" width="10.7109375" style="4" bestFit="1" customWidth="1"/>
    <col min="11282" max="11282" width="9.28515625" style="4" bestFit="1" customWidth="1"/>
    <col min="11283" max="11283" width="8.7109375" style="4" bestFit="1" customWidth="1"/>
    <col min="11284" max="11522" width="9.140625" style="4"/>
    <col min="11523" max="11523" width="4.42578125" style="4" bestFit="1" customWidth="1"/>
    <col min="11524" max="11524" width="13.85546875" style="4" bestFit="1" customWidth="1"/>
    <col min="11525" max="11525" width="11.28515625" style="4" bestFit="1" customWidth="1"/>
    <col min="11526" max="11526" width="14.5703125" style="4" bestFit="1" customWidth="1"/>
    <col min="11527" max="11527" width="4.5703125" style="4" bestFit="1" customWidth="1"/>
    <col min="11528" max="11528" width="22.140625" style="4" bestFit="1" customWidth="1"/>
    <col min="11529" max="11529" width="24.140625" style="4" bestFit="1" customWidth="1"/>
    <col min="11530" max="11530" width="10.7109375" style="4" bestFit="1" customWidth="1"/>
    <col min="11531" max="11531" width="20" style="4" bestFit="1" customWidth="1"/>
    <col min="11532" max="11532" width="11.85546875" style="4" bestFit="1" customWidth="1"/>
    <col min="11533" max="11533" width="10.42578125" style="4" bestFit="1" customWidth="1"/>
    <col min="11534" max="11534" width="42.28515625" style="4" bestFit="1" customWidth="1"/>
    <col min="11535" max="11535" width="13.5703125" style="4" bestFit="1" customWidth="1"/>
    <col min="11536" max="11536" width="7.7109375" style="4" bestFit="1" customWidth="1"/>
    <col min="11537" max="11537" width="10.7109375" style="4" bestFit="1" customWidth="1"/>
    <col min="11538" max="11538" width="9.28515625" style="4" bestFit="1" customWidth="1"/>
    <col min="11539" max="11539" width="8.7109375" style="4" bestFit="1" customWidth="1"/>
    <col min="11540" max="11778" width="9.140625" style="4"/>
    <col min="11779" max="11779" width="4.42578125" style="4" bestFit="1" customWidth="1"/>
    <col min="11780" max="11780" width="13.85546875" style="4" bestFit="1" customWidth="1"/>
    <col min="11781" max="11781" width="11.28515625" style="4" bestFit="1" customWidth="1"/>
    <col min="11782" max="11782" width="14.5703125" style="4" bestFit="1" customWidth="1"/>
    <col min="11783" max="11783" width="4.5703125" style="4" bestFit="1" customWidth="1"/>
    <col min="11784" max="11784" width="22.140625" style="4" bestFit="1" customWidth="1"/>
    <col min="11785" max="11785" width="24.140625" style="4" bestFit="1" customWidth="1"/>
    <col min="11786" max="11786" width="10.7109375" style="4" bestFit="1" customWidth="1"/>
    <col min="11787" max="11787" width="20" style="4" bestFit="1" customWidth="1"/>
    <col min="11788" max="11788" width="11.85546875" style="4" bestFit="1" customWidth="1"/>
    <col min="11789" max="11789" width="10.42578125" style="4" bestFit="1" customWidth="1"/>
    <col min="11790" max="11790" width="42.28515625" style="4" bestFit="1" customWidth="1"/>
    <col min="11791" max="11791" width="13.5703125" style="4" bestFit="1" customWidth="1"/>
    <col min="11792" max="11792" width="7.7109375" style="4" bestFit="1" customWidth="1"/>
    <col min="11793" max="11793" width="10.7109375" style="4" bestFit="1" customWidth="1"/>
    <col min="11794" max="11794" width="9.28515625" style="4" bestFit="1" customWidth="1"/>
    <col min="11795" max="11795" width="8.7109375" style="4" bestFit="1" customWidth="1"/>
    <col min="11796" max="12034" width="9.140625" style="4"/>
    <col min="12035" max="12035" width="4.42578125" style="4" bestFit="1" customWidth="1"/>
    <col min="12036" max="12036" width="13.85546875" style="4" bestFit="1" customWidth="1"/>
    <col min="12037" max="12037" width="11.28515625" style="4" bestFit="1" customWidth="1"/>
    <col min="12038" max="12038" width="14.5703125" style="4" bestFit="1" customWidth="1"/>
    <col min="12039" max="12039" width="4.5703125" style="4" bestFit="1" customWidth="1"/>
    <col min="12040" max="12040" width="22.140625" style="4" bestFit="1" customWidth="1"/>
    <col min="12041" max="12041" width="24.140625" style="4" bestFit="1" customWidth="1"/>
    <col min="12042" max="12042" width="10.7109375" style="4" bestFit="1" customWidth="1"/>
    <col min="12043" max="12043" width="20" style="4" bestFit="1" customWidth="1"/>
    <col min="12044" max="12044" width="11.85546875" style="4" bestFit="1" customWidth="1"/>
    <col min="12045" max="12045" width="10.42578125" style="4" bestFit="1" customWidth="1"/>
    <col min="12046" max="12046" width="42.28515625" style="4" bestFit="1" customWidth="1"/>
    <col min="12047" max="12047" width="13.5703125" style="4" bestFit="1" customWidth="1"/>
    <col min="12048" max="12048" width="7.7109375" style="4" bestFit="1" customWidth="1"/>
    <col min="12049" max="12049" width="10.7109375" style="4" bestFit="1" customWidth="1"/>
    <col min="12050" max="12050" width="9.28515625" style="4" bestFit="1" customWidth="1"/>
    <col min="12051" max="12051" width="8.7109375" style="4" bestFit="1" customWidth="1"/>
    <col min="12052" max="12290" width="9.140625" style="4"/>
    <col min="12291" max="12291" width="4.42578125" style="4" bestFit="1" customWidth="1"/>
    <col min="12292" max="12292" width="13.85546875" style="4" bestFit="1" customWidth="1"/>
    <col min="12293" max="12293" width="11.28515625" style="4" bestFit="1" customWidth="1"/>
    <col min="12294" max="12294" width="14.5703125" style="4" bestFit="1" customWidth="1"/>
    <col min="12295" max="12295" width="4.5703125" style="4" bestFit="1" customWidth="1"/>
    <col min="12296" max="12296" width="22.140625" style="4" bestFit="1" customWidth="1"/>
    <col min="12297" max="12297" width="24.140625" style="4" bestFit="1" customWidth="1"/>
    <col min="12298" max="12298" width="10.7109375" style="4" bestFit="1" customWidth="1"/>
    <col min="12299" max="12299" width="20" style="4" bestFit="1" customWidth="1"/>
    <col min="12300" max="12300" width="11.85546875" style="4" bestFit="1" customWidth="1"/>
    <col min="12301" max="12301" width="10.42578125" style="4" bestFit="1" customWidth="1"/>
    <col min="12302" max="12302" width="42.28515625" style="4" bestFit="1" customWidth="1"/>
    <col min="12303" max="12303" width="13.5703125" style="4" bestFit="1" customWidth="1"/>
    <col min="12304" max="12304" width="7.7109375" style="4" bestFit="1" customWidth="1"/>
    <col min="12305" max="12305" width="10.7109375" style="4" bestFit="1" customWidth="1"/>
    <col min="12306" max="12306" width="9.28515625" style="4" bestFit="1" customWidth="1"/>
    <col min="12307" max="12307" width="8.7109375" style="4" bestFit="1" customWidth="1"/>
    <col min="12308" max="12546" width="9.140625" style="4"/>
    <col min="12547" max="12547" width="4.42578125" style="4" bestFit="1" customWidth="1"/>
    <col min="12548" max="12548" width="13.85546875" style="4" bestFit="1" customWidth="1"/>
    <col min="12549" max="12549" width="11.28515625" style="4" bestFit="1" customWidth="1"/>
    <col min="12550" max="12550" width="14.5703125" style="4" bestFit="1" customWidth="1"/>
    <col min="12551" max="12551" width="4.5703125" style="4" bestFit="1" customWidth="1"/>
    <col min="12552" max="12552" width="22.140625" style="4" bestFit="1" customWidth="1"/>
    <col min="12553" max="12553" width="24.140625" style="4" bestFit="1" customWidth="1"/>
    <col min="12554" max="12554" width="10.7109375" style="4" bestFit="1" customWidth="1"/>
    <col min="12555" max="12555" width="20" style="4" bestFit="1" customWidth="1"/>
    <col min="12556" max="12556" width="11.85546875" style="4" bestFit="1" customWidth="1"/>
    <col min="12557" max="12557" width="10.42578125" style="4" bestFit="1" customWidth="1"/>
    <col min="12558" max="12558" width="42.28515625" style="4" bestFit="1" customWidth="1"/>
    <col min="12559" max="12559" width="13.5703125" style="4" bestFit="1" customWidth="1"/>
    <col min="12560" max="12560" width="7.7109375" style="4" bestFit="1" customWidth="1"/>
    <col min="12561" max="12561" width="10.7109375" style="4" bestFit="1" customWidth="1"/>
    <col min="12562" max="12562" width="9.28515625" style="4" bestFit="1" customWidth="1"/>
    <col min="12563" max="12563" width="8.7109375" style="4" bestFit="1" customWidth="1"/>
    <col min="12564" max="12802" width="9.140625" style="4"/>
    <col min="12803" max="12803" width="4.42578125" style="4" bestFit="1" customWidth="1"/>
    <col min="12804" max="12804" width="13.85546875" style="4" bestFit="1" customWidth="1"/>
    <col min="12805" max="12805" width="11.28515625" style="4" bestFit="1" customWidth="1"/>
    <col min="12806" max="12806" width="14.5703125" style="4" bestFit="1" customWidth="1"/>
    <col min="12807" max="12807" width="4.5703125" style="4" bestFit="1" customWidth="1"/>
    <col min="12808" max="12808" width="22.140625" style="4" bestFit="1" customWidth="1"/>
    <col min="12809" max="12809" width="24.140625" style="4" bestFit="1" customWidth="1"/>
    <col min="12810" max="12810" width="10.7109375" style="4" bestFit="1" customWidth="1"/>
    <col min="12811" max="12811" width="20" style="4" bestFit="1" customWidth="1"/>
    <col min="12812" max="12812" width="11.85546875" style="4" bestFit="1" customWidth="1"/>
    <col min="12813" max="12813" width="10.42578125" style="4" bestFit="1" customWidth="1"/>
    <col min="12814" max="12814" width="42.28515625" style="4" bestFit="1" customWidth="1"/>
    <col min="12815" max="12815" width="13.5703125" style="4" bestFit="1" customWidth="1"/>
    <col min="12816" max="12816" width="7.7109375" style="4" bestFit="1" customWidth="1"/>
    <col min="12817" max="12817" width="10.7109375" style="4" bestFit="1" customWidth="1"/>
    <col min="12818" max="12818" width="9.28515625" style="4" bestFit="1" customWidth="1"/>
    <col min="12819" max="12819" width="8.7109375" style="4" bestFit="1" customWidth="1"/>
    <col min="12820" max="13058" width="9.140625" style="4"/>
    <col min="13059" max="13059" width="4.42578125" style="4" bestFit="1" customWidth="1"/>
    <col min="13060" max="13060" width="13.85546875" style="4" bestFit="1" customWidth="1"/>
    <col min="13061" max="13061" width="11.28515625" style="4" bestFit="1" customWidth="1"/>
    <col min="13062" max="13062" width="14.5703125" style="4" bestFit="1" customWidth="1"/>
    <col min="13063" max="13063" width="4.5703125" style="4" bestFit="1" customWidth="1"/>
    <col min="13064" max="13064" width="22.140625" style="4" bestFit="1" customWidth="1"/>
    <col min="13065" max="13065" width="24.140625" style="4" bestFit="1" customWidth="1"/>
    <col min="13066" max="13066" width="10.7109375" style="4" bestFit="1" customWidth="1"/>
    <col min="13067" max="13067" width="20" style="4" bestFit="1" customWidth="1"/>
    <col min="13068" max="13068" width="11.85546875" style="4" bestFit="1" customWidth="1"/>
    <col min="13069" max="13069" width="10.42578125" style="4" bestFit="1" customWidth="1"/>
    <col min="13070" max="13070" width="42.28515625" style="4" bestFit="1" customWidth="1"/>
    <col min="13071" max="13071" width="13.5703125" style="4" bestFit="1" customWidth="1"/>
    <col min="13072" max="13072" width="7.7109375" style="4" bestFit="1" customWidth="1"/>
    <col min="13073" max="13073" width="10.7109375" style="4" bestFit="1" customWidth="1"/>
    <col min="13074" max="13074" width="9.28515625" style="4" bestFit="1" customWidth="1"/>
    <col min="13075" max="13075" width="8.7109375" style="4" bestFit="1" customWidth="1"/>
    <col min="13076" max="13314" width="9.140625" style="4"/>
    <col min="13315" max="13315" width="4.42578125" style="4" bestFit="1" customWidth="1"/>
    <col min="13316" max="13316" width="13.85546875" style="4" bestFit="1" customWidth="1"/>
    <col min="13317" max="13317" width="11.28515625" style="4" bestFit="1" customWidth="1"/>
    <col min="13318" max="13318" width="14.5703125" style="4" bestFit="1" customWidth="1"/>
    <col min="13319" max="13319" width="4.5703125" style="4" bestFit="1" customWidth="1"/>
    <col min="13320" max="13320" width="22.140625" style="4" bestFit="1" customWidth="1"/>
    <col min="13321" max="13321" width="24.140625" style="4" bestFit="1" customWidth="1"/>
    <col min="13322" max="13322" width="10.7109375" style="4" bestFit="1" customWidth="1"/>
    <col min="13323" max="13323" width="20" style="4" bestFit="1" customWidth="1"/>
    <col min="13324" max="13324" width="11.85546875" style="4" bestFit="1" customWidth="1"/>
    <col min="13325" max="13325" width="10.42578125" style="4" bestFit="1" customWidth="1"/>
    <col min="13326" max="13326" width="42.28515625" style="4" bestFit="1" customWidth="1"/>
    <col min="13327" max="13327" width="13.5703125" style="4" bestFit="1" customWidth="1"/>
    <col min="13328" max="13328" width="7.7109375" style="4" bestFit="1" customWidth="1"/>
    <col min="13329" max="13329" width="10.7109375" style="4" bestFit="1" customWidth="1"/>
    <col min="13330" max="13330" width="9.28515625" style="4" bestFit="1" customWidth="1"/>
    <col min="13331" max="13331" width="8.7109375" style="4" bestFit="1" customWidth="1"/>
    <col min="13332" max="13570" width="9.140625" style="4"/>
    <col min="13571" max="13571" width="4.42578125" style="4" bestFit="1" customWidth="1"/>
    <col min="13572" max="13572" width="13.85546875" style="4" bestFit="1" customWidth="1"/>
    <col min="13573" max="13573" width="11.28515625" style="4" bestFit="1" customWidth="1"/>
    <col min="13574" max="13574" width="14.5703125" style="4" bestFit="1" customWidth="1"/>
    <col min="13575" max="13575" width="4.5703125" style="4" bestFit="1" customWidth="1"/>
    <col min="13576" max="13576" width="22.140625" style="4" bestFit="1" customWidth="1"/>
    <col min="13577" max="13577" width="24.140625" style="4" bestFit="1" customWidth="1"/>
    <col min="13578" max="13578" width="10.7109375" style="4" bestFit="1" customWidth="1"/>
    <col min="13579" max="13579" width="20" style="4" bestFit="1" customWidth="1"/>
    <col min="13580" max="13580" width="11.85546875" style="4" bestFit="1" customWidth="1"/>
    <col min="13581" max="13581" width="10.42578125" style="4" bestFit="1" customWidth="1"/>
    <col min="13582" max="13582" width="42.28515625" style="4" bestFit="1" customWidth="1"/>
    <col min="13583" max="13583" width="13.5703125" style="4" bestFit="1" customWidth="1"/>
    <col min="13584" max="13584" width="7.7109375" style="4" bestFit="1" customWidth="1"/>
    <col min="13585" max="13585" width="10.7109375" style="4" bestFit="1" customWidth="1"/>
    <col min="13586" max="13586" width="9.28515625" style="4" bestFit="1" customWidth="1"/>
    <col min="13587" max="13587" width="8.7109375" style="4" bestFit="1" customWidth="1"/>
    <col min="13588" max="13826" width="9.140625" style="4"/>
    <col min="13827" max="13827" width="4.42578125" style="4" bestFit="1" customWidth="1"/>
    <col min="13828" max="13828" width="13.85546875" style="4" bestFit="1" customWidth="1"/>
    <col min="13829" max="13829" width="11.28515625" style="4" bestFit="1" customWidth="1"/>
    <col min="13830" max="13830" width="14.5703125" style="4" bestFit="1" customWidth="1"/>
    <col min="13831" max="13831" width="4.5703125" style="4" bestFit="1" customWidth="1"/>
    <col min="13832" max="13832" width="22.140625" style="4" bestFit="1" customWidth="1"/>
    <col min="13833" max="13833" width="24.140625" style="4" bestFit="1" customWidth="1"/>
    <col min="13834" max="13834" width="10.7109375" style="4" bestFit="1" customWidth="1"/>
    <col min="13835" max="13835" width="20" style="4" bestFit="1" customWidth="1"/>
    <col min="13836" max="13836" width="11.85546875" style="4" bestFit="1" customWidth="1"/>
    <col min="13837" max="13837" width="10.42578125" style="4" bestFit="1" customWidth="1"/>
    <col min="13838" max="13838" width="42.28515625" style="4" bestFit="1" customWidth="1"/>
    <col min="13839" max="13839" width="13.5703125" style="4" bestFit="1" customWidth="1"/>
    <col min="13840" max="13840" width="7.7109375" style="4" bestFit="1" customWidth="1"/>
    <col min="13841" max="13841" width="10.7109375" style="4" bestFit="1" customWidth="1"/>
    <col min="13842" max="13842" width="9.28515625" style="4" bestFit="1" customWidth="1"/>
    <col min="13843" max="13843" width="8.7109375" style="4" bestFit="1" customWidth="1"/>
    <col min="13844" max="14082" width="9.140625" style="4"/>
    <col min="14083" max="14083" width="4.42578125" style="4" bestFit="1" customWidth="1"/>
    <col min="14084" max="14084" width="13.85546875" style="4" bestFit="1" customWidth="1"/>
    <col min="14085" max="14085" width="11.28515625" style="4" bestFit="1" customWidth="1"/>
    <col min="14086" max="14086" width="14.5703125" style="4" bestFit="1" customWidth="1"/>
    <col min="14087" max="14087" width="4.5703125" style="4" bestFit="1" customWidth="1"/>
    <col min="14088" max="14088" width="22.140625" style="4" bestFit="1" customWidth="1"/>
    <col min="14089" max="14089" width="24.140625" style="4" bestFit="1" customWidth="1"/>
    <col min="14090" max="14090" width="10.7109375" style="4" bestFit="1" customWidth="1"/>
    <col min="14091" max="14091" width="20" style="4" bestFit="1" customWidth="1"/>
    <col min="14092" max="14092" width="11.85546875" style="4" bestFit="1" customWidth="1"/>
    <col min="14093" max="14093" width="10.42578125" style="4" bestFit="1" customWidth="1"/>
    <col min="14094" max="14094" width="42.28515625" style="4" bestFit="1" customWidth="1"/>
    <col min="14095" max="14095" width="13.5703125" style="4" bestFit="1" customWidth="1"/>
    <col min="14096" max="14096" width="7.7109375" style="4" bestFit="1" customWidth="1"/>
    <col min="14097" max="14097" width="10.7109375" style="4" bestFit="1" customWidth="1"/>
    <col min="14098" max="14098" width="9.28515625" style="4" bestFit="1" customWidth="1"/>
    <col min="14099" max="14099" width="8.7109375" style="4" bestFit="1" customWidth="1"/>
    <col min="14100" max="14338" width="9.140625" style="4"/>
    <col min="14339" max="14339" width="4.42578125" style="4" bestFit="1" customWidth="1"/>
    <col min="14340" max="14340" width="13.85546875" style="4" bestFit="1" customWidth="1"/>
    <col min="14341" max="14341" width="11.28515625" style="4" bestFit="1" customWidth="1"/>
    <col min="14342" max="14342" width="14.5703125" style="4" bestFit="1" customWidth="1"/>
    <col min="14343" max="14343" width="4.5703125" style="4" bestFit="1" customWidth="1"/>
    <col min="14344" max="14344" width="22.140625" style="4" bestFit="1" customWidth="1"/>
    <col min="14345" max="14345" width="24.140625" style="4" bestFit="1" customWidth="1"/>
    <col min="14346" max="14346" width="10.7109375" style="4" bestFit="1" customWidth="1"/>
    <col min="14347" max="14347" width="20" style="4" bestFit="1" customWidth="1"/>
    <col min="14348" max="14348" width="11.85546875" style="4" bestFit="1" customWidth="1"/>
    <col min="14349" max="14349" width="10.42578125" style="4" bestFit="1" customWidth="1"/>
    <col min="14350" max="14350" width="42.28515625" style="4" bestFit="1" customWidth="1"/>
    <col min="14351" max="14351" width="13.5703125" style="4" bestFit="1" customWidth="1"/>
    <col min="14352" max="14352" width="7.7109375" style="4" bestFit="1" customWidth="1"/>
    <col min="14353" max="14353" width="10.7109375" style="4" bestFit="1" customWidth="1"/>
    <col min="14354" max="14354" width="9.28515625" style="4" bestFit="1" customWidth="1"/>
    <col min="14355" max="14355" width="8.7109375" style="4" bestFit="1" customWidth="1"/>
    <col min="14356" max="14594" width="9.140625" style="4"/>
    <col min="14595" max="14595" width="4.42578125" style="4" bestFit="1" customWidth="1"/>
    <col min="14596" max="14596" width="13.85546875" style="4" bestFit="1" customWidth="1"/>
    <col min="14597" max="14597" width="11.28515625" style="4" bestFit="1" customWidth="1"/>
    <col min="14598" max="14598" width="14.5703125" style="4" bestFit="1" customWidth="1"/>
    <col min="14599" max="14599" width="4.5703125" style="4" bestFit="1" customWidth="1"/>
    <col min="14600" max="14600" width="22.140625" style="4" bestFit="1" customWidth="1"/>
    <col min="14601" max="14601" width="24.140625" style="4" bestFit="1" customWidth="1"/>
    <col min="14602" max="14602" width="10.7109375" style="4" bestFit="1" customWidth="1"/>
    <col min="14603" max="14603" width="20" style="4" bestFit="1" customWidth="1"/>
    <col min="14604" max="14604" width="11.85546875" style="4" bestFit="1" customWidth="1"/>
    <col min="14605" max="14605" width="10.42578125" style="4" bestFit="1" customWidth="1"/>
    <col min="14606" max="14606" width="42.28515625" style="4" bestFit="1" customWidth="1"/>
    <col min="14607" max="14607" width="13.5703125" style="4" bestFit="1" customWidth="1"/>
    <col min="14608" max="14608" width="7.7109375" style="4" bestFit="1" customWidth="1"/>
    <col min="14609" max="14609" width="10.7109375" style="4" bestFit="1" customWidth="1"/>
    <col min="14610" max="14610" width="9.28515625" style="4" bestFit="1" customWidth="1"/>
    <col min="14611" max="14611" width="8.7109375" style="4" bestFit="1" customWidth="1"/>
    <col min="14612" max="14850" width="9.140625" style="4"/>
    <col min="14851" max="14851" width="4.42578125" style="4" bestFit="1" customWidth="1"/>
    <col min="14852" max="14852" width="13.85546875" style="4" bestFit="1" customWidth="1"/>
    <col min="14853" max="14853" width="11.28515625" style="4" bestFit="1" customWidth="1"/>
    <col min="14854" max="14854" width="14.5703125" style="4" bestFit="1" customWidth="1"/>
    <col min="14855" max="14855" width="4.5703125" style="4" bestFit="1" customWidth="1"/>
    <col min="14856" max="14856" width="22.140625" style="4" bestFit="1" customWidth="1"/>
    <col min="14857" max="14857" width="24.140625" style="4" bestFit="1" customWidth="1"/>
    <col min="14858" max="14858" width="10.7109375" style="4" bestFit="1" customWidth="1"/>
    <col min="14859" max="14859" width="20" style="4" bestFit="1" customWidth="1"/>
    <col min="14860" max="14860" width="11.85546875" style="4" bestFit="1" customWidth="1"/>
    <col min="14861" max="14861" width="10.42578125" style="4" bestFit="1" customWidth="1"/>
    <col min="14862" max="14862" width="42.28515625" style="4" bestFit="1" customWidth="1"/>
    <col min="14863" max="14863" width="13.5703125" style="4" bestFit="1" customWidth="1"/>
    <col min="14864" max="14864" width="7.7109375" style="4" bestFit="1" customWidth="1"/>
    <col min="14865" max="14865" width="10.7109375" style="4" bestFit="1" customWidth="1"/>
    <col min="14866" max="14866" width="9.28515625" style="4" bestFit="1" customWidth="1"/>
    <col min="14867" max="14867" width="8.7109375" style="4" bestFit="1" customWidth="1"/>
    <col min="14868" max="15106" width="9.140625" style="4"/>
    <col min="15107" max="15107" width="4.42578125" style="4" bestFit="1" customWidth="1"/>
    <col min="15108" max="15108" width="13.85546875" style="4" bestFit="1" customWidth="1"/>
    <col min="15109" max="15109" width="11.28515625" style="4" bestFit="1" customWidth="1"/>
    <col min="15110" max="15110" width="14.5703125" style="4" bestFit="1" customWidth="1"/>
    <col min="15111" max="15111" width="4.5703125" style="4" bestFit="1" customWidth="1"/>
    <col min="15112" max="15112" width="22.140625" style="4" bestFit="1" customWidth="1"/>
    <col min="15113" max="15113" width="24.140625" style="4" bestFit="1" customWidth="1"/>
    <col min="15114" max="15114" width="10.7109375" style="4" bestFit="1" customWidth="1"/>
    <col min="15115" max="15115" width="20" style="4" bestFit="1" customWidth="1"/>
    <col min="15116" max="15116" width="11.85546875" style="4" bestFit="1" customWidth="1"/>
    <col min="15117" max="15117" width="10.42578125" style="4" bestFit="1" customWidth="1"/>
    <col min="15118" max="15118" width="42.28515625" style="4" bestFit="1" customWidth="1"/>
    <col min="15119" max="15119" width="13.5703125" style="4" bestFit="1" customWidth="1"/>
    <col min="15120" max="15120" width="7.7109375" style="4" bestFit="1" customWidth="1"/>
    <col min="15121" max="15121" width="10.7109375" style="4" bestFit="1" customWidth="1"/>
    <col min="15122" max="15122" width="9.28515625" style="4" bestFit="1" customWidth="1"/>
    <col min="15123" max="15123" width="8.7109375" style="4" bestFit="1" customWidth="1"/>
    <col min="15124" max="15362" width="9.140625" style="4"/>
    <col min="15363" max="15363" width="4.42578125" style="4" bestFit="1" customWidth="1"/>
    <col min="15364" max="15364" width="13.85546875" style="4" bestFit="1" customWidth="1"/>
    <col min="15365" max="15365" width="11.28515625" style="4" bestFit="1" customWidth="1"/>
    <col min="15366" max="15366" width="14.5703125" style="4" bestFit="1" customWidth="1"/>
    <col min="15367" max="15367" width="4.5703125" style="4" bestFit="1" customWidth="1"/>
    <col min="15368" max="15368" width="22.140625" style="4" bestFit="1" customWidth="1"/>
    <col min="15369" max="15369" width="24.140625" style="4" bestFit="1" customWidth="1"/>
    <col min="15370" max="15370" width="10.7109375" style="4" bestFit="1" customWidth="1"/>
    <col min="15371" max="15371" width="20" style="4" bestFit="1" customWidth="1"/>
    <col min="15372" max="15372" width="11.85546875" style="4" bestFit="1" customWidth="1"/>
    <col min="15373" max="15373" width="10.42578125" style="4" bestFit="1" customWidth="1"/>
    <col min="15374" max="15374" width="42.28515625" style="4" bestFit="1" customWidth="1"/>
    <col min="15375" max="15375" width="13.5703125" style="4" bestFit="1" customWidth="1"/>
    <col min="15376" max="15376" width="7.7109375" style="4" bestFit="1" customWidth="1"/>
    <col min="15377" max="15377" width="10.7109375" style="4" bestFit="1" customWidth="1"/>
    <col min="15378" max="15378" width="9.28515625" style="4" bestFit="1" customWidth="1"/>
    <col min="15379" max="15379" width="8.7109375" style="4" bestFit="1" customWidth="1"/>
    <col min="15380" max="15618" width="9.140625" style="4"/>
    <col min="15619" max="15619" width="4.42578125" style="4" bestFit="1" customWidth="1"/>
    <col min="15620" max="15620" width="13.85546875" style="4" bestFit="1" customWidth="1"/>
    <col min="15621" max="15621" width="11.28515625" style="4" bestFit="1" customWidth="1"/>
    <col min="15622" max="15622" width="14.5703125" style="4" bestFit="1" customWidth="1"/>
    <col min="15623" max="15623" width="4.5703125" style="4" bestFit="1" customWidth="1"/>
    <col min="15624" max="15624" width="22.140625" style="4" bestFit="1" customWidth="1"/>
    <col min="15625" max="15625" width="24.140625" style="4" bestFit="1" customWidth="1"/>
    <col min="15626" max="15626" width="10.7109375" style="4" bestFit="1" customWidth="1"/>
    <col min="15627" max="15627" width="20" style="4" bestFit="1" customWidth="1"/>
    <col min="15628" max="15628" width="11.85546875" style="4" bestFit="1" customWidth="1"/>
    <col min="15629" max="15629" width="10.42578125" style="4" bestFit="1" customWidth="1"/>
    <col min="15630" max="15630" width="42.28515625" style="4" bestFit="1" customWidth="1"/>
    <col min="15631" max="15631" width="13.5703125" style="4" bestFit="1" customWidth="1"/>
    <col min="15632" max="15632" width="7.7109375" style="4" bestFit="1" customWidth="1"/>
    <col min="15633" max="15633" width="10.7109375" style="4" bestFit="1" customWidth="1"/>
    <col min="15634" max="15634" width="9.28515625" style="4" bestFit="1" customWidth="1"/>
    <col min="15635" max="15635" width="8.7109375" style="4" bestFit="1" customWidth="1"/>
    <col min="15636" max="15874" width="9.140625" style="4"/>
    <col min="15875" max="15875" width="4.42578125" style="4" bestFit="1" customWidth="1"/>
    <col min="15876" max="15876" width="13.85546875" style="4" bestFit="1" customWidth="1"/>
    <col min="15877" max="15877" width="11.28515625" style="4" bestFit="1" customWidth="1"/>
    <col min="15878" max="15878" width="14.5703125" style="4" bestFit="1" customWidth="1"/>
    <col min="15879" max="15879" width="4.5703125" style="4" bestFit="1" customWidth="1"/>
    <col min="15880" max="15880" width="22.140625" style="4" bestFit="1" customWidth="1"/>
    <col min="15881" max="15881" width="24.140625" style="4" bestFit="1" customWidth="1"/>
    <col min="15882" max="15882" width="10.7109375" style="4" bestFit="1" customWidth="1"/>
    <col min="15883" max="15883" width="20" style="4" bestFit="1" customWidth="1"/>
    <col min="15884" max="15884" width="11.85546875" style="4" bestFit="1" customWidth="1"/>
    <col min="15885" max="15885" width="10.42578125" style="4" bestFit="1" customWidth="1"/>
    <col min="15886" max="15886" width="42.28515625" style="4" bestFit="1" customWidth="1"/>
    <col min="15887" max="15887" width="13.5703125" style="4" bestFit="1" customWidth="1"/>
    <col min="15888" max="15888" width="7.7109375" style="4" bestFit="1" customWidth="1"/>
    <col min="15889" max="15889" width="10.7109375" style="4" bestFit="1" customWidth="1"/>
    <col min="15890" max="15890" width="9.28515625" style="4" bestFit="1" customWidth="1"/>
    <col min="15891" max="15891" width="8.7109375" style="4" bestFit="1" customWidth="1"/>
    <col min="15892" max="16130" width="9.140625" style="4"/>
    <col min="16131" max="16131" width="4.42578125" style="4" bestFit="1" customWidth="1"/>
    <col min="16132" max="16132" width="13.85546875" style="4" bestFit="1" customWidth="1"/>
    <col min="16133" max="16133" width="11.28515625" style="4" bestFit="1" customWidth="1"/>
    <col min="16134" max="16134" width="14.5703125" style="4" bestFit="1" customWidth="1"/>
    <col min="16135" max="16135" width="4.5703125" style="4" bestFit="1" customWidth="1"/>
    <col min="16136" max="16136" width="22.140625" style="4" bestFit="1" customWidth="1"/>
    <col min="16137" max="16137" width="24.140625" style="4" bestFit="1" customWidth="1"/>
    <col min="16138" max="16138" width="10.7109375" style="4" bestFit="1" customWidth="1"/>
    <col min="16139" max="16139" width="20" style="4" bestFit="1" customWidth="1"/>
    <col min="16140" max="16140" width="11.85546875" style="4" bestFit="1" customWidth="1"/>
    <col min="16141" max="16141" width="10.42578125" style="4" bestFit="1" customWidth="1"/>
    <col min="16142" max="16142" width="42.28515625" style="4" bestFit="1" customWidth="1"/>
    <col min="16143" max="16143" width="13.5703125" style="4" bestFit="1" customWidth="1"/>
    <col min="16144" max="16144" width="7.7109375" style="4" bestFit="1" customWidth="1"/>
    <col min="16145" max="16145" width="10.7109375" style="4" bestFit="1" customWidth="1"/>
    <col min="16146" max="16146" width="9.28515625" style="4" bestFit="1" customWidth="1"/>
    <col min="16147" max="16147" width="8.7109375" style="4" bestFit="1" customWidth="1"/>
    <col min="16148" max="16384" width="9.140625" style="4"/>
  </cols>
  <sheetData>
    <row r="1" spans="1:19" ht="25.5" customHeight="1" x14ac:dyDescent="0.2">
      <c r="A1" s="46" t="s">
        <v>222</v>
      </c>
      <c r="B1" s="47"/>
      <c r="C1" s="47"/>
      <c r="D1" s="48"/>
      <c r="E1" s="49"/>
      <c r="F1" s="50"/>
      <c r="G1" s="50"/>
      <c r="H1" s="51"/>
      <c r="I1" s="49" t="s">
        <v>223</v>
      </c>
      <c r="J1" s="51"/>
      <c r="K1" s="20"/>
      <c r="L1" s="24"/>
      <c r="M1" s="24"/>
      <c r="N1" s="24"/>
      <c r="O1" s="24"/>
      <c r="P1" s="25"/>
      <c r="Q1" s="26"/>
      <c r="R1" s="25"/>
      <c r="S1" s="19" t="s">
        <v>8</v>
      </c>
    </row>
    <row r="2" spans="1:19" ht="15.75" customHeight="1" x14ac:dyDescent="0.2">
      <c r="A2" s="20"/>
      <c r="B2" s="21"/>
      <c r="C2" s="21"/>
      <c r="D2" s="21"/>
      <c r="E2" s="21"/>
      <c r="F2" s="22">
        <v>0.1</v>
      </c>
      <c r="G2" s="22">
        <v>0.15</v>
      </c>
      <c r="H2" s="21"/>
      <c r="I2" s="22">
        <v>0.13</v>
      </c>
      <c r="J2" s="21"/>
      <c r="K2" s="21"/>
      <c r="L2" s="23"/>
      <c r="M2" s="23"/>
      <c r="N2" s="23"/>
      <c r="O2" s="23"/>
      <c r="P2" s="23"/>
      <c r="Q2" s="23"/>
      <c r="R2" s="24"/>
      <c r="S2" s="19" t="s">
        <v>8</v>
      </c>
    </row>
    <row r="3" spans="1:19" ht="25.5" customHeight="1" x14ac:dyDescent="0.2">
      <c r="A3" s="1" t="s">
        <v>1</v>
      </c>
      <c r="B3" s="1" t="s">
        <v>212</v>
      </c>
      <c r="C3" s="1" t="s">
        <v>213</v>
      </c>
      <c r="D3" s="1" t="s">
        <v>214</v>
      </c>
      <c r="E3" s="15" t="s">
        <v>0</v>
      </c>
      <c r="F3" s="15" t="s">
        <v>217</v>
      </c>
      <c r="G3" s="15" t="s">
        <v>218</v>
      </c>
      <c r="H3" s="15" t="s">
        <v>220</v>
      </c>
      <c r="I3" s="15" t="s">
        <v>219</v>
      </c>
      <c r="J3" s="15" t="s">
        <v>221</v>
      </c>
      <c r="K3" s="2" t="s">
        <v>2</v>
      </c>
      <c r="L3" s="2" t="s">
        <v>3</v>
      </c>
      <c r="M3" s="2" t="s">
        <v>4</v>
      </c>
      <c r="N3" s="2" t="s">
        <v>5</v>
      </c>
      <c r="O3" s="2" t="s">
        <v>6</v>
      </c>
      <c r="P3" s="1" t="s">
        <v>215</v>
      </c>
      <c r="Q3" s="3" t="s">
        <v>7</v>
      </c>
      <c r="R3" s="1" t="s">
        <v>216</v>
      </c>
      <c r="S3" s="1" t="s">
        <v>8</v>
      </c>
    </row>
    <row r="4" spans="1:19" ht="15" x14ac:dyDescent="0.25">
      <c r="A4" s="10">
        <v>101</v>
      </c>
      <c r="B4" s="12" t="s">
        <v>68</v>
      </c>
      <c r="C4" s="12" t="s">
        <v>69</v>
      </c>
      <c r="D4" s="12" t="s">
        <v>70</v>
      </c>
      <c r="E4" s="16">
        <f>LOOKUP(M4,Справочники!$B$2:$B$35,Справочники!$C$2:$C$35)</f>
        <v>12000</v>
      </c>
      <c r="F4" s="16">
        <f t="shared" ref="F4:F35" ca="1" si="0">IF(P4&gt;=5, E4*$F$2, )</f>
        <v>1200</v>
      </c>
      <c r="G4" s="16">
        <f t="shared" ref="G4:G35" si="1">E4*$G$2</f>
        <v>1800</v>
      </c>
      <c r="H4" s="16">
        <f t="shared" ref="H4:H35" ca="1" si="2">E4+F4+G4</f>
        <v>15000</v>
      </c>
      <c r="I4" s="16">
        <f t="shared" ref="I4:I35" ca="1" si="3">H4*$I$2</f>
        <v>1950</v>
      </c>
      <c r="J4" s="16">
        <f t="shared" ref="J4:J35" ca="1" si="4">H4-I4</f>
        <v>13050</v>
      </c>
      <c r="K4" s="10" t="s">
        <v>9</v>
      </c>
      <c r="L4" s="10" t="str">
        <f>LOOKUP(M4,Справочники!$B$2:$B$35,Справочники!$A$2:$A$35)</f>
        <v>Бухгалтерия</v>
      </c>
      <c r="M4" s="6" t="s">
        <v>11</v>
      </c>
      <c r="N4" s="6" t="s">
        <v>14</v>
      </c>
      <c r="O4" s="11">
        <v>38944</v>
      </c>
      <c r="P4" s="10">
        <f t="shared" ref="P4:P35" ca="1" si="5">DATEDIF(O4, TODAY(),"Y")</f>
        <v>16</v>
      </c>
      <c r="Q4" s="11">
        <v>30198</v>
      </c>
      <c r="R4" s="10">
        <f t="shared" ref="R4:R35" ca="1" si="6">DATEDIF(Q4, TODAY(),"Y")</f>
        <v>40</v>
      </c>
      <c r="S4" s="10" t="str">
        <f>LOOKUP(L4,Справочники!$F$2:$F$10,Справочники!$H$2:$H$10)</f>
        <v>+7(8332)64-32-01</v>
      </c>
    </row>
    <row r="5" spans="1:19" ht="15" x14ac:dyDescent="0.25">
      <c r="A5" s="10">
        <v>105</v>
      </c>
      <c r="B5" s="12" t="s">
        <v>80</v>
      </c>
      <c r="C5" s="12" t="s">
        <v>81</v>
      </c>
      <c r="D5" s="12" t="s">
        <v>82</v>
      </c>
      <c r="E5" s="16">
        <f>LOOKUP(M5,Справочники!$B$2:$B$35,Справочники!$C$2:$C$35)</f>
        <v>17000</v>
      </c>
      <c r="F5" s="16">
        <f t="shared" ca="1" si="0"/>
        <v>1700</v>
      </c>
      <c r="G5" s="16">
        <f t="shared" si="1"/>
        <v>2550</v>
      </c>
      <c r="H5" s="16">
        <f t="shared" ca="1" si="2"/>
        <v>21250</v>
      </c>
      <c r="I5" s="16">
        <f t="shared" ca="1" si="3"/>
        <v>2762.5</v>
      </c>
      <c r="J5" s="16">
        <f t="shared" ca="1" si="4"/>
        <v>18487.5</v>
      </c>
      <c r="K5" s="10" t="s">
        <v>17</v>
      </c>
      <c r="L5" s="10" t="str">
        <f>LOOKUP(M5,Справочники!$B$2:$B$35,Справочники!$A$2:$A$35)</f>
        <v>Бухгалтерия</v>
      </c>
      <c r="M5" s="6" t="s">
        <v>18</v>
      </c>
      <c r="N5" s="6" t="s">
        <v>14</v>
      </c>
      <c r="O5" s="11">
        <v>41165</v>
      </c>
      <c r="P5" s="10">
        <f t="shared" ca="1" si="5"/>
        <v>10</v>
      </c>
      <c r="Q5" s="11">
        <v>31196</v>
      </c>
      <c r="R5" s="10">
        <f t="shared" ca="1" si="6"/>
        <v>37</v>
      </c>
      <c r="S5" s="10" t="str">
        <f>LOOKUP(L5,Справочники!$F$2:$F$10,Справочники!$H$2:$H$10)</f>
        <v>+7(8332)64-32-01</v>
      </c>
    </row>
    <row r="6" spans="1:19" ht="15" x14ac:dyDescent="0.25">
      <c r="A6" s="10">
        <v>130</v>
      </c>
      <c r="B6" s="12" t="s">
        <v>137</v>
      </c>
      <c r="C6" s="12" t="s">
        <v>138</v>
      </c>
      <c r="D6" s="12" t="s">
        <v>139</v>
      </c>
      <c r="E6" s="16">
        <f>LOOKUP(M6,Справочники!$B$2:$B$35,Справочники!$C$2:$C$35)</f>
        <v>15000</v>
      </c>
      <c r="F6" s="16">
        <f t="shared" ca="1" si="0"/>
        <v>1500</v>
      </c>
      <c r="G6" s="16">
        <f t="shared" si="1"/>
        <v>2250</v>
      </c>
      <c r="H6" s="16">
        <f t="shared" ca="1" si="2"/>
        <v>18750</v>
      </c>
      <c r="I6" s="16">
        <f t="shared" ca="1" si="3"/>
        <v>2437.5</v>
      </c>
      <c r="J6" s="16">
        <f t="shared" ca="1" si="4"/>
        <v>16312.5</v>
      </c>
      <c r="K6" s="10" t="s">
        <v>9</v>
      </c>
      <c r="L6" s="10" t="str">
        <f>LOOKUP(M6,Справочники!$B$2:$B$35,Справочники!$A$2:$A$35)</f>
        <v>Управление</v>
      </c>
      <c r="M6" s="6" t="s">
        <v>20</v>
      </c>
      <c r="N6" s="6" t="s">
        <v>25</v>
      </c>
      <c r="O6" s="11">
        <v>42765</v>
      </c>
      <c r="P6" s="10">
        <f t="shared" ca="1" si="5"/>
        <v>5</v>
      </c>
      <c r="Q6" s="11">
        <v>34714</v>
      </c>
      <c r="R6" s="10">
        <f t="shared" ca="1" si="6"/>
        <v>27</v>
      </c>
      <c r="S6" s="10" t="str">
        <f>LOOKUP(L6,Справочники!$F$2:$F$10,Справочники!$H$2:$H$10)</f>
        <v>+7(8332)64-32-18</v>
      </c>
    </row>
    <row r="7" spans="1:19" ht="15" x14ac:dyDescent="0.25">
      <c r="A7" s="10">
        <v>139</v>
      </c>
      <c r="B7" s="12" t="s">
        <v>157</v>
      </c>
      <c r="C7" s="12" t="s">
        <v>158</v>
      </c>
      <c r="D7" s="12" t="s">
        <v>159</v>
      </c>
      <c r="E7" s="16">
        <f>LOOKUP(M7,Справочники!$B$2:$B$35,Справочники!$C$2:$C$35)</f>
        <v>15000</v>
      </c>
      <c r="F7" s="16">
        <f t="shared" ca="1" si="0"/>
        <v>1500</v>
      </c>
      <c r="G7" s="16">
        <f t="shared" si="1"/>
        <v>2250</v>
      </c>
      <c r="H7" s="16">
        <f t="shared" ca="1" si="2"/>
        <v>18750</v>
      </c>
      <c r="I7" s="16">
        <f t="shared" ca="1" si="3"/>
        <v>2437.5</v>
      </c>
      <c r="J7" s="16">
        <f t="shared" ca="1" si="4"/>
        <v>16312.5</v>
      </c>
      <c r="K7" s="10" t="s">
        <v>9</v>
      </c>
      <c r="L7" s="10" t="str">
        <f>LOOKUP(M7,Справочники!$B$2:$B$35,Справочники!$A$2:$A$35)</f>
        <v>Управление</v>
      </c>
      <c r="M7" s="6" t="s">
        <v>20</v>
      </c>
      <c r="N7" s="6" t="s">
        <v>12</v>
      </c>
      <c r="O7" s="11">
        <v>41697</v>
      </c>
      <c r="P7" s="10">
        <f t="shared" ca="1" si="5"/>
        <v>8</v>
      </c>
      <c r="Q7" s="11">
        <v>33022</v>
      </c>
      <c r="R7" s="10">
        <f t="shared" ca="1" si="6"/>
        <v>32</v>
      </c>
      <c r="S7" s="10" t="str">
        <f>LOOKUP(L7,Справочники!$F$2:$F$10,Справочники!$H$2:$H$10)</f>
        <v>+7(8332)64-32-18</v>
      </c>
    </row>
    <row r="8" spans="1:19" ht="15" x14ac:dyDescent="0.25">
      <c r="A8" s="10">
        <v>107</v>
      </c>
      <c r="B8" s="12" t="s">
        <v>86</v>
      </c>
      <c r="C8" s="12" t="s">
        <v>87</v>
      </c>
      <c r="D8" s="12" t="s">
        <v>88</v>
      </c>
      <c r="E8" s="16">
        <f>LOOKUP(M8,Справочники!$B$2:$B$35,Справочники!$C$2:$C$35)</f>
        <v>15000</v>
      </c>
      <c r="F8" s="16">
        <f t="shared" ca="1" si="0"/>
        <v>1500</v>
      </c>
      <c r="G8" s="16">
        <f t="shared" si="1"/>
        <v>2250</v>
      </c>
      <c r="H8" s="16">
        <f t="shared" ca="1" si="2"/>
        <v>18750</v>
      </c>
      <c r="I8" s="16">
        <f t="shared" ca="1" si="3"/>
        <v>2437.5</v>
      </c>
      <c r="J8" s="16">
        <f t="shared" ca="1" si="4"/>
        <v>16312.5</v>
      </c>
      <c r="K8" s="10" t="s">
        <v>9</v>
      </c>
      <c r="L8" s="10" t="str">
        <f>LOOKUP(M8,Справочники!$B$2:$B$35,Справочники!$A$2:$A$35)</f>
        <v>Управление</v>
      </c>
      <c r="M8" s="6" t="s">
        <v>20</v>
      </c>
      <c r="N8" s="6" t="s">
        <v>12</v>
      </c>
      <c r="O8" s="11">
        <v>39956</v>
      </c>
      <c r="P8" s="10">
        <f t="shared" ca="1" si="5"/>
        <v>13</v>
      </c>
      <c r="Q8" s="11">
        <v>30254</v>
      </c>
      <c r="R8" s="10">
        <f t="shared" ca="1" si="6"/>
        <v>40</v>
      </c>
      <c r="S8" s="10" t="str">
        <f>LOOKUP(L8,Справочники!$F$2:$F$10,Справочники!$H$2:$H$10)</f>
        <v>+7(8332)64-32-18</v>
      </c>
    </row>
    <row r="9" spans="1:19" ht="15" x14ac:dyDescent="0.25">
      <c r="A9" s="10">
        <v>150</v>
      </c>
      <c r="B9" s="12" t="s">
        <v>182</v>
      </c>
      <c r="C9" s="12" t="s">
        <v>75</v>
      </c>
      <c r="D9" s="12" t="s">
        <v>76</v>
      </c>
      <c r="E9" s="16">
        <f>LOOKUP(M9,Справочники!$B$2:$B$35,Справочники!$C$2:$C$35)</f>
        <v>16000</v>
      </c>
      <c r="F9" s="16">
        <f t="shared" ca="1" si="0"/>
        <v>1600</v>
      </c>
      <c r="G9" s="16">
        <f t="shared" si="1"/>
        <v>2400</v>
      </c>
      <c r="H9" s="16">
        <f t="shared" ca="1" si="2"/>
        <v>20000</v>
      </c>
      <c r="I9" s="16">
        <f t="shared" ca="1" si="3"/>
        <v>2600</v>
      </c>
      <c r="J9" s="16">
        <f t="shared" ca="1" si="4"/>
        <v>17400</v>
      </c>
      <c r="K9" s="10" t="s">
        <v>9</v>
      </c>
      <c r="L9" s="10" t="str">
        <f>LOOKUP(M9,Справочники!$B$2:$B$35,Справочники!$A$2:$A$35)</f>
        <v>Редакторский отдел</v>
      </c>
      <c r="M9" s="6" t="s">
        <v>52</v>
      </c>
      <c r="N9" s="6" t="s">
        <v>14</v>
      </c>
      <c r="O9" s="11">
        <v>34714</v>
      </c>
      <c r="P9" s="10">
        <f t="shared" ca="1" si="5"/>
        <v>27</v>
      </c>
      <c r="Q9" s="11">
        <v>22250</v>
      </c>
      <c r="R9" s="10">
        <f t="shared" ca="1" si="6"/>
        <v>61</v>
      </c>
      <c r="S9" s="10" t="str">
        <f>LOOKUP(L9,Справочники!$F$2:$F$10,Справочники!$H$2:$H$10)</f>
        <v>+7(8332)64-32-01</v>
      </c>
    </row>
    <row r="10" spans="1:19" ht="15" x14ac:dyDescent="0.25">
      <c r="A10" s="10">
        <v>109</v>
      </c>
      <c r="B10" s="12" t="s">
        <v>92</v>
      </c>
      <c r="C10" s="12" t="s">
        <v>81</v>
      </c>
      <c r="D10" s="12" t="s">
        <v>93</v>
      </c>
      <c r="E10" s="16">
        <f>LOOKUP(M10,Справочники!$B$2:$B$35,Справочники!$C$2:$C$35)</f>
        <v>28000</v>
      </c>
      <c r="F10" s="16">
        <f t="shared" ca="1" si="0"/>
        <v>2800</v>
      </c>
      <c r="G10" s="16">
        <f t="shared" si="1"/>
        <v>4200</v>
      </c>
      <c r="H10" s="16">
        <f t="shared" ca="1" si="2"/>
        <v>35000</v>
      </c>
      <c r="I10" s="16">
        <f t="shared" ca="1" si="3"/>
        <v>4550</v>
      </c>
      <c r="J10" s="16">
        <f t="shared" ca="1" si="4"/>
        <v>30450</v>
      </c>
      <c r="K10" s="10" t="s">
        <v>17</v>
      </c>
      <c r="L10" s="10" t="str">
        <f>LOOKUP(M10,Справочники!$B$2:$B$35,Справочники!$A$2:$A$35)</f>
        <v>Управление</v>
      </c>
      <c r="M10" s="6" t="s">
        <v>22</v>
      </c>
      <c r="N10" s="6" t="s">
        <v>14</v>
      </c>
      <c r="O10" s="11">
        <v>39103</v>
      </c>
      <c r="P10" s="10">
        <f t="shared" ca="1" si="5"/>
        <v>15</v>
      </c>
      <c r="Q10" s="11">
        <v>27786</v>
      </c>
      <c r="R10" s="10">
        <f t="shared" ca="1" si="6"/>
        <v>46</v>
      </c>
      <c r="S10" s="10" t="str">
        <f>LOOKUP(L10,Справочники!$F$2:$F$10,Справочники!$H$2:$H$10)</f>
        <v>+7(8332)64-32-18</v>
      </c>
    </row>
    <row r="11" spans="1:19" ht="15" x14ac:dyDescent="0.25">
      <c r="A11" s="10">
        <v>102</v>
      </c>
      <c r="B11" s="12" t="s">
        <v>71</v>
      </c>
      <c r="C11" s="12" t="s">
        <v>72</v>
      </c>
      <c r="D11" s="12" t="s">
        <v>73</v>
      </c>
      <c r="E11" s="16">
        <f>LOOKUP(M11,Справочники!$B$2:$B$35,Справочники!$C$2:$C$35)</f>
        <v>20000</v>
      </c>
      <c r="F11" s="16">
        <f t="shared" ca="1" si="0"/>
        <v>2000</v>
      </c>
      <c r="G11" s="16">
        <f t="shared" si="1"/>
        <v>3000</v>
      </c>
      <c r="H11" s="16">
        <f t="shared" ca="1" si="2"/>
        <v>25000</v>
      </c>
      <c r="I11" s="16">
        <f t="shared" ca="1" si="3"/>
        <v>3250</v>
      </c>
      <c r="J11" s="16">
        <f t="shared" ca="1" si="4"/>
        <v>21750</v>
      </c>
      <c r="K11" s="10" t="s">
        <v>9</v>
      </c>
      <c r="L11" s="10" t="str">
        <f>LOOKUP(M11,Справочники!$B$2:$B$35,Справочники!$A$2:$A$35)</f>
        <v>Бухгалтерия</v>
      </c>
      <c r="M11" s="6" t="s">
        <v>13</v>
      </c>
      <c r="N11" s="6" t="s">
        <v>14</v>
      </c>
      <c r="O11" s="11">
        <v>34380</v>
      </c>
      <c r="P11" s="10">
        <f t="shared" ca="1" si="5"/>
        <v>28</v>
      </c>
      <c r="Q11" s="11">
        <v>25186</v>
      </c>
      <c r="R11" s="10">
        <f t="shared" ca="1" si="6"/>
        <v>53</v>
      </c>
      <c r="S11" s="10" t="str">
        <f>LOOKUP(L11,Справочники!$F$2:$F$10,Справочники!$H$2:$H$10)</f>
        <v>+7(8332)64-32-01</v>
      </c>
    </row>
    <row r="12" spans="1:19" ht="15" x14ac:dyDescent="0.25">
      <c r="A12" s="10">
        <v>143</v>
      </c>
      <c r="B12" s="12" t="s">
        <v>167</v>
      </c>
      <c r="C12" s="12" t="s">
        <v>168</v>
      </c>
      <c r="D12" s="12" t="s">
        <v>169</v>
      </c>
      <c r="E12" s="16">
        <f>LOOKUP(M12,Справочники!$B$2:$B$35,Справочники!$C$2:$C$35)</f>
        <v>11000</v>
      </c>
      <c r="F12" s="16">
        <f t="shared" ca="1" si="0"/>
        <v>1100</v>
      </c>
      <c r="G12" s="16">
        <f t="shared" si="1"/>
        <v>1650</v>
      </c>
      <c r="H12" s="16">
        <f t="shared" ca="1" si="2"/>
        <v>13750</v>
      </c>
      <c r="I12" s="16">
        <f t="shared" ca="1" si="3"/>
        <v>1787.5</v>
      </c>
      <c r="J12" s="16">
        <f t="shared" ca="1" si="4"/>
        <v>11962.5</v>
      </c>
      <c r="K12" s="10" t="s">
        <v>17</v>
      </c>
      <c r="L12" s="10" t="str">
        <f>LOOKUP(M12,Справочники!$B$2:$B$35,Справочники!$A$2:$A$35)</f>
        <v>Склад</v>
      </c>
      <c r="M12" s="6" t="s">
        <v>47</v>
      </c>
      <c r="N12" s="6" t="s">
        <v>33</v>
      </c>
      <c r="O12" s="11">
        <v>42016</v>
      </c>
      <c r="P12" s="10">
        <f t="shared" ca="1" si="5"/>
        <v>7</v>
      </c>
      <c r="Q12" s="11">
        <v>30232</v>
      </c>
      <c r="R12" s="10">
        <f t="shared" ca="1" si="6"/>
        <v>40</v>
      </c>
      <c r="S12" s="10" t="str">
        <f>LOOKUP(L12,Справочники!$F$2:$F$10,Справочники!$H$2:$H$10)</f>
        <v>+7(8332)64-32-23</v>
      </c>
    </row>
    <row r="13" spans="1:19" ht="15" x14ac:dyDescent="0.25">
      <c r="A13" s="10">
        <v>134</v>
      </c>
      <c r="B13" s="12" t="s">
        <v>146</v>
      </c>
      <c r="C13" s="12" t="s">
        <v>147</v>
      </c>
      <c r="D13" s="12" t="s">
        <v>148</v>
      </c>
      <c r="E13" s="16">
        <f>LOOKUP(M13,Справочники!$B$2:$B$35,Справочники!$C$2:$C$35)</f>
        <v>20000</v>
      </c>
      <c r="F13" s="16">
        <f t="shared" ca="1" si="0"/>
        <v>2000</v>
      </c>
      <c r="G13" s="16">
        <f t="shared" si="1"/>
        <v>3000</v>
      </c>
      <c r="H13" s="16">
        <f t="shared" ca="1" si="2"/>
        <v>25000</v>
      </c>
      <c r="I13" s="16">
        <f t="shared" ca="1" si="3"/>
        <v>3250</v>
      </c>
      <c r="J13" s="16">
        <f t="shared" ca="1" si="4"/>
        <v>21750</v>
      </c>
      <c r="K13" s="10" t="s">
        <v>9</v>
      </c>
      <c r="L13" s="10" t="str">
        <f>LOOKUP(M13,Справочники!$B$2:$B$35,Справочники!$A$2:$A$35)</f>
        <v>Технологический отдел</v>
      </c>
      <c r="M13" s="6" t="s">
        <v>38</v>
      </c>
      <c r="N13" s="6" t="s">
        <v>14</v>
      </c>
      <c r="O13" s="11">
        <v>35208</v>
      </c>
      <c r="P13" s="10">
        <f t="shared" ca="1" si="5"/>
        <v>26</v>
      </c>
      <c r="Q13" s="11">
        <v>25186</v>
      </c>
      <c r="R13" s="10">
        <f t="shared" ca="1" si="6"/>
        <v>53</v>
      </c>
      <c r="S13" s="10" t="str">
        <f>LOOKUP(L13,Справочники!$F$2:$F$10,Справочники!$H$2:$H$10)</f>
        <v>+7(8332)64-32-18</v>
      </c>
    </row>
    <row r="14" spans="1:19" ht="15" x14ac:dyDescent="0.25">
      <c r="A14" s="10">
        <v>142</v>
      </c>
      <c r="B14" s="12" t="s">
        <v>165</v>
      </c>
      <c r="C14" s="12" t="s">
        <v>166</v>
      </c>
      <c r="D14" s="12" t="s">
        <v>127</v>
      </c>
      <c r="E14" s="16">
        <f>LOOKUP(M14,Справочники!$B$2:$B$35,Справочники!$C$2:$C$35)</f>
        <v>15000</v>
      </c>
      <c r="F14" s="16">
        <f t="shared" ca="1" si="0"/>
        <v>1500</v>
      </c>
      <c r="G14" s="16">
        <f t="shared" si="1"/>
        <v>2250</v>
      </c>
      <c r="H14" s="16">
        <f t="shared" ca="1" si="2"/>
        <v>18750</v>
      </c>
      <c r="I14" s="16">
        <f t="shared" ca="1" si="3"/>
        <v>2437.5</v>
      </c>
      <c r="J14" s="16">
        <f t="shared" ca="1" si="4"/>
        <v>16312.5</v>
      </c>
      <c r="K14" s="10" t="s">
        <v>9</v>
      </c>
      <c r="L14" s="10" t="str">
        <f>LOOKUP(M14,Справочники!$B$2:$B$35,Справочники!$A$2:$A$35)</f>
        <v>Склад</v>
      </c>
      <c r="M14" s="6" t="s">
        <v>46</v>
      </c>
      <c r="N14" s="6" t="s">
        <v>33</v>
      </c>
      <c r="O14" s="11">
        <v>34955</v>
      </c>
      <c r="P14" s="10">
        <f t="shared" ca="1" si="5"/>
        <v>27</v>
      </c>
      <c r="Q14" s="11">
        <v>24134</v>
      </c>
      <c r="R14" s="10">
        <f t="shared" ca="1" si="6"/>
        <v>56</v>
      </c>
      <c r="S14" s="10" t="str">
        <f>LOOKUP(L14,Справочники!$F$2:$F$10,Справочники!$H$2:$H$10)</f>
        <v>+7(8332)64-32-23</v>
      </c>
    </row>
    <row r="15" spans="1:19" ht="15" x14ac:dyDescent="0.25">
      <c r="A15" s="10">
        <v>114</v>
      </c>
      <c r="B15" s="12" t="s">
        <v>104</v>
      </c>
      <c r="C15" s="12" t="s">
        <v>105</v>
      </c>
      <c r="D15" s="12" t="s">
        <v>106</v>
      </c>
      <c r="E15" s="16">
        <f>LOOKUP(M15,Справочники!$B$2:$B$35,Справочники!$C$2:$C$35)</f>
        <v>22000</v>
      </c>
      <c r="F15" s="16">
        <f t="shared" ca="1" si="0"/>
        <v>0</v>
      </c>
      <c r="G15" s="16">
        <f t="shared" si="1"/>
        <v>3300</v>
      </c>
      <c r="H15" s="16">
        <f t="shared" ca="1" si="2"/>
        <v>25300</v>
      </c>
      <c r="I15" s="16">
        <f t="shared" ca="1" si="3"/>
        <v>3289</v>
      </c>
      <c r="J15" s="16">
        <f t="shared" ca="1" si="4"/>
        <v>22011</v>
      </c>
      <c r="K15" s="10" t="s">
        <v>9</v>
      </c>
      <c r="L15" s="10" t="str">
        <f>LOOKUP(M15,Справочники!$B$2:$B$35,Справочники!$A$2:$A$35)</f>
        <v>Технологический отдел</v>
      </c>
      <c r="M15" s="6" t="s">
        <v>30</v>
      </c>
      <c r="N15" s="6" t="s">
        <v>14</v>
      </c>
      <c r="O15" s="11">
        <v>43356</v>
      </c>
      <c r="P15" s="10">
        <f t="shared" ca="1" si="5"/>
        <v>4</v>
      </c>
      <c r="Q15" s="11">
        <v>24300</v>
      </c>
      <c r="R15" s="10">
        <f t="shared" ca="1" si="6"/>
        <v>56</v>
      </c>
      <c r="S15" s="10" t="str">
        <f>LOOKUP(L15,Справочники!$F$2:$F$10,Справочники!$H$2:$H$10)</f>
        <v>+7(8332)64-32-18</v>
      </c>
    </row>
    <row r="16" spans="1:19" ht="15" x14ac:dyDescent="0.25">
      <c r="A16" s="10">
        <v>108</v>
      </c>
      <c r="B16" s="12" t="s">
        <v>89</v>
      </c>
      <c r="C16" s="12" t="s">
        <v>90</v>
      </c>
      <c r="D16" s="12" t="s">
        <v>91</v>
      </c>
      <c r="E16" s="16">
        <f>LOOKUP(M16,Справочники!$B$2:$B$35,Справочники!$C$2:$C$35)</f>
        <v>35000</v>
      </c>
      <c r="F16" s="16">
        <f t="shared" ca="1" si="0"/>
        <v>3500</v>
      </c>
      <c r="G16" s="16">
        <f t="shared" si="1"/>
        <v>5250</v>
      </c>
      <c r="H16" s="16">
        <f t="shared" ca="1" si="2"/>
        <v>43750</v>
      </c>
      <c r="I16" s="16">
        <f t="shared" ca="1" si="3"/>
        <v>5687.5</v>
      </c>
      <c r="J16" s="16">
        <f t="shared" ca="1" si="4"/>
        <v>38062.5</v>
      </c>
      <c r="K16" s="10" t="s">
        <v>17</v>
      </c>
      <c r="L16" s="10" t="str">
        <f>LOOKUP(M16,Справочники!$B$2:$B$35,Справочники!$A$2:$A$35)</f>
        <v>Управление</v>
      </c>
      <c r="M16" s="6" t="s">
        <v>21</v>
      </c>
      <c r="N16" s="6" t="s">
        <v>14</v>
      </c>
      <c r="O16" s="11">
        <v>38579</v>
      </c>
      <c r="P16" s="10">
        <f t="shared" ca="1" si="5"/>
        <v>17</v>
      </c>
      <c r="Q16" s="11">
        <v>28499</v>
      </c>
      <c r="R16" s="10">
        <f t="shared" ca="1" si="6"/>
        <v>44</v>
      </c>
      <c r="S16" s="10" t="str">
        <f>LOOKUP(L16,Справочники!$F$2:$F$10,Справочники!$H$2:$H$10)</f>
        <v>+7(8332)64-32-18</v>
      </c>
    </row>
    <row r="17" spans="1:19" ht="15" x14ac:dyDescent="0.25">
      <c r="A17" s="10">
        <v>103</v>
      </c>
      <c r="B17" s="12" t="s">
        <v>74</v>
      </c>
      <c r="C17" s="12" t="s">
        <v>75</v>
      </c>
      <c r="D17" s="12" t="s">
        <v>76</v>
      </c>
      <c r="E17" s="16">
        <f>LOOKUP(M17,Справочники!$B$2:$B$35,Справочники!$C$2:$C$35)</f>
        <v>12000</v>
      </c>
      <c r="F17" s="16">
        <f t="shared" ca="1" si="0"/>
        <v>1200</v>
      </c>
      <c r="G17" s="16">
        <f t="shared" si="1"/>
        <v>1800</v>
      </c>
      <c r="H17" s="16">
        <f t="shared" ca="1" si="2"/>
        <v>15000</v>
      </c>
      <c r="I17" s="16">
        <f t="shared" ca="1" si="3"/>
        <v>1950</v>
      </c>
      <c r="J17" s="16">
        <f t="shared" ca="1" si="4"/>
        <v>13050</v>
      </c>
      <c r="K17" s="10" t="s">
        <v>9</v>
      </c>
      <c r="L17" s="10" t="str">
        <f>LOOKUP(M17,Справочники!$B$2:$B$35,Справочники!$A$2:$A$35)</f>
        <v>Бухгалтерия</v>
      </c>
      <c r="M17" s="6" t="s">
        <v>15</v>
      </c>
      <c r="N17" s="6" t="s">
        <v>12</v>
      </c>
      <c r="O17" s="11">
        <v>42962</v>
      </c>
      <c r="P17" s="10">
        <f t="shared" ca="1" si="5"/>
        <v>5</v>
      </c>
      <c r="Q17" s="11">
        <v>34762</v>
      </c>
      <c r="R17" s="10">
        <f t="shared" ca="1" si="6"/>
        <v>27</v>
      </c>
      <c r="S17" s="10" t="str">
        <f>LOOKUP(L17,Справочники!$F$2:$F$10,Справочники!$H$2:$H$10)</f>
        <v>+7(8332)64-32-01</v>
      </c>
    </row>
    <row r="18" spans="1:19" ht="15" x14ac:dyDescent="0.25">
      <c r="A18" s="10">
        <v>144</v>
      </c>
      <c r="B18" s="12" t="s">
        <v>170</v>
      </c>
      <c r="C18" s="12" t="s">
        <v>164</v>
      </c>
      <c r="D18" s="12" t="s">
        <v>171</v>
      </c>
      <c r="E18" s="16">
        <f>LOOKUP(M18,Справочники!$B$2:$B$35,Справочники!$C$2:$C$35)</f>
        <v>11000</v>
      </c>
      <c r="F18" s="16">
        <f t="shared" ca="1" si="0"/>
        <v>0</v>
      </c>
      <c r="G18" s="16">
        <f t="shared" si="1"/>
        <v>1650</v>
      </c>
      <c r="H18" s="16">
        <f t="shared" ca="1" si="2"/>
        <v>12650</v>
      </c>
      <c r="I18" s="16">
        <f t="shared" ca="1" si="3"/>
        <v>1644.5</v>
      </c>
      <c r="J18" s="16">
        <f t="shared" ca="1" si="4"/>
        <v>11005.5</v>
      </c>
      <c r="K18" s="10" t="s">
        <v>17</v>
      </c>
      <c r="L18" s="10" t="str">
        <f>LOOKUP(M18,Справочники!$B$2:$B$35,Справочники!$A$2:$A$35)</f>
        <v>Склад</v>
      </c>
      <c r="M18" s="6" t="s">
        <v>47</v>
      </c>
      <c r="N18" s="6" t="s">
        <v>33</v>
      </c>
      <c r="O18" s="11">
        <v>43115</v>
      </c>
      <c r="P18" s="10">
        <f t="shared" ca="1" si="5"/>
        <v>4</v>
      </c>
      <c r="Q18" s="11">
        <v>33207</v>
      </c>
      <c r="R18" s="10">
        <f t="shared" ca="1" si="6"/>
        <v>31</v>
      </c>
      <c r="S18" s="10" t="str">
        <f>LOOKUP(L18,Справочники!$F$2:$F$10,Справочники!$H$2:$H$10)</f>
        <v>+7(8332)64-32-23</v>
      </c>
    </row>
    <row r="19" spans="1:19" ht="15" x14ac:dyDescent="0.25">
      <c r="A19" s="10">
        <v>132</v>
      </c>
      <c r="B19" s="12" t="s">
        <v>143</v>
      </c>
      <c r="C19" s="12" t="s">
        <v>141</v>
      </c>
      <c r="D19" s="12" t="s">
        <v>85</v>
      </c>
      <c r="E19" s="16">
        <f>LOOKUP(M19,Справочники!$B$2:$B$35,Справочники!$C$2:$C$35)</f>
        <v>15000</v>
      </c>
      <c r="F19" s="16">
        <f t="shared" ca="1" si="0"/>
        <v>1500</v>
      </c>
      <c r="G19" s="16">
        <f t="shared" si="1"/>
        <v>2250</v>
      </c>
      <c r="H19" s="16">
        <f t="shared" ca="1" si="2"/>
        <v>18750</v>
      </c>
      <c r="I19" s="16">
        <f t="shared" ca="1" si="3"/>
        <v>2437.5</v>
      </c>
      <c r="J19" s="16">
        <f t="shared" ca="1" si="4"/>
        <v>16312.5</v>
      </c>
      <c r="K19" s="10" t="s">
        <v>17</v>
      </c>
      <c r="L19" s="10" t="str">
        <f>LOOKUP(M19,Справочники!$B$2:$B$35,Справочники!$A$2:$A$35)</f>
        <v>Отдел продаж</v>
      </c>
      <c r="M19" s="6" t="s">
        <v>42</v>
      </c>
      <c r="N19" s="6" t="s">
        <v>12</v>
      </c>
      <c r="O19" s="11">
        <v>41306</v>
      </c>
      <c r="P19" s="10">
        <f t="shared" ca="1" si="5"/>
        <v>9</v>
      </c>
      <c r="Q19" s="11">
        <v>33115</v>
      </c>
      <c r="R19" s="10">
        <f t="shared" ca="1" si="6"/>
        <v>32</v>
      </c>
      <c r="S19" s="10" t="str">
        <f>LOOKUP(L19,Справочники!$F$2:$F$10,Справочники!$H$2:$H$10)</f>
        <v>+7(8332)64-32-01</v>
      </c>
    </row>
    <row r="20" spans="1:19" ht="15" x14ac:dyDescent="0.25">
      <c r="A20" s="10">
        <v>151</v>
      </c>
      <c r="B20" s="12" t="s">
        <v>183</v>
      </c>
      <c r="C20" s="12" t="s">
        <v>161</v>
      </c>
      <c r="D20" s="12" t="s">
        <v>184</v>
      </c>
      <c r="E20" s="16">
        <f>LOOKUP(M20,Справочники!$B$2:$B$35,Справочники!$C$2:$C$35)</f>
        <v>19000</v>
      </c>
      <c r="F20" s="16">
        <f t="shared" ca="1" si="0"/>
        <v>1900</v>
      </c>
      <c r="G20" s="16">
        <f t="shared" si="1"/>
        <v>2850</v>
      </c>
      <c r="H20" s="16">
        <f t="shared" ca="1" si="2"/>
        <v>23750</v>
      </c>
      <c r="I20" s="16">
        <f t="shared" ca="1" si="3"/>
        <v>3087.5</v>
      </c>
      <c r="J20" s="16">
        <f t="shared" ca="1" si="4"/>
        <v>20662.5</v>
      </c>
      <c r="K20" s="10" t="s">
        <v>9</v>
      </c>
      <c r="L20" s="10" t="str">
        <f>LOOKUP(M20,Справочники!$B$2:$B$35,Справочники!$A$2:$A$35)</f>
        <v>Редакторский отдел</v>
      </c>
      <c r="M20" s="7" t="s">
        <v>53</v>
      </c>
      <c r="N20" s="6" t="s">
        <v>25</v>
      </c>
      <c r="O20" s="11">
        <v>35445</v>
      </c>
      <c r="P20" s="10">
        <f t="shared" ca="1" si="5"/>
        <v>25</v>
      </c>
      <c r="Q20" s="11">
        <v>26821</v>
      </c>
      <c r="R20" s="10">
        <f t="shared" ca="1" si="6"/>
        <v>49</v>
      </c>
      <c r="S20" s="10" t="str">
        <f>LOOKUP(L20,Справочники!$F$2:$F$10,Справочники!$H$2:$H$10)</f>
        <v>+7(8332)64-32-01</v>
      </c>
    </row>
    <row r="21" spans="1:19" ht="15" x14ac:dyDescent="0.25">
      <c r="A21" s="10">
        <v>161</v>
      </c>
      <c r="B21" s="12" t="s">
        <v>204</v>
      </c>
      <c r="C21" s="12" t="s">
        <v>205</v>
      </c>
      <c r="D21" s="12" t="s">
        <v>145</v>
      </c>
      <c r="E21" s="16">
        <f>LOOKUP(M21,Справочники!$B$2:$B$35,Справочники!$C$2:$C$35)</f>
        <v>12000</v>
      </c>
      <c r="F21" s="16">
        <f t="shared" ca="1" si="0"/>
        <v>1200</v>
      </c>
      <c r="G21" s="16">
        <f t="shared" si="1"/>
        <v>1800</v>
      </c>
      <c r="H21" s="16">
        <f t="shared" ca="1" si="2"/>
        <v>15000</v>
      </c>
      <c r="I21" s="16">
        <f t="shared" ca="1" si="3"/>
        <v>1950</v>
      </c>
      <c r="J21" s="16">
        <f t="shared" ca="1" si="4"/>
        <v>13050</v>
      </c>
      <c r="K21" s="10" t="s">
        <v>17</v>
      </c>
      <c r="L21" s="10" t="str">
        <f>LOOKUP(M21,Справочники!$B$2:$B$35,Справочники!$A$2:$A$35)</f>
        <v>Транспортный отдел</v>
      </c>
      <c r="M21" s="6" t="s">
        <v>50</v>
      </c>
      <c r="N21" s="6" t="s">
        <v>12</v>
      </c>
      <c r="O21" s="11">
        <v>31108</v>
      </c>
      <c r="P21" s="10">
        <f t="shared" ca="1" si="5"/>
        <v>37</v>
      </c>
      <c r="Q21" s="11">
        <v>23891</v>
      </c>
      <c r="R21" s="10">
        <f t="shared" ca="1" si="6"/>
        <v>57</v>
      </c>
      <c r="S21" s="10" t="str">
        <f>LOOKUP(L21,Справочники!$F$2:$F$10,Справочники!$H$2:$H$10)</f>
        <v>+7(8332)64-32-18</v>
      </c>
    </row>
    <row r="22" spans="1:19" ht="15" x14ac:dyDescent="0.25">
      <c r="A22" s="10">
        <v>152</v>
      </c>
      <c r="B22" s="12" t="s">
        <v>185</v>
      </c>
      <c r="C22" s="12" t="s">
        <v>186</v>
      </c>
      <c r="D22" s="12" t="s">
        <v>76</v>
      </c>
      <c r="E22" s="16">
        <f>LOOKUP(M22,Справочники!$B$2:$B$35,Справочники!$C$2:$C$35)</f>
        <v>14000</v>
      </c>
      <c r="F22" s="16">
        <f t="shared" ca="1" si="0"/>
        <v>1400</v>
      </c>
      <c r="G22" s="16">
        <f t="shared" si="1"/>
        <v>2100</v>
      </c>
      <c r="H22" s="16">
        <f t="shared" ca="1" si="2"/>
        <v>17500</v>
      </c>
      <c r="I22" s="16">
        <f t="shared" ca="1" si="3"/>
        <v>2275</v>
      </c>
      <c r="J22" s="16">
        <f t="shared" ca="1" si="4"/>
        <v>15225</v>
      </c>
      <c r="K22" s="10" t="s">
        <v>9</v>
      </c>
      <c r="L22" s="10" t="str">
        <f>LOOKUP(M22,Справочники!$B$2:$B$35,Справочники!$A$2:$A$35)</f>
        <v>Редакторский отдел</v>
      </c>
      <c r="M22" s="7" t="s">
        <v>54</v>
      </c>
      <c r="N22" s="6" t="s">
        <v>25</v>
      </c>
      <c r="O22" s="11">
        <v>40998</v>
      </c>
      <c r="P22" s="10">
        <f t="shared" ca="1" si="5"/>
        <v>10</v>
      </c>
      <c r="Q22" s="11">
        <v>30213</v>
      </c>
      <c r="R22" s="10">
        <f t="shared" ca="1" si="6"/>
        <v>40</v>
      </c>
      <c r="S22" s="10" t="str">
        <f>LOOKUP(L22,Справочники!$F$2:$F$10,Справочники!$H$2:$H$10)</f>
        <v>+7(8332)64-32-01</v>
      </c>
    </row>
    <row r="23" spans="1:19" ht="15" x14ac:dyDescent="0.25">
      <c r="A23" s="10">
        <v>115</v>
      </c>
      <c r="B23" s="12" t="s">
        <v>107</v>
      </c>
      <c r="C23" s="12" t="s">
        <v>108</v>
      </c>
      <c r="D23" s="12" t="s">
        <v>76</v>
      </c>
      <c r="E23" s="16">
        <f>LOOKUP(M23,Справочники!$B$2:$B$35,Справочники!$C$2:$C$35)</f>
        <v>12000</v>
      </c>
      <c r="F23" s="16">
        <f t="shared" ca="1" si="0"/>
        <v>1200</v>
      </c>
      <c r="G23" s="16">
        <f t="shared" si="1"/>
        <v>1800</v>
      </c>
      <c r="H23" s="16">
        <f t="shared" ca="1" si="2"/>
        <v>15000</v>
      </c>
      <c r="I23" s="16">
        <f t="shared" ca="1" si="3"/>
        <v>1950</v>
      </c>
      <c r="J23" s="16">
        <f t="shared" ca="1" si="4"/>
        <v>13050</v>
      </c>
      <c r="K23" s="10" t="s">
        <v>9</v>
      </c>
      <c r="L23" s="10" t="str">
        <f>LOOKUP(M23,Справочники!$B$2:$B$35,Справочники!$A$2:$A$35)</f>
        <v>Технологический отдел</v>
      </c>
      <c r="M23" s="6" t="s">
        <v>31</v>
      </c>
      <c r="N23" s="6" t="s">
        <v>12</v>
      </c>
      <c r="O23" s="11">
        <v>35096</v>
      </c>
      <c r="P23" s="10">
        <f t="shared" ca="1" si="5"/>
        <v>26</v>
      </c>
      <c r="Q23" s="11">
        <v>26553</v>
      </c>
      <c r="R23" s="10">
        <f t="shared" ca="1" si="6"/>
        <v>50</v>
      </c>
      <c r="S23" s="10" t="str">
        <f>LOOKUP(L23,Справочники!$F$2:$F$10,Справочники!$H$2:$H$10)</f>
        <v>+7(8332)64-32-18</v>
      </c>
    </row>
    <row r="24" spans="1:19" ht="15" x14ac:dyDescent="0.25">
      <c r="A24" s="10">
        <v>141</v>
      </c>
      <c r="B24" s="12" t="s">
        <v>163</v>
      </c>
      <c r="C24" s="12" t="s">
        <v>164</v>
      </c>
      <c r="D24" s="12" t="s">
        <v>93</v>
      </c>
      <c r="E24" s="16">
        <f>LOOKUP(M24,Справочники!$B$2:$B$35,Справочники!$C$2:$C$35)</f>
        <v>18000</v>
      </c>
      <c r="F24" s="16">
        <f t="shared" ca="1" si="0"/>
        <v>1800</v>
      </c>
      <c r="G24" s="16">
        <f t="shared" si="1"/>
        <v>2700</v>
      </c>
      <c r="H24" s="16">
        <f t="shared" ca="1" si="2"/>
        <v>22500</v>
      </c>
      <c r="I24" s="16">
        <f t="shared" ca="1" si="3"/>
        <v>2925</v>
      </c>
      <c r="J24" s="16">
        <f t="shared" ca="1" si="4"/>
        <v>19575</v>
      </c>
      <c r="K24" s="10" t="s">
        <v>17</v>
      </c>
      <c r="L24" s="10" t="str">
        <f>LOOKUP(M24,Справочники!$B$2:$B$35,Справочники!$A$2:$A$35)</f>
        <v>Отдел худ. оформления</v>
      </c>
      <c r="M24" s="6" t="s">
        <v>44</v>
      </c>
      <c r="N24" s="6" t="s">
        <v>14</v>
      </c>
      <c r="O24" s="11">
        <v>35290</v>
      </c>
      <c r="P24" s="10">
        <f t="shared" ca="1" si="5"/>
        <v>26</v>
      </c>
      <c r="Q24" s="11">
        <v>27405</v>
      </c>
      <c r="R24" s="10">
        <f t="shared" ca="1" si="6"/>
        <v>47</v>
      </c>
      <c r="S24" s="10" t="str">
        <f>LOOKUP(L24,Справочники!$F$2:$F$10,Справочники!$H$2:$H$10)</f>
        <v>+7(8332)64-32-01</v>
      </c>
    </row>
    <row r="25" spans="1:19" ht="15" x14ac:dyDescent="0.25">
      <c r="A25" s="10">
        <v>131</v>
      </c>
      <c r="B25" s="12" t="s">
        <v>140</v>
      </c>
      <c r="C25" s="12" t="s">
        <v>141</v>
      </c>
      <c r="D25" s="12" t="s">
        <v>142</v>
      </c>
      <c r="E25" s="16">
        <f>LOOKUP(M25,Справочники!$B$2:$B$35,Справочники!$C$2:$C$35)</f>
        <v>22000</v>
      </c>
      <c r="F25" s="16">
        <f t="shared" ca="1" si="0"/>
        <v>2200</v>
      </c>
      <c r="G25" s="16">
        <f t="shared" si="1"/>
        <v>3300</v>
      </c>
      <c r="H25" s="16">
        <f t="shared" ca="1" si="2"/>
        <v>27500</v>
      </c>
      <c r="I25" s="16">
        <f t="shared" ca="1" si="3"/>
        <v>3575</v>
      </c>
      <c r="J25" s="16">
        <f t="shared" ca="1" si="4"/>
        <v>23925</v>
      </c>
      <c r="K25" s="10" t="s">
        <v>17</v>
      </c>
      <c r="L25" s="10" t="str">
        <f>LOOKUP(M25,Справочники!$B$2:$B$35,Справочники!$A$2:$A$35)</f>
        <v>Рекламный отдел</v>
      </c>
      <c r="M25" s="6" t="s">
        <v>27</v>
      </c>
      <c r="N25" s="6" t="s">
        <v>14</v>
      </c>
      <c r="O25" s="11">
        <v>39459</v>
      </c>
      <c r="P25" s="10">
        <f t="shared" ca="1" si="5"/>
        <v>14</v>
      </c>
      <c r="Q25" s="11">
        <v>27953</v>
      </c>
      <c r="R25" s="10">
        <f t="shared" ca="1" si="6"/>
        <v>46</v>
      </c>
      <c r="S25" s="10" t="str">
        <f>LOOKUP(L25,Справочники!$F$2:$F$10,Справочники!$H$2:$H$10)</f>
        <v>+7(8332)64-32-01</v>
      </c>
    </row>
    <row r="26" spans="1:19" ht="15" x14ac:dyDescent="0.25">
      <c r="A26" s="10">
        <v>153</v>
      </c>
      <c r="B26" s="12" t="s">
        <v>187</v>
      </c>
      <c r="C26" s="12" t="s">
        <v>158</v>
      </c>
      <c r="D26" s="12" t="s">
        <v>111</v>
      </c>
      <c r="E26" s="16">
        <f>LOOKUP(M26,Справочники!$B$2:$B$35,Справочники!$C$2:$C$35)</f>
        <v>16000</v>
      </c>
      <c r="F26" s="16">
        <f t="shared" ca="1" si="0"/>
        <v>1600</v>
      </c>
      <c r="G26" s="16">
        <f t="shared" si="1"/>
        <v>2400</v>
      </c>
      <c r="H26" s="16">
        <f t="shared" ca="1" si="2"/>
        <v>20000</v>
      </c>
      <c r="I26" s="16">
        <f t="shared" ca="1" si="3"/>
        <v>2600</v>
      </c>
      <c r="J26" s="16">
        <f t="shared" ca="1" si="4"/>
        <v>17400</v>
      </c>
      <c r="K26" s="10" t="s">
        <v>9</v>
      </c>
      <c r="L26" s="10" t="str">
        <f>LOOKUP(M26,Справочники!$B$2:$B$35,Справочники!$A$2:$A$35)</f>
        <v>Редакторский отдел</v>
      </c>
      <c r="M26" s="6" t="s">
        <v>52</v>
      </c>
      <c r="N26" s="6" t="s">
        <v>14</v>
      </c>
      <c r="O26" s="11">
        <v>36220</v>
      </c>
      <c r="P26" s="10">
        <f t="shared" ca="1" si="5"/>
        <v>23</v>
      </c>
      <c r="Q26" s="11">
        <v>26580</v>
      </c>
      <c r="R26" s="10">
        <f t="shared" ca="1" si="6"/>
        <v>50</v>
      </c>
      <c r="S26" s="10" t="str">
        <f>LOOKUP(L26,Справочники!$F$2:$F$10,Справочники!$H$2:$H$10)</f>
        <v>+7(8332)64-32-01</v>
      </c>
    </row>
    <row r="27" spans="1:19" ht="15" x14ac:dyDescent="0.25">
      <c r="A27" s="10">
        <v>154</v>
      </c>
      <c r="B27" s="12" t="s">
        <v>188</v>
      </c>
      <c r="C27" s="12" t="s">
        <v>189</v>
      </c>
      <c r="D27" s="12" t="s">
        <v>162</v>
      </c>
      <c r="E27" s="16">
        <f>LOOKUP(M27,Справочники!$B$2:$B$35,Справочники!$C$2:$C$35)</f>
        <v>14000</v>
      </c>
      <c r="F27" s="16">
        <f t="shared" ca="1" si="0"/>
        <v>1400</v>
      </c>
      <c r="G27" s="16">
        <f t="shared" si="1"/>
        <v>2100</v>
      </c>
      <c r="H27" s="16">
        <f t="shared" ca="1" si="2"/>
        <v>17500</v>
      </c>
      <c r="I27" s="16">
        <f t="shared" ca="1" si="3"/>
        <v>2275</v>
      </c>
      <c r="J27" s="16">
        <f t="shared" ca="1" si="4"/>
        <v>15225</v>
      </c>
      <c r="K27" s="10" t="s">
        <v>9</v>
      </c>
      <c r="L27" s="10" t="str">
        <f>LOOKUP(M27,Справочники!$B$2:$B$35,Справочники!$A$2:$A$35)</f>
        <v>Редакторский отдел</v>
      </c>
      <c r="M27" s="7" t="s">
        <v>54</v>
      </c>
      <c r="N27" s="6" t="s">
        <v>14</v>
      </c>
      <c r="O27" s="11">
        <v>35258</v>
      </c>
      <c r="P27" s="10">
        <f t="shared" ca="1" si="5"/>
        <v>26</v>
      </c>
      <c r="Q27" s="11">
        <v>21600</v>
      </c>
      <c r="R27" s="10">
        <f t="shared" ca="1" si="6"/>
        <v>63</v>
      </c>
      <c r="S27" s="10" t="str">
        <f>LOOKUP(L27,Справочники!$F$2:$F$10,Справочники!$H$2:$H$10)</f>
        <v>+7(8332)64-32-01</v>
      </c>
    </row>
    <row r="28" spans="1:19" ht="15" x14ac:dyDescent="0.25">
      <c r="A28" s="10">
        <v>155</v>
      </c>
      <c r="B28" s="12" t="s">
        <v>190</v>
      </c>
      <c r="C28" s="12" t="s">
        <v>191</v>
      </c>
      <c r="D28" s="12" t="s">
        <v>192</v>
      </c>
      <c r="E28" s="16">
        <f>LOOKUP(M28,Справочники!$B$2:$B$35,Справочники!$C$2:$C$35)</f>
        <v>14000</v>
      </c>
      <c r="F28" s="16">
        <f t="shared" ca="1" si="0"/>
        <v>1400</v>
      </c>
      <c r="G28" s="16">
        <f t="shared" si="1"/>
        <v>2100</v>
      </c>
      <c r="H28" s="16">
        <f t="shared" ca="1" si="2"/>
        <v>17500</v>
      </c>
      <c r="I28" s="16">
        <f t="shared" ca="1" si="3"/>
        <v>2275</v>
      </c>
      <c r="J28" s="16">
        <f t="shared" ca="1" si="4"/>
        <v>15225</v>
      </c>
      <c r="K28" s="10" t="s">
        <v>9</v>
      </c>
      <c r="L28" s="10" t="str">
        <f>LOOKUP(M28,Справочники!$B$2:$B$35,Справочники!$A$2:$A$35)</f>
        <v>Редакторский отдел</v>
      </c>
      <c r="M28" s="7" t="s">
        <v>55</v>
      </c>
      <c r="N28" s="6" t="s">
        <v>14</v>
      </c>
      <c r="O28" s="11">
        <v>35442</v>
      </c>
      <c r="P28" s="10">
        <f t="shared" ca="1" si="5"/>
        <v>25</v>
      </c>
      <c r="Q28" s="11">
        <v>24134</v>
      </c>
      <c r="R28" s="10">
        <f t="shared" ca="1" si="6"/>
        <v>56</v>
      </c>
      <c r="S28" s="10" t="str">
        <f>LOOKUP(L28,Справочники!$F$2:$F$10,Справочники!$H$2:$H$10)</f>
        <v>+7(8332)64-32-01</v>
      </c>
    </row>
    <row r="29" spans="1:19" ht="15" x14ac:dyDescent="0.25">
      <c r="A29" s="10">
        <v>135</v>
      </c>
      <c r="B29" s="12" t="s">
        <v>149</v>
      </c>
      <c r="C29" s="12" t="s">
        <v>75</v>
      </c>
      <c r="D29" s="12" t="s">
        <v>96</v>
      </c>
      <c r="E29" s="16">
        <f>LOOKUP(M29,Справочники!$B$2:$B$35,Справочники!$C$2:$C$35)</f>
        <v>20000</v>
      </c>
      <c r="F29" s="16">
        <f t="shared" ca="1" si="0"/>
        <v>2000</v>
      </c>
      <c r="G29" s="16">
        <f t="shared" si="1"/>
        <v>3000</v>
      </c>
      <c r="H29" s="16">
        <f t="shared" ca="1" si="2"/>
        <v>25000</v>
      </c>
      <c r="I29" s="16">
        <f t="shared" ca="1" si="3"/>
        <v>3250</v>
      </c>
      <c r="J29" s="16">
        <f t="shared" ca="1" si="4"/>
        <v>21750</v>
      </c>
      <c r="K29" s="10" t="s">
        <v>9</v>
      </c>
      <c r="L29" s="10" t="str">
        <f>LOOKUP(M29,Справочники!$B$2:$B$35,Справочники!$A$2:$A$35)</f>
        <v>Технологический отдел</v>
      </c>
      <c r="M29" s="6" t="s">
        <v>38</v>
      </c>
      <c r="N29" s="6" t="s">
        <v>25</v>
      </c>
      <c r="O29" s="11">
        <v>35290</v>
      </c>
      <c r="P29" s="10">
        <f t="shared" ca="1" si="5"/>
        <v>26</v>
      </c>
      <c r="Q29" s="11">
        <v>23891</v>
      </c>
      <c r="R29" s="10">
        <f t="shared" ca="1" si="6"/>
        <v>57</v>
      </c>
      <c r="S29" s="10" t="str">
        <f>LOOKUP(L29,Справочники!$F$2:$F$10,Справочники!$H$2:$H$10)</f>
        <v>+7(8332)64-32-18</v>
      </c>
    </row>
    <row r="30" spans="1:19" ht="15" x14ac:dyDescent="0.25">
      <c r="A30" s="10">
        <v>128</v>
      </c>
      <c r="B30" s="12" t="s">
        <v>133</v>
      </c>
      <c r="C30" s="12" t="s">
        <v>90</v>
      </c>
      <c r="D30" s="12" t="s">
        <v>132</v>
      </c>
      <c r="E30" s="16">
        <f>LOOKUP(M30,Справочники!$B$2:$B$35,Справочники!$C$2:$C$35)</f>
        <v>18000</v>
      </c>
      <c r="F30" s="16">
        <f t="shared" ca="1" si="0"/>
        <v>1800</v>
      </c>
      <c r="G30" s="16">
        <f t="shared" si="1"/>
        <v>2700</v>
      </c>
      <c r="H30" s="16">
        <f t="shared" ca="1" si="2"/>
        <v>22500</v>
      </c>
      <c r="I30" s="16">
        <f t="shared" ca="1" si="3"/>
        <v>2925</v>
      </c>
      <c r="J30" s="16">
        <f t="shared" ca="1" si="4"/>
        <v>19575</v>
      </c>
      <c r="K30" s="10" t="s">
        <v>17</v>
      </c>
      <c r="L30" s="10" t="str">
        <f>LOOKUP(M30,Справочники!$B$2:$B$35,Справочники!$A$2:$A$35)</f>
        <v>Рекламный отдел</v>
      </c>
      <c r="M30" s="6" t="s">
        <v>39</v>
      </c>
      <c r="N30" s="6" t="s">
        <v>12</v>
      </c>
      <c r="O30" s="11">
        <v>42260</v>
      </c>
      <c r="P30" s="10">
        <f t="shared" ca="1" si="5"/>
        <v>7</v>
      </c>
      <c r="Q30" s="11">
        <v>32292</v>
      </c>
      <c r="R30" s="10">
        <f t="shared" ca="1" si="6"/>
        <v>34</v>
      </c>
      <c r="S30" s="10" t="str">
        <f>LOOKUP(L30,Справочники!$F$2:$F$10,Справочники!$H$2:$H$10)</f>
        <v>+7(8332)64-32-01</v>
      </c>
    </row>
    <row r="31" spans="1:19" ht="15" x14ac:dyDescent="0.25">
      <c r="A31" s="10">
        <v>106</v>
      </c>
      <c r="B31" s="12" t="s">
        <v>83</v>
      </c>
      <c r="C31" s="12" t="s">
        <v>84</v>
      </c>
      <c r="D31" s="12" t="s">
        <v>85</v>
      </c>
      <c r="E31" s="16">
        <f>LOOKUP(M31,Справочники!$B$2:$B$35,Справочники!$C$2:$C$35)</f>
        <v>12000</v>
      </c>
      <c r="F31" s="16">
        <f t="shared" ca="1" si="0"/>
        <v>1200</v>
      </c>
      <c r="G31" s="16">
        <f t="shared" si="1"/>
        <v>1800</v>
      </c>
      <c r="H31" s="16">
        <f t="shared" ca="1" si="2"/>
        <v>15000</v>
      </c>
      <c r="I31" s="16">
        <f t="shared" ca="1" si="3"/>
        <v>1950</v>
      </c>
      <c r="J31" s="16">
        <f t="shared" ca="1" si="4"/>
        <v>13050</v>
      </c>
      <c r="K31" s="10" t="s">
        <v>17</v>
      </c>
      <c r="L31" s="10" t="str">
        <f>LOOKUP(M31,Справочники!$B$2:$B$35,Справочники!$A$2:$A$35)</f>
        <v>Бухгалтерия</v>
      </c>
      <c r="M31" s="6" t="s">
        <v>11</v>
      </c>
      <c r="N31" s="6" t="s">
        <v>25</v>
      </c>
      <c r="O31" s="11">
        <v>42626</v>
      </c>
      <c r="P31" s="10">
        <f t="shared" ca="1" si="5"/>
        <v>6</v>
      </c>
      <c r="Q31" s="11">
        <v>31062</v>
      </c>
      <c r="R31" s="10">
        <f t="shared" ca="1" si="6"/>
        <v>37</v>
      </c>
      <c r="S31" s="10" t="str">
        <f>LOOKUP(L31,Справочники!$F$2:$F$10,Справочники!$H$2:$H$10)</f>
        <v>+7(8332)64-32-01</v>
      </c>
    </row>
    <row r="32" spans="1:19" ht="15" x14ac:dyDescent="0.25">
      <c r="A32" s="10">
        <v>104</v>
      </c>
      <c r="B32" s="12" t="s">
        <v>77</v>
      </c>
      <c r="C32" s="12" t="s">
        <v>78</v>
      </c>
      <c r="D32" s="12" t="s">
        <v>79</v>
      </c>
      <c r="E32" s="16">
        <f>LOOKUP(M32,Справочники!$B$2:$B$35,Справочники!$C$2:$C$35)</f>
        <v>15000</v>
      </c>
      <c r="F32" s="16">
        <f t="shared" ca="1" si="0"/>
        <v>1500</v>
      </c>
      <c r="G32" s="16">
        <f t="shared" si="1"/>
        <v>2250</v>
      </c>
      <c r="H32" s="16">
        <f t="shared" ca="1" si="2"/>
        <v>18750</v>
      </c>
      <c r="I32" s="16">
        <f t="shared" ca="1" si="3"/>
        <v>2437.5</v>
      </c>
      <c r="J32" s="16">
        <f t="shared" ca="1" si="4"/>
        <v>16312.5</v>
      </c>
      <c r="K32" s="10" t="s">
        <v>9</v>
      </c>
      <c r="L32" s="10" t="str">
        <f>LOOKUP(M32,Справочники!$B$2:$B$35,Справочники!$A$2:$A$35)</f>
        <v>Бухгалтерия</v>
      </c>
      <c r="M32" s="6" t="s">
        <v>16</v>
      </c>
      <c r="N32" s="6" t="s">
        <v>14</v>
      </c>
      <c r="O32" s="11">
        <v>41530</v>
      </c>
      <c r="P32" s="10">
        <f t="shared" ca="1" si="5"/>
        <v>9</v>
      </c>
      <c r="Q32" s="11">
        <v>25346</v>
      </c>
      <c r="R32" s="10">
        <f t="shared" ca="1" si="6"/>
        <v>53</v>
      </c>
      <c r="S32" s="10" t="str">
        <f>LOOKUP(L32,Справочники!$F$2:$F$10,Справочники!$H$2:$H$10)</f>
        <v>+7(8332)64-32-01</v>
      </c>
    </row>
    <row r="33" spans="1:19" ht="15" x14ac:dyDescent="0.25">
      <c r="A33" s="10">
        <v>116</v>
      </c>
      <c r="B33" s="12" t="s">
        <v>109</v>
      </c>
      <c r="C33" s="12" t="s">
        <v>110</v>
      </c>
      <c r="D33" s="12" t="s">
        <v>111</v>
      </c>
      <c r="E33" s="16">
        <f>LOOKUP(M33,Справочники!$B$2:$B$35,Справочники!$C$2:$C$35)</f>
        <v>15000</v>
      </c>
      <c r="F33" s="16">
        <f t="shared" ca="1" si="0"/>
        <v>1500</v>
      </c>
      <c r="G33" s="16">
        <f t="shared" si="1"/>
        <v>2250</v>
      </c>
      <c r="H33" s="16">
        <f t="shared" ca="1" si="2"/>
        <v>18750</v>
      </c>
      <c r="I33" s="16">
        <f t="shared" ca="1" si="3"/>
        <v>2437.5</v>
      </c>
      <c r="J33" s="16">
        <f t="shared" ca="1" si="4"/>
        <v>16312.5</v>
      </c>
      <c r="K33" s="10" t="s">
        <v>9</v>
      </c>
      <c r="L33" s="10" t="str">
        <f>LOOKUP(M33,Справочники!$B$2:$B$35,Справочники!$A$2:$A$35)</f>
        <v>Технологический отдел</v>
      </c>
      <c r="M33" s="6" t="s">
        <v>32</v>
      </c>
      <c r="N33" s="6" t="s">
        <v>12</v>
      </c>
      <c r="O33" s="11">
        <v>35292</v>
      </c>
      <c r="P33" s="10">
        <f t="shared" ca="1" si="5"/>
        <v>26</v>
      </c>
      <c r="Q33" s="11">
        <v>25810</v>
      </c>
      <c r="R33" s="10">
        <f t="shared" ca="1" si="6"/>
        <v>52</v>
      </c>
      <c r="S33" s="10" t="str">
        <f>LOOKUP(L33,Справочники!$F$2:$F$10,Справочники!$H$2:$H$10)</f>
        <v>+7(8332)64-32-18</v>
      </c>
    </row>
    <row r="34" spans="1:19" ht="15" x14ac:dyDescent="0.25">
      <c r="A34" s="10">
        <v>112</v>
      </c>
      <c r="B34" s="12" t="s">
        <v>99</v>
      </c>
      <c r="C34" s="12" t="s">
        <v>100</v>
      </c>
      <c r="D34" s="12" t="s">
        <v>101</v>
      </c>
      <c r="E34" s="16">
        <f>LOOKUP(M34,Справочники!$B$2:$B$35,Справочники!$C$2:$C$35)</f>
        <v>22000</v>
      </c>
      <c r="F34" s="16">
        <f t="shared" ca="1" si="0"/>
        <v>2200</v>
      </c>
      <c r="G34" s="16">
        <f t="shared" si="1"/>
        <v>3300</v>
      </c>
      <c r="H34" s="16">
        <f t="shared" ca="1" si="2"/>
        <v>27500</v>
      </c>
      <c r="I34" s="16">
        <f t="shared" ca="1" si="3"/>
        <v>3575</v>
      </c>
      <c r="J34" s="16">
        <f t="shared" ca="1" si="4"/>
        <v>23925</v>
      </c>
      <c r="K34" s="10" t="s">
        <v>17</v>
      </c>
      <c r="L34" s="10" t="str">
        <f>LOOKUP(M34,Справочники!$B$2:$B$35,Справочники!$A$2:$A$35)</f>
        <v>Рекламный отдел</v>
      </c>
      <c r="M34" s="6" t="s">
        <v>27</v>
      </c>
      <c r="N34" s="6" t="s">
        <v>14</v>
      </c>
      <c r="O34" s="11">
        <v>40966</v>
      </c>
      <c r="P34" s="10">
        <f t="shared" ca="1" si="5"/>
        <v>10</v>
      </c>
      <c r="Q34" s="11">
        <v>31390</v>
      </c>
      <c r="R34" s="10">
        <f t="shared" ca="1" si="6"/>
        <v>36</v>
      </c>
      <c r="S34" s="10" t="str">
        <f>LOOKUP(L34,Справочники!$F$2:$F$10,Справочники!$H$2:$H$10)</f>
        <v>+7(8332)64-32-01</v>
      </c>
    </row>
    <row r="35" spans="1:19" ht="15" x14ac:dyDescent="0.25">
      <c r="A35" s="10">
        <v>145</v>
      </c>
      <c r="B35" s="12" t="s">
        <v>172</v>
      </c>
      <c r="C35" s="12" t="s">
        <v>131</v>
      </c>
      <c r="D35" s="12" t="s">
        <v>145</v>
      </c>
      <c r="E35" s="16">
        <f>LOOKUP(M35,Справочники!$B$2:$B$35,Справочники!$C$2:$C$35)</f>
        <v>22000</v>
      </c>
      <c r="F35" s="16">
        <f t="shared" ca="1" si="0"/>
        <v>2200</v>
      </c>
      <c r="G35" s="16">
        <f t="shared" si="1"/>
        <v>3300</v>
      </c>
      <c r="H35" s="16">
        <f t="shared" ca="1" si="2"/>
        <v>27500</v>
      </c>
      <c r="I35" s="16">
        <f t="shared" ca="1" si="3"/>
        <v>3575</v>
      </c>
      <c r="J35" s="16">
        <f t="shared" ca="1" si="4"/>
        <v>23925</v>
      </c>
      <c r="K35" s="10" t="s">
        <v>17</v>
      </c>
      <c r="L35" s="10" t="str">
        <f>LOOKUP(M35,Справочники!$B$2:$B$35,Справочники!$A$2:$A$35)</f>
        <v>Склад</v>
      </c>
      <c r="M35" s="6" t="s">
        <v>48</v>
      </c>
      <c r="N35" s="6" t="s">
        <v>25</v>
      </c>
      <c r="O35" s="11">
        <v>34788</v>
      </c>
      <c r="P35" s="10">
        <f t="shared" ca="1" si="5"/>
        <v>27</v>
      </c>
      <c r="Q35" s="11">
        <v>25204</v>
      </c>
      <c r="R35" s="10">
        <f t="shared" ca="1" si="6"/>
        <v>53</v>
      </c>
      <c r="S35" s="10" t="str">
        <f>LOOKUP(L35,Справочники!$F$2:$F$10,Справочники!$H$2:$H$10)</f>
        <v>+7(8332)64-32-23</v>
      </c>
    </row>
    <row r="36" spans="1:19" ht="15" x14ac:dyDescent="0.25">
      <c r="A36" s="10">
        <v>117</v>
      </c>
      <c r="B36" s="12" t="s">
        <v>112</v>
      </c>
      <c r="C36" s="12" t="s">
        <v>72</v>
      </c>
      <c r="D36" s="12" t="s">
        <v>88</v>
      </c>
      <c r="E36" s="16">
        <f>LOOKUP(M36,Справочники!$B$2:$B$35,Справочники!$C$2:$C$35)</f>
        <v>12000</v>
      </c>
      <c r="F36" s="16">
        <f t="shared" ref="F36:F67" ca="1" si="7">IF(P36&gt;=5, E36*$F$2, )</f>
        <v>1200</v>
      </c>
      <c r="G36" s="16">
        <f t="shared" ref="G36:G67" si="8">E36*$G$2</f>
        <v>1800</v>
      </c>
      <c r="H36" s="16">
        <f t="shared" ref="H36:H67" ca="1" si="9">E36+F36+G36</f>
        <v>15000</v>
      </c>
      <c r="I36" s="16">
        <f t="shared" ref="I36:I67" ca="1" si="10">H36*$I$2</f>
        <v>1950</v>
      </c>
      <c r="J36" s="16">
        <f t="shared" ref="J36:J67" ca="1" si="11">H36-I36</f>
        <v>13050</v>
      </c>
      <c r="K36" s="10" t="s">
        <v>9</v>
      </c>
      <c r="L36" s="10" t="str">
        <f>LOOKUP(M36,Справочники!$B$2:$B$35,Справочники!$A$2:$A$35)</f>
        <v>Технологический отдел</v>
      </c>
      <c r="M36" s="6" t="s">
        <v>31</v>
      </c>
      <c r="N36" s="6" t="s">
        <v>33</v>
      </c>
      <c r="O36" s="11">
        <v>35445</v>
      </c>
      <c r="P36" s="10">
        <f t="shared" ref="P36:P67" ca="1" si="12">DATEDIF(O36, TODAY(),"Y")</f>
        <v>25</v>
      </c>
      <c r="Q36" s="11">
        <v>26821</v>
      </c>
      <c r="R36" s="10">
        <f t="shared" ref="R36:R67" ca="1" si="13">DATEDIF(Q36, TODAY(),"Y")</f>
        <v>49</v>
      </c>
      <c r="S36" s="10" t="str">
        <f>LOOKUP(L36,Справочники!$F$2:$F$10,Справочники!$H$2:$H$10)</f>
        <v>+7(8332)64-32-18</v>
      </c>
    </row>
    <row r="37" spans="1:19" ht="15" x14ac:dyDescent="0.25">
      <c r="A37" s="10">
        <v>156</v>
      </c>
      <c r="B37" s="12" t="s">
        <v>193</v>
      </c>
      <c r="C37" s="12" t="s">
        <v>108</v>
      </c>
      <c r="D37" s="12" t="s">
        <v>194</v>
      </c>
      <c r="E37" s="16">
        <f>LOOKUP(M37,Справочники!$B$2:$B$35,Справочники!$C$2:$C$35)</f>
        <v>14000</v>
      </c>
      <c r="F37" s="16">
        <f t="shared" ca="1" si="7"/>
        <v>1400</v>
      </c>
      <c r="G37" s="16">
        <f t="shared" si="8"/>
        <v>2100</v>
      </c>
      <c r="H37" s="16">
        <f t="shared" ca="1" si="9"/>
        <v>17500</v>
      </c>
      <c r="I37" s="16">
        <f t="shared" ca="1" si="10"/>
        <v>2275</v>
      </c>
      <c r="J37" s="16">
        <f t="shared" ca="1" si="11"/>
        <v>15225</v>
      </c>
      <c r="K37" s="10" t="s">
        <v>9</v>
      </c>
      <c r="L37" s="10" t="str">
        <f>LOOKUP(M37,Справочники!$B$2:$B$35,Справочники!$A$2:$A$35)</f>
        <v>Редакторский отдел</v>
      </c>
      <c r="M37" s="7" t="s">
        <v>55</v>
      </c>
      <c r="N37" s="6" t="s">
        <v>25</v>
      </c>
      <c r="O37" s="11">
        <v>35460</v>
      </c>
      <c r="P37" s="10">
        <f t="shared" ca="1" si="12"/>
        <v>25</v>
      </c>
      <c r="Q37" s="11">
        <v>21194</v>
      </c>
      <c r="R37" s="10">
        <f t="shared" ca="1" si="13"/>
        <v>64</v>
      </c>
      <c r="S37" s="10" t="str">
        <f>LOOKUP(L37,Справочники!$F$2:$F$10,Справочники!$H$2:$H$10)</f>
        <v>+7(8332)64-32-01</v>
      </c>
    </row>
    <row r="38" spans="1:19" ht="15" x14ac:dyDescent="0.25">
      <c r="A38" s="10">
        <v>118</v>
      </c>
      <c r="B38" s="12" t="s">
        <v>113</v>
      </c>
      <c r="C38" s="12" t="s">
        <v>114</v>
      </c>
      <c r="D38" s="12" t="s">
        <v>115</v>
      </c>
      <c r="E38" s="16">
        <f>LOOKUP(M38,Справочники!$B$2:$B$35,Справочники!$C$2:$C$35)</f>
        <v>12000</v>
      </c>
      <c r="F38" s="16">
        <f t="shared" ca="1" si="7"/>
        <v>1200</v>
      </c>
      <c r="G38" s="16">
        <f t="shared" si="8"/>
        <v>1800</v>
      </c>
      <c r="H38" s="16">
        <f t="shared" ca="1" si="9"/>
        <v>15000</v>
      </c>
      <c r="I38" s="16">
        <f t="shared" ca="1" si="10"/>
        <v>1950</v>
      </c>
      <c r="J38" s="16">
        <f t="shared" ca="1" si="11"/>
        <v>13050</v>
      </c>
      <c r="K38" s="10" t="s">
        <v>9</v>
      </c>
      <c r="L38" s="10" t="str">
        <f>LOOKUP(M38,Справочники!$B$2:$B$35,Справочники!$A$2:$A$35)</f>
        <v>Технологический отдел</v>
      </c>
      <c r="M38" s="6" t="s">
        <v>34</v>
      </c>
      <c r="N38" s="6" t="s">
        <v>12</v>
      </c>
      <c r="O38" s="11">
        <v>36303</v>
      </c>
      <c r="P38" s="10">
        <f t="shared" ca="1" si="12"/>
        <v>23</v>
      </c>
      <c r="Q38" s="11">
        <v>25641</v>
      </c>
      <c r="R38" s="10">
        <f t="shared" ca="1" si="13"/>
        <v>52</v>
      </c>
      <c r="S38" s="10" t="str">
        <f>LOOKUP(L38,Справочники!$F$2:$F$10,Справочники!$H$2:$H$10)</f>
        <v>+7(8332)64-32-18</v>
      </c>
    </row>
    <row r="39" spans="1:19" ht="15" x14ac:dyDescent="0.25">
      <c r="A39" s="10">
        <v>157</v>
      </c>
      <c r="B39" s="12" t="s">
        <v>195</v>
      </c>
      <c r="C39" s="12" t="s">
        <v>196</v>
      </c>
      <c r="D39" s="12" t="s">
        <v>197</v>
      </c>
      <c r="E39" s="16">
        <f>LOOKUP(M39,Справочники!$B$2:$B$35,Справочники!$C$2:$C$35)</f>
        <v>12000</v>
      </c>
      <c r="F39" s="16">
        <f t="shared" ca="1" si="7"/>
        <v>1200</v>
      </c>
      <c r="G39" s="16">
        <f t="shared" si="8"/>
        <v>1800</v>
      </c>
      <c r="H39" s="16">
        <f t="shared" ca="1" si="9"/>
        <v>15000</v>
      </c>
      <c r="I39" s="16">
        <f t="shared" ca="1" si="10"/>
        <v>1950</v>
      </c>
      <c r="J39" s="16">
        <f t="shared" ca="1" si="11"/>
        <v>13050</v>
      </c>
      <c r="K39" s="10" t="s">
        <v>9</v>
      </c>
      <c r="L39" s="10" t="str">
        <f>LOOKUP(M39,Справочники!$B$2:$B$35,Справочники!$A$2:$A$35)</f>
        <v>Технологический отдел</v>
      </c>
      <c r="M39" s="6" t="s">
        <v>31</v>
      </c>
      <c r="N39" s="6" t="s">
        <v>12</v>
      </c>
      <c r="O39" s="11">
        <v>39887</v>
      </c>
      <c r="P39" s="10">
        <f t="shared" ca="1" si="12"/>
        <v>13</v>
      </c>
      <c r="Q39" s="11">
        <v>30205</v>
      </c>
      <c r="R39" s="10">
        <f t="shared" ca="1" si="13"/>
        <v>40</v>
      </c>
      <c r="S39" s="10" t="str">
        <f>LOOKUP(L39,Справочники!$F$2:$F$10,Справочники!$H$2:$H$10)</f>
        <v>+7(8332)64-32-18</v>
      </c>
    </row>
    <row r="40" spans="1:19" ht="15" x14ac:dyDescent="0.25">
      <c r="A40" s="10">
        <v>146</v>
      </c>
      <c r="B40" s="12" t="s">
        <v>173</v>
      </c>
      <c r="C40" s="12" t="s">
        <v>129</v>
      </c>
      <c r="D40" s="12" t="s">
        <v>174</v>
      </c>
      <c r="E40" s="16">
        <f>LOOKUP(M40,Справочники!$B$2:$B$35,Справочники!$C$2:$C$35)</f>
        <v>15000</v>
      </c>
      <c r="F40" s="16">
        <f t="shared" ca="1" si="7"/>
        <v>1500</v>
      </c>
      <c r="G40" s="16">
        <f t="shared" si="8"/>
        <v>2250</v>
      </c>
      <c r="H40" s="16">
        <f t="shared" ca="1" si="9"/>
        <v>18750</v>
      </c>
      <c r="I40" s="16">
        <f t="shared" ca="1" si="10"/>
        <v>2437.5</v>
      </c>
      <c r="J40" s="16">
        <f t="shared" ca="1" si="11"/>
        <v>16312.5</v>
      </c>
      <c r="K40" s="10" t="s">
        <v>17</v>
      </c>
      <c r="L40" s="10" t="str">
        <f>LOOKUP(M40,Справочники!$B$2:$B$35,Справочники!$A$2:$A$35)</f>
        <v>Склад</v>
      </c>
      <c r="M40" s="6" t="s">
        <v>46</v>
      </c>
      <c r="N40" s="6" t="s">
        <v>33</v>
      </c>
      <c r="O40" s="11">
        <v>35032</v>
      </c>
      <c r="P40" s="10">
        <f t="shared" ca="1" si="12"/>
        <v>26</v>
      </c>
      <c r="Q40" s="11">
        <v>26821</v>
      </c>
      <c r="R40" s="10">
        <f t="shared" ca="1" si="13"/>
        <v>49</v>
      </c>
      <c r="S40" s="10" t="str">
        <f>LOOKUP(L40,Справочники!$F$2:$F$10,Справочники!$H$2:$H$10)</f>
        <v>+7(8332)64-32-23</v>
      </c>
    </row>
    <row r="41" spans="1:19" ht="15" x14ac:dyDescent="0.25">
      <c r="A41" s="10">
        <v>126</v>
      </c>
      <c r="B41" s="12" t="s">
        <v>128</v>
      </c>
      <c r="C41" s="12" t="s">
        <v>129</v>
      </c>
      <c r="D41" s="12" t="s">
        <v>101</v>
      </c>
      <c r="E41" s="16">
        <f>LOOKUP(M41,Справочники!$B$2:$B$35,Справочники!$C$2:$C$35)</f>
        <v>22000</v>
      </c>
      <c r="F41" s="16">
        <f t="shared" ca="1" si="7"/>
        <v>2200</v>
      </c>
      <c r="G41" s="16">
        <f t="shared" si="8"/>
        <v>3300</v>
      </c>
      <c r="H41" s="16">
        <f t="shared" ca="1" si="9"/>
        <v>27500</v>
      </c>
      <c r="I41" s="16">
        <f t="shared" ca="1" si="10"/>
        <v>3575</v>
      </c>
      <c r="J41" s="16">
        <f t="shared" ca="1" si="11"/>
        <v>23925</v>
      </c>
      <c r="K41" s="10" t="s">
        <v>17</v>
      </c>
      <c r="L41" s="10" t="str">
        <f>LOOKUP(M41,Справочники!$B$2:$B$35,Справочники!$A$2:$A$35)</f>
        <v>Рекламный отдел</v>
      </c>
      <c r="M41" s="6" t="s">
        <v>27</v>
      </c>
      <c r="N41" s="6" t="s">
        <v>14</v>
      </c>
      <c r="O41" s="11">
        <v>40321</v>
      </c>
      <c r="P41" s="10">
        <f t="shared" ca="1" si="12"/>
        <v>12</v>
      </c>
      <c r="Q41" s="11">
        <v>30232</v>
      </c>
      <c r="R41" s="10">
        <f t="shared" ca="1" si="13"/>
        <v>40</v>
      </c>
      <c r="S41" s="10" t="str">
        <f>LOOKUP(L41,Справочники!$F$2:$F$10,Справочники!$H$2:$H$10)</f>
        <v>+7(8332)64-32-01</v>
      </c>
    </row>
    <row r="42" spans="1:19" ht="15" x14ac:dyDescent="0.25">
      <c r="A42" s="10">
        <v>136</v>
      </c>
      <c r="B42" s="12" t="s">
        <v>150</v>
      </c>
      <c r="C42" s="12" t="s">
        <v>151</v>
      </c>
      <c r="D42" s="12" t="s">
        <v>152</v>
      </c>
      <c r="E42" s="16">
        <f>LOOKUP(M42,Справочники!$B$2:$B$35,Справочники!$C$2:$C$35)</f>
        <v>22000</v>
      </c>
      <c r="F42" s="16">
        <f t="shared" ca="1" si="7"/>
        <v>2200</v>
      </c>
      <c r="G42" s="16">
        <f t="shared" si="8"/>
        <v>3300</v>
      </c>
      <c r="H42" s="16">
        <f t="shared" ca="1" si="9"/>
        <v>27500</v>
      </c>
      <c r="I42" s="16">
        <f t="shared" ca="1" si="10"/>
        <v>3575</v>
      </c>
      <c r="J42" s="16">
        <f t="shared" ca="1" si="11"/>
        <v>23925</v>
      </c>
      <c r="K42" s="10" t="s">
        <v>9</v>
      </c>
      <c r="L42" s="10" t="str">
        <f>LOOKUP(M42,Справочники!$B$2:$B$35,Справочники!$A$2:$A$35)</f>
        <v>Рекламный отдел</v>
      </c>
      <c r="M42" s="6" t="s">
        <v>27</v>
      </c>
      <c r="N42" s="6" t="s">
        <v>25</v>
      </c>
      <c r="O42" s="11">
        <v>39479</v>
      </c>
      <c r="P42" s="10">
        <f t="shared" ca="1" si="12"/>
        <v>14</v>
      </c>
      <c r="Q42" s="11">
        <v>27737</v>
      </c>
      <c r="R42" s="10">
        <f t="shared" ca="1" si="13"/>
        <v>46</v>
      </c>
      <c r="S42" s="10" t="str">
        <f>LOOKUP(L42,Справочники!$F$2:$F$10,Справочники!$H$2:$H$10)</f>
        <v>+7(8332)64-32-01</v>
      </c>
    </row>
    <row r="43" spans="1:19" ht="15" x14ac:dyDescent="0.25">
      <c r="A43" s="10">
        <v>158</v>
      </c>
      <c r="B43" s="12" t="s">
        <v>198</v>
      </c>
      <c r="C43" s="12" t="s">
        <v>199</v>
      </c>
      <c r="D43" s="12" t="s">
        <v>159</v>
      </c>
      <c r="E43" s="16">
        <f>LOOKUP(M43,Справочники!$B$2:$B$35,Справочники!$C$2:$C$35)</f>
        <v>14000</v>
      </c>
      <c r="F43" s="16">
        <f t="shared" ca="1" si="7"/>
        <v>1400</v>
      </c>
      <c r="G43" s="16">
        <f t="shared" si="8"/>
        <v>2100</v>
      </c>
      <c r="H43" s="16">
        <f t="shared" ca="1" si="9"/>
        <v>17500</v>
      </c>
      <c r="I43" s="16">
        <f t="shared" ca="1" si="10"/>
        <v>2275</v>
      </c>
      <c r="J43" s="16">
        <f t="shared" ca="1" si="11"/>
        <v>15225</v>
      </c>
      <c r="K43" s="10" t="s">
        <v>9</v>
      </c>
      <c r="L43" s="10" t="str">
        <f>LOOKUP(M43,Справочники!$B$2:$B$35,Справочники!$A$2:$A$35)</f>
        <v>Редакторский отдел</v>
      </c>
      <c r="M43" s="7" t="s">
        <v>54</v>
      </c>
      <c r="N43" s="6" t="s">
        <v>14</v>
      </c>
      <c r="O43" s="11">
        <v>35122</v>
      </c>
      <c r="P43" s="10">
        <f t="shared" ca="1" si="12"/>
        <v>26</v>
      </c>
      <c r="Q43" s="11">
        <v>23253</v>
      </c>
      <c r="R43" s="10">
        <f t="shared" ca="1" si="13"/>
        <v>59</v>
      </c>
      <c r="S43" s="10" t="str">
        <f>LOOKUP(L43,Справочники!$F$2:$F$10,Справочники!$H$2:$H$10)</f>
        <v>+7(8332)64-32-01</v>
      </c>
    </row>
    <row r="44" spans="1:19" ht="15" x14ac:dyDescent="0.25">
      <c r="A44" s="10">
        <v>111</v>
      </c>
      <c r="B44" s="12" t="s">
        <v>97</v>
      </c>
      <c r="C44" s="12" t="s">
        <v>98</v>
      </c>
      <c r="D44" s="12" t="s">
        <v>76</v>
      </c>
      <c r="E44" s="16">
        <f>LOOKUP(M44,Справочники!$B$2:$B$35,Справочники!$C$2:$C$35)</f>
        <v>15000</v>
      </c>
      <c r="F44" s="16">
        <f t="shared" ca="1" si="7"/>
        <v>1500</v>
      </c>
      <c r="G44" s="16">
        <f t="shared" si="8"/>
        <v>2250</v>
      </c>
      <c r="H44" s="16">
        <f t="shared" ca="1" si="9"/>
        <v>18750</v>
      </c>
      <c r="I44" s="16">
        <f t="shared" ca="1" si="10"/>
        <v>2437.5</v>
      </c>
      <c r="J44" s="16">
        <f t="shared" ca="1" si="11"/>
        <v>16312.5</v>
      </c>
      <c r="K44" s="10" t="s">
        <v>9</v>
      </c>
      <c r="L44" s="10" t="str">
        <f>LOOKUP(M44,Справочники!$B$2:$B$35,Справочники!$A$2:$A$35)</f>
        <v>Управление</v>
      </c>
      <c r="M44" s="6" t="s">
        <v>24</v>
      </c>
      <c r="N44" s="6" t="s">
        <v>25</v>
      </c>
      <c r="O44" s="11">
        <v>42960</v>
      </c>
      <c r="P44" s="10">
        <f t="shared" ca="1" si="12"/>
        <v>5</v>
      </c>
      <c r="Q44" s="11">
        <v>33207</v>
      </c>
      <c r="R44" s="10">
        <f t="shared" ca="1" si="13"/>
        <v>31</v>
      </c>
      <c r="S44" s="10" t="str">
        <f>LOOKUP(L44,Справочники!$F$2:$F$10,Справочники!$H$2:$H$10)</f>
        <v>+7(8332)64-32-18</v>
      </c>
    </row>
    <row r="45" spans="1:19" ht="15" x14ac:dyDescent="0.25">
      <c r="A45" s="10">
        <v>119</v>
      </c>
      <c r="B45" s="12" t="s">
        <v>116</v>
      </c>
      <c r="C45" s="12" t="s">
        <v>117</v>
      </c>
      <c r="D45" s="12" t="s">
        <v>70</v>
      </c>
      <c r="E45" s="16">
        <f>LOOKUP(M45,Справочники!$B$2:$B$35,Справочники!$C$2:$C$35)</f>
        <v>17000</v>
      </c>
      <c r="F45" s="16">
        <f t="shared" ca="1" si="7"/>
        <v>1700</v>
      </c>
      <c r="G45" s="16">
        <f t="shared" si="8"/>
        <v>2550</v>
      </c>
      <c r="H45" s="16">
        <f t="shared" ca="1" si="9"/>
        <v>21250</v>
      </c>
      <c r="I45" s="16">
        <f t="shared" ca="1" si="10"/>
        <v>2762.5</v>
      </c>
      <c r="J45" s="16">
        <f t="shared" ca="1" si="11"/>
        <v>18487.5</v>
      </c>
      <c r="K45" s="10" t="s">
        <v>9</v>
      </c>
      <c r="L45" s="10" t="str">
        <f>LOOKUP(M45,Справочники!$B$2:$B$35,Справочники!$A$2:$A$35)</f>
        <v>Технологический отдел</v>
      </c>
      <c r="M45" s="6" t="s">
        <v>35</v>
      </c>
      <c r="N45" s="6" t="s">
        <v>14</v>
      </c>
      <c r="O45" s="11">
        <v>39550</v>
      </c>
      <c r="P45" s="10">
        <f t="shared" ca="1" si="12"/>
        <v>14</v>
      </c>
      <c r="Q45" s="11">
        <v>28420</v>
      </c>
      <c r="R45" s="10">
        <f t="shared" ca="1" si="13"/>
        <v>45</v>
      </c>
      <c r="S45" s="10" t="str">
        <f>LOOKUP(L45,Справочники!$F$2:$F$10,Справочники!$H$2:$H$10)</f>
        <v>+7(8332)64-32-18</v>
      </c>
    </row>
    <row r="46" spans="1:19" ht="15" x14ac:dyDescent="0.25">
      <c r="A46" s="10">
        <v>162</v>
      </c>
      <c r="B46" s="12" t="s">
        <v>206</v>
      </c>
      <c r="C46" s="12" t="s">
        <v>100</v>
      </c>
      <c r="D46" s="12" t="s">
        <v>207</v>
      </c>
      <c r="E46" s="16">
        <f>LOOKUP(M46,Справочники!$B$2:$B$35,Справочники!$C$2:$C$35)</f>
        <v>12000</v>
      </c>
      <c r="F46" s="16">
        <f t="shared" ca="1" si="7"/>
        <v>1200</v>
      </c>
      <c r="G46" s="16">
        <f t="shared" si="8"/>
        <v>1800</v>
      </c>
      <c r="H46" s="16">
        <f t="shared" ca="1" si="9"/>
        <v>15000</v>
      </c>
      <c r="I46" s="16">
        <f t="shared" ca="1" si="10"/>
        <v>1950</v>
      </c>
      <c r="J46" s="16">
        <f t="shared" ca="1" si="11"/>
        <v>13050</v>
      </c>
      <c r="K46" s="10" t="s">
        <v>17</v>
      </c>
      <c r="L46" s="10" t="str">
        <f>LOOKUP(M46,Справочники!$B$2:$B$35,Справочники!$A$2:$A$35)</f>
        <v>Транспортный отдел</v>
      </c>
      <c r="M46" s="6" t="s">
        <v>50</v>
      </c>
      <c r="N46" s="6" t="s">
        <v>12</v>
      </c>
      <c r="O46" s="11">
        <v>32023</v>
      </c>
      <c r="P46" s="10">
        <f t="shared" ca="1" si="12"/>
        <v>35</v>
      </c>
      <c r="Q46" s="11">
        <v>22893</v>
      </c>
      <c r="R46" s="10">
        <f t="shared" ca="1" si="13"/>
        <v>60</v>
      </c>
      <c r="S46" s="10" t="str">
        <f>LOOKUP(L46,Справочники!$F$2:$F$10,Справочники!$H$2:$H$10)</f>
        <v>+7(8332)64-32-18</v>
      </c>
    </row>
    <row r="47" spans="1:19" ht="15" x14ac:dyDescent="0.25">
      <c r="A47" s="10">
        <v>120</v>
      </c>
      <c r="B47" s="12" t="s">
        <v>118</v>
      </c>
      <c r="C47" s="12" t="s">
        <v>98</v>
      </c>
      <c r="D47" s="12" t="s">
        <v>119</v>
      </c>
      <c r="E47" s="16">
        <f>LOOKUP(M47,Справочники!$B$2:$B$35,Справочники!$C$2:$C$35)</f>
        <v>14000</v>
      </c>
      <c r="F47" s="16">
        <f t="shared" ca="1" si="7"/>
        <v>1400</v>
      </c>
      <c r="G47" s="16">
        <f t="shared" si="8"/>
        <v>2100</v>
      </c>
      <c r="H47" s="16">
        <f t="shared" ca="1" si="9"/>
        <v>17500</v>
      </c>
      <c r="I47" s="16">
        <f t="shared" ca="1" si="10"/>
        <v>2275</v>
      </c>
      <c r="J47" s="16">
        <f t="shared" ca="1" si="11"/>
        <v>15225</v>
      </c>
      <c r="K47" s="10" t="s">
        <v>9</v>
      </c>
      <c r="L47" s="10" t="str">
        <f>LOOKUP(M47,Справочники!$B$2:$B$35,Справочники!$A$2:$A$35)</f>
        <v>Технологический отдел</v>
      </c>
      <c r="M47" s="6" t="s">
        <v>36</v>
      </c>
      <c r="N47" s="6" t="s">
        <v>12</v>
      </c>
      <c r="O47" s="11">
        <v>35442</v>
      </c>
      <c r="P47" s="10">
        <f t="shared" ca="1" si="12"/>
        <v>25</v>
      </c>
      <c r="Q47" s="11">
        <v>24134</v>
      </c>
      <c r="R47" s="10">
        <f t="shared" ca="1" si="13"/>
        <v>56</v>
      </c>
      <c r="S47" s="10" t="str">
        <f>LOOKUP(L47,Справочники!$F$2:$F$10,Справочники!$H$2:$H$10)</f>
        <v>+7(8332)64-32-18</v>
      </c>
    </row>
    <row r="48" spans="1:19" ht="15" x14ac:dyDescent="0.25">
      <c r="A48" s="10">
        <v>140</v>
      </c>
      <c r="B48" s="12" t="s">
        <v>160</v>
      </c>
      <c r="C48" s="12" t="s">
        <v>161</v>
      </c>
      <c r="D48" s="12" t="s">
        <v>162</v>
      </c>
      <c r="E48" s="16">
        <f>LOOKUP(M48,Справочники!$B$2:$B$35,Справочники!$C$2:$C$35)</f>
        <v>15000</v>
      </c>
      <c r="F48" s="16">
        <f t="shared" ca="1" si="7"/>
        <v>1500</v>
      </c>
      <c r="G48" s="16">
        <f t="shared" si="8"/>
        <v>2250</v>
      </c>
      <c r="H48" s="16">
        <f t="shared" ca="1" si="9"/>
        <v>18750</v>
      </c>
      <c r="I48" s="16">
        <f t="shared" ca="1" si="10"/>
        <v>2437.5</v>
      </c>
      <c r="J48" s="16">
        <f t="shared" ca="1" si="11"/>
        <v>16312.5</v>
      </c>
      <c r="K48" s="10" t="s">
        <v>9</v>
      </c>
      <c r="L48" s="10" t="str">
        <f>LOOKUP(M48,Справочники!$B$2:$B$35,Справочники!$A$2:$A$35)</f>
        <v>Рекламный отдел</v>
      </c>
      <c r="M48" s="6" t="s">
        <v>40</v>
      </c>
      <c r="N48" s="6" t="s">
        <v>25</v>
      </c>
      <c r="O48" s="11">
        <v>39641</v>
      </c>
      <c r="P48" s="10">
        <f t="shared" ca="1" si="12"/>
        <v>14</v>
      </c>
      <c r="Q48" s="11">
        <v>29284</v>
      </c>
      <c r="R48" s="10">
        <f t="shared" ca="1" si="13"/>
        <v>42</v>
      </c>
      <c r="S48" s="10" t="str">
        <f>LOOKUP(L48,Справочники!$F$2:$F$10,Справочники!$H$2:$H$10)</f>
        <v>+7(8332)64-32-01</v>
      </c>
    </row>
    <row r="49" spans="1:19" ht="15" x14ac:dyDescent="0.25">
      <c r="A49" s="10">
        <v>121</v>
      </c>
      <c r="B49" s="12" t="s">
        <v>120</v>
      </c>
      <c r="C49" s="12" t="s">
        <v>75</v>
      </c>
      <c r="D49" s="12" t="s">
        <v>79</v>
      </c>
      <c r="E49" s="16">
        <f>LOOKUP(M49,Справочники!$B$2:$B$35,Справочники!$C$2:$C$35)</f>
        <v>14000</v>
      </c>
      <c r="F49" s="16">
        <f t="shared" ca="1" si="7"/>
        <v>1400</v>
      </c>
      <c r="G49" s="16">
        <f t="shared" si="8"/>
        <v>2100</v>
      </c>
      <c r="H49" s="16">
        <f t="shared" ca="1" si="9"/>
        <v>17500</v>
      </c>
      <c r="I49" s="16">
        <f t="shared" ca="1" si="10"/>
        <v>2275</v>
      </c>
      <c r="J49" s="16">
        <f t="shared" ca="1" si="11"/>
        <v>15225</v>
      </c>
      <c r="K49" s="10" t="s">
        <v>9</v>
      </c>
      <c r="L49" s="10" t="str">
        <f>LOOKUP(M49,Справочники!$B$2:$B$35,Справочники!$A$2:$A$35)</f>
        <v>Технологический отдел</v>
      </c>
      <c r="M49" s="6" t="s">
        <v>36</v>
      </c>
      <c r="N49" s="6" t="s">
        <v>12</v>
      </c>
      <c r="O49" s="11">
        <v>39845</v>
      </c>
      <c r="P49" s="10">
        <f t="shared" ca="1" si="12"/>
        <v>13</v>
      </c>
      <c r="Q49" s="11">
        <v>31391</v>
      </c>
      <c r="R49" s="10">
        <f t="shared" ca="1" si="13"/>
        <v>36</v>
      </c>
      <c r="S49" s="10" t="str">
        <f>LOOKUP(L49,Справочники!$F$2:$F$10,Справочники!$H$2:$H$10)</f>
        <v>+7(8332)64-32-18</v>
      </c>
    </row>
    <row r="50" spans="1:19" ht="15" x14ac:dyDescent="0.25">
      <c r="A50" s="10">
        <v>163</v>
      </c>
      <c r="B50" s="12" t="s">
        <v>208</v>
      </c>
      <c r="C50" s="12" t="s">
        <v>209</v>
      </c>
      <c r="D50" s="12" t="s">
        <v>93</v>
      </c>
      <c r="E50" s="16">
        <f>LOOKUP(M50,Справочники!$B$2:$B$35,Справочники!$C$2:$C$35)</f>
        <v>20000</v>
      </c>
      <c r="F50" s="16">
        <f t="shared" ca="1" si="7"/>
        <v>2000</v>
      </c>
      <c r="G50" s="16">
        <f t="shared" si="8"/>
        <v>3000</v>
      </c>
      <c r="H50" s="16">
        <f t="shared" ca="1" si="9"/>
        <v>25000</v>
      </c>
      <c r="I50" s="16">
        <f t="shared" ca="1" si="10"/>
        <v>3250</v>
      </c>
      <c r="J50" s="16">
        <f t="shared" ca="1" si="11"/>
        <v>21750</v>
      </c>
      <c r="K50" s="10" t="s">
        <v>17</v>
      </c>
      <c r="L50" s="10" t="str">
        <f>LOOKUP(M50,Справочники!$B$2:$B$35,Справочники!$A$2:$A$35)</f>
        <v>Редакторский отдел</v>
      </c>
      <c r="M50" s="7" t="s">
        <v>56</v>
      </c>
      <c r="N50" s="6" t="s">
        <v>14</v>
      </c>
      <c r="O50" s="11">
        <v>35153</v>
      </c>
      <c r="P50" s="10">
        <f t="shared" ca="1" si="12"/>
        <v>26</v>
      </c>
      <c r="Q50" s="11">
        <v>24814</v>
      </c>
      <c r="R50" s="10">
        <f t="shared" ca="1" si="13"/>
        <v>54</v>
      </c>
      <c r="S50" s="10" t="str">
        <f>LOOKUP(L50,Справочники!$F$2:$F$10,Справочники!$H$2:$H$10)</f>
        <v>+7(8332)64-32-01</v>
      </c>
    </row>
    <row r="51" spans="1:19" ht="15" x14ac:dyDescent="0.25">
      <c r="A51" s="10">
        <v>147</v>
      </c>
      <c r="B51" s="12" t="s">
        <v>175</v>
      </c>
      <c r="C51" s="12" t="s">
        <v>176</v>
      </c>
      <c r="D51" s="12" t="s">
        <v>177</v>
      </c>
      <c r="E51" s="16">
        <f>LOOKUP(M51,Справочники!$B$2:$B$35,Справочники!$C$2:$C$35)</f>
        <v>11000</v>
      </c>
      <c r="F51" s="16">
        <f t="shared" ca="1" si="7"/>
        <v>1100</v>
      </c>
      <c r="G51" s="16">
        <f t="shared" si="8"/>
        <v>1650</v>
      </c>
      <c r="H51" s="16">
        <f t="shared" ca="1" si="9"/>
        <v>13750</v>
      </c>
      <c r="I51" s="16">
        <f t="shared" ca="1" si="10"/>
        <v>1787.5</v>
      </c>
      <c r="J51" s="16">
        <f t="shared" ca="1" si="11"/>
        <v>11962.5</v>
      </c>
      <c r="K51" s="10" t="s">
        <v>17</v>
      </c>
      <c r="L51" s="10" t="str">
        <f>LOOKUP(M51,Справочники!$B$2:$B$35,Справочники!$A$2:$A$35)</f>
        <v>Склад</v>
      </c>
      <c r="M51" s="6" t="s">
        <v>47</v>
      </c>
      <c r="N51" s="6" t="s">
        <v>33</v>
      </c>
      <c r="O51" s="11">
        <v>42399</v>
      </c>
      <c r="P51" s="10">
        <f t="shared" ca="1" si="12"/>
        <v>6</v>
      </c>
      <c r="Q51" s="11">
        <v>33858</v>
      </c>
      <c r="R51" s="10">
        <f t="shared" ca="1" si="13"/>
        <v>30</v>
      </c>
      <c r="S51" s="10" t="str">
        <f>LOOKUP(L51,Справочники!$F$2:$F$10,Справочники!$H$2:$H$10)</f>
        <v>+7(8332)64-32-23</v>
      </c>
    </row>
    <row r="52" spans="1:19" ht="15" x14ac:dyDescent="0.25">
      <c r="A52" s="10">
        <v>122</v>
      </c>
      <c r="B52" s="12" t="s">
        <v>121</v>
      </c>
      <c r="C52" s="12" t="s">
        <v>122</v>
      </c>
      <c r="D52" s="12" t="s">
        <v>96</v>
      </c>
      <c r="E52" s="16">
        <f>LOOKUP(M52,Справочники!$B$2:$B$35,Справочники!$C$2:$C$35)</f>
        <v>14000</v>
      </c>
      <c r="F52" s="16">
        <f t="shared" ca="1" si="7"/>
        <v>1400</v>
      </c>
      <c r="G52" s="16">
        <f t="shared" si="8"/>
        <v>2100</v>
      </c>
      <c r="H52" s="16">
        <f t="shared" ca="1" si="9"/>
        <v>17500</v>
      </c>
      <c r="I52" s="16">
        <f t="shared" ca="1" si="10"/>
        <v>2275</v>
      </c>
      <c r="J52" s="16">
        <f t="shared" ca="1" si="11"/>
        <v>15225</v>
      </c>
      <c r="K52" s="10" t="s">
        <v>9</v>
      </c>
      <c r="L52" s="10" t="str">
        <f>LOOKUP(M52,Справочники!$B$2:$B$35,Справочники!$A$2:$A$35)</f>
        <v>Технологический отдел</v>
      </c>
      <c r="M52" s="6" t="s">
        <v>37</v>
      </c>
      <c r="N52" s="6" t="s">
        <v>12</v>
      </c>
      <c r="O52" s="11">
        <v>36427</v>
      </c>
      <c r="P52" s="10">
        <f t="shared" ca="1" si="12"/>
        <v>23</v>
      </c>
      <c r="Q52" s="11">
        <v>24846</v>
      </c>
      <c r="R52" s="10">
        <f t="shared" ca="1" si="13"/>
        <v>54</v>
      </c>
      <c r="S52" s="10" t="str">
        <f>LOOKUP(L52,Справочники!$F$2:$F$10,Справочники!$H$2:$H$10)</f>
        <v>+7(8332)64-32-18</v>
      </c>
    </row>
    <row r="53" spans="1:19" ht="15" x14ac:dyDescent="0.25">
      <c r="A53" s="10">
        <v>159</v>
      </c>
      <c r="B53" s="12" t="s">
        <v>200</v>
      </c>
      <c r="C53" s="12" t="s">
        <v>158</v>
      </c>
      <c r="D53" s="12" t="s">
        <v>201</v>
      </c>
      <c r="E53" s="16">
        <f>LOOKUP(M53,Справочники!$B$2:$B$35,Справочники!$C$2:$C$35)</f>
        <v>14000</v>
      </c>
      <c r="F53" s="16">
        <f t="shared" ca="1" si="7"/>
        <v>1400</v>
      </c>
      <c r="G53" s="16">
        <f t="shared" si="8"/>
        <v>2100</v>
      </c>
      <c r="H53" s="16">
        <f t="shared" ca="1" si="9"/>
        <v>17500</v>
      </c>
      <c r="I53" s="16">
        <f t="shared" ca="1" si="10"/>
        <v>2275</v>
      </c>
      <c r="J53" s="16">
        <f t="shared" ca="1" si="11"/>
        <v>15225</v>
      </c>
      <c r="K53" s="10" t="s">
        <v>9</v>
      </c>
      <c r="L53" s="10" t="str">
        <f>LOOKUP(M53,Справочники!$B$2:$B$35,Справочники!$A$2:$A$35)</f>
        <v>Редакторский отдел</v>
      </c>
      <c r="M53" s="7" t="s">
        <v>55</v>
      </c>
      <c r="N53" s="6" t="s">
        <v>14</v>
      </c>
      <c r="O53" s="11">
        <v>35032</v>
      </c>
      <c r="P53" s="10">
        <f t="shared" ca="1" si="12"/>
        <v>26</v>
      </c>
      <c r="Q53" s="11">
        <v>22065</v>
      </c>
      <c r="R53" s="10">
        <f t="shared" ca="1" si="13"/>
        <v>62</v>
      </c>
      <c r="S53" s="10" t="str">
        <f>LOOKUP(L53,Справочники!$F$2:$F$10,Справочники!$H$2:$H$10)</f>
        <v>+7(8332)64-32-01</v>
      </c>
    </row>
    <row r="54" spans="1:19" ht="15" x14ac:dyDescent="0.25">
      <c r="A54" s="10">
        <v>149</v>
      </c>
      <c r="B54" s="12" t="s">
        <v>180</v>
      </c>
      <c r="C54" s="12" t="s">
        <v>181</v>
      </c>
      <c r="D54" s="12" t="s">
        <v>132</v>
      </c>
      <c r="E54" s="16">
        <f>LOOKUP(M54,Справочники!$B$2:$B$35,Справочники!$C$2:$C$35)</f>
        <v>12000</v>
      </c>
      <c r="F54" s="16">
        <f t="shared" ca="1" si="7"/>
        <v>1200</v>
      </c>
      <c r="G54" s="16">
        <f t="shared" si="8"/>
        <v>1800</v>
      </c>
      <c r="H54" s="16">
        <f t="shared" ca="1" si="9"/>
        <v>15000</v>
      </c>
      <c r="I54" s="16">
        <f t="shared" ca="1" si="10"/>
        <v>1950</v>
      </c>
      <c r="J54" s="16">
        <f t="shared" ca="1" si="11"/>
        <v>13050</v>
      </c>
      <c r="K54" s="10" t="s">
        <v>17</v>
      </c>
      <c r="L54" s="10" t="str">
        <f>LOOKUP(M54,Справочники!$B$2:$B$35,Справочники!$A$2:$A$35)</f>
        <v>Транспортный отдел</v>
      </c>
      <c r="M54" s="6" t="s">
        <v>50</v>
      </c>
      <c r="N54" s="6" t="s">
        <v>33</v>
      </c>
      <c r="O54" s="11">
        <v>34759</v>
      </c>
      <c r="P54" s="10">
        <f t="shared" ca="1" si="12"/>
        <v>27</v>
      </c>
      <c r="Q54" s="11">
        <v>25186</v>
      </c>
      <c r="R54" s="10">
        <f t="shared" ca="1" si="13"/>
        <v>53</v>
      </c>
      <c r="S54" s="10" t="str">
        <f>LOOKUP(L54,Справочники!$F$2:$F$10,Справочники!$H$2:$H$10)</f>
        <v>+7(8332)64-32-18</v>
      </c>
    </row>
    <row r="55" spans="1:19" ht="15" x14ac:dyDescent="0.25">
      <c r="A55" s="10">
        <v>164</v>
      </c>
      <c r="B55" s="12" t="s">
        <v>210</v>
      </c>
      <c r="C55" s="12" t="s">
        <v>211</v>
      </c>
      <c r="D55" s="12" t="s">
        <v>148</v>
      </c>
      <c r="E55" s="16">
        <f>LOOKUP(M55,Справочники!$B$2:$B$35,Справочники!$C$2:$C$35)</f>
        <v>12000</v>
      </c>
      <c r="F55" s="16">
        <f t="shared" ca="1" si="7"/>
        <v>0</v>
      </c>
      <c r="G55" s="16">
        <f t="shared" si="8"/>
        <v>1800</v>
      </c>
      <c r="H55" s="16">
        <f t="shared" ca="1" si="9"/>
        <v>13800</v>
      </c>
      <c r="I55" s="16">
        <f t="shared" ca="1" si="10"/>
        <v>1794</v>
      </c>
      <c r="J55" s="16">
        <f t="shared" ca="1" si="11"/>
        <v>12006</v>
      </c>
      <c r="K55" s="10" t="s">
        <v>9</v>
      </c>
      <c r="L55" s="10" t="str">
        <f>LOOKUP(M55,Справочники!$B$2:$B$35,Справочники!$A$2:$A$35)</f>
        <v>Транспортный отдел</v>
      </c>
      <c r="M55" s="6" t="s">
        <v>57</v>
      </c>
      <c r="N55" s="6" t="s">
        <v>33</v>
      </c>
      <c r="O55" s="11">
        <v>43438</v>
      </c>
      <c r="P55" s="10">
        <f t="shared" ca="1" si="12"/>
        <v>3</v>
      </c>
      <c r="Q55" s="11">
        <v>34714</v>
      </c>
      <c r="R55" s="10">
        <f t="shared" ca="1" si="13"/>
        <v>27</v>
      </c>
      <c r="S55" s="10" t="str">
        <f>LOOKUP(L55,Справочники!$F$2:$F$10,Справочники!$H$2:$H$10)</f>
        <v>+7(8332)64-32-18</v>
      </c>
    </row>
    <row r="56" spans="1:19" ht="15" x14ac:dyDescent="0.25">
      <c r="A56" s="10">
        <v>129</v>
      </c>
      <c r="B56" s="12" t="s">
        <v>134</v>
      </c>
      <c r="C56" s="12" t="s">
        <v>135</v>
      </c>
      <c r="D56" s="12" t="s">
        <v>136</v>
      </c>
      <c r="E56" s="16">
        <f>LOOKUP(M56,Справочники!$B$2:$B$35,Справочники!$C$2:$C$35)</f>
        <v>15000</v>
      </c>
      <c r="F56" s="16">
        <f t="shared" ca="1" si="7"/>
        <v>1500</v>
      </c>
      <c r="G56" s="16">
        <f t="shared" si="8"/>
        <v>2250</v>
      </c>
      <c r="H56" s="16">
        <f t="shared" ca="1" si="9"/>
        <v>18750</v>
      </c>
      <c r="I56" s="16">
        <f t="shared" ca="1" si="10"/>
        <v>2437.5</v>
      </c>
      <c r="J56" s="16">
        <f t="shared" ca="1" si="11"/>
        <v>16312.5</v>
      </c>
      <c r="K56" s="10" t="s">
        <v>17</v>
      </c>
      <c r="L56" s="10" t="str">
        <f>LOOKUP(M56,Справочники!$B$2:$B$35,Справочники!$A$2:$A$35)</f>
        <v>Рекламный отдел</v>
      </c>
      <c r="M56" s="6" t="s">
        <v>40</v>
      </c>
      <c r="N56" s="6" t="s">
        <v>14</v>
      </c>
      <c r="O56" s="11">
        <v>41972</v>
      </c>
      <c r="P56" s="10">
        <f t="shared" ca="1" si="12"/>
        <v>7</v>
      </c>
      <c r="Q56" s="11">
        <v>33851</v>
      </c>
      <c r="R56" s="10">
        <f t="shared" ca="1" si="13"/>
        <v>30</v>
      </c>
      <c r="S56" s="10" t="str">
        <f>LOOKUP(L56,Справочники!$F$2:$F$10,Справочники!$H$2:$H$10)</f>
        <v>+7(8332)64-32-01</v>
      </c>
    </row>
    <row r="57" spans="1:19" ht="15" x14ac:dyDescent="0.25">
      <c r="A57" s="10">
        <v>110</v>
      </c>
      <c r="B57" s="12" t="s">
        <v>94</v>
      </c>
      <c r="C57" s="12" t="s">
        <v>95</v>
      </c>
      <c r="D57" s="12" t="s">
        <v>96</v>
      </c>
      <c r="E57" s="16">
        <f>LOOKUP(M57,Справочники!$B$2:$B$35,Справочники!$C$2:$C$35)</f>
        <v>30000</v>
      </c>
      <c r="F57" s="16">
        <f t="shared" ca="1" si="7"/>
        <v>3000</v>
      </c>
      <c r="G57" s="16">
        <f t="shared" si="8"/>
        <v>4500</v>
      </c>
      <c r="H57" s="16">
        <f t="shared" ca="1" si="9"/>
        <v>37500</v>
      </c>
      <c r="I57" s="16">
        <f t="shared" ca="1" si="10"/>
        <v>4875</v>
      </c>
      <c r="J57" s="16">
        <f t="shared" ca="1" si="11"/>
        <v>32625</v>
      </c>
      <c r="K57" s="10" t="s">
        <v>9</v>
      </c>
      <c r="L57" s="10" t="str">
        <f>LOOKUP(M57,Справочники!$B$2:$B$35,Справочники!$A$2:$A$35)</f>
        <v>Управление</v>
      </c>
      <c r="M57" s="6" t="s">
        <v>23</v>
      </c>
      <c r="N57" s="6" t="s">
        <v>14</v>
      </c>
      <c r="O57" s="11">
        <v>34436</v>
      </c>
      <c r="P57" s="10">
        <f t="shared" ca="1" si="12"/>
        <v>28</v>
      </c>
      <c r="Q57" s="11">
        <v>26821</v>
      </c>
      <c r="R57" s="10">
        <f t="shared" ca="1" si="13"/>
        <v>49</v>
      </c>
      <c r="S57" s="10" t="str">
        <f>LOOKUP(L57,Справочники!$F$2:$F$10,Справочники!$H$2:$H$10)</f>
        <v>+7(8332)64-32-18</v>
      </c>
    </row>
    <row r="58" spans="1:19" ht="15" x14ac:dyDescent="0.25">
      <c r="A58" s="10">
        <v>148</v>
      </c>
      <c r="B58" s="12" t="s">
        <v>178</v>
      </c>
      <c r="C58" s="12" t="s">
        <v>179</v>
      </c>
      <c r="D58" s="12" t="s">
        <v>101</v>
      </c>
      <c r="E58" s="16">
        <f>LOOKUP(M58,Справочники!$B$2:$B$35,Справочники!$C$2:$C$35)</f>
        <v>22000</v>
      </c>
      <c r="F58" s="16">
        <f t="shared" ca="1" si="7"/>
        <v>0</v>
      </c>
      <c r="G58" s="16">
        <f t="shared" si="8"/>
        <v>3300</v>
      </c>
      <c r="H58" s="16">
        <f t="shared" ca="1" si="9"/>
        <v>25300</v>
      </c>
      <c r="I58" s="16">
        <f t="shared" ca="1" si="10"/>
        <v>3289</v>
      </c>
      <c r="J58" s="16">
        <f t="shared" ca="1" si="11"/>
        <v>22011</v>
      </c>
      <c r="K58" s="10" t="s">
        <v>17</v>
      </c>
      <c r="L58" s="10" t="str">
        <f>LOOKUP(M58,Справочники!$B$2:$B$35,Справочники!$A$2:$A$35)</f>
        <v>Рекламный отдел</v>
      </c>
      <c r="M58" s="6" t="s">
        <v>27</v>
      </c>
      <c r="N58" s="6" t="s">
        <v>14</v>
      </c>
      <c r="O58" s="11">
        <v>43539</v>
      </c>
      <c r="P58" s="10">
        <f t="shared" ca="1" si="12"/>
        <v>3</v>
      </c>
      <c r="Q58" s="11">
        <v>27737</v>
      </c>
      <c r="R58" s="10">
        <f t="shared" ca="1" si="13"/>
        <v>46</v>
      </c>
      <c r="S58" s="10" t="str">
        <f>LOOKUP(L58,Справочники!$F$2:$F$10,Справочники!$H$2:$H$10)</f>
        <v>+7(8332)64-32-01</v>
      </c>
    </row>
    <row r="59" spans="1:19" ht="15" x14ac:dyDescent="0.25">
      <c r="A59" s="10">
        <v>160</v>
      </c>
      <c r="B59" s="12" t="s">
        <v>202</v>
      </c>
      <c r="C59" s="12" t="s">
        <v>203</v>
      </c>
      <c r="D59" s="12" t="s">
        <v>127</v>
      </c>
      <c r="E59" s="16">
        <f>LOOKUP(M59,Справочники!$B$2:$B$35,Справочники!$C$2:$C$35)</f>
        <v>14000</v>
      </c>
      <c r="F59" s="16">
        <f t="shared" ca="1" si="7"/>
        <v>1400</v>
      </c>
      <c r="G59" s="16">
        <f t="shared" si="8"/>
        <v>2100</v>
      </c>
      <c r="H59" s="16">
        <f t="shared" ca="1" si="9"/>
        <v>17500</v>
      </c>
      <c r="I59" s="16">
        <f t="shared" ca="1" si="10"/>
        <v>2275</v>
      </c>
      <c r="J59" s="16">
        <f t="shared" ca="1" si="11"/>
        <v>15225</v>
      </c>
      <c r="K59" s="10" t="s">
        <v>9</v>
      </c>
      <c r="L59" s="10" t="str">
        <f>LOOKUP(M59,Справочники!$B$2:$B$35,Справочники!$A$2:$A$35)</f>
        <v>Редакторский отдел</v>
      </c>
      <c r="M59" s="7" t="s">
        <v>55</v>
      </c>
      <c r="N59" s="6" t="s">
        <v>14</v>
      </c>
      <c r="O59" s="11">
        <v>42991</v>
      </c>
      <c r="P59" s="10">
        <f t="shared" ca="1" si="12"/>
        <v>5</v>
      </c>
      <c r="Q59" s="11">
        <v>32936</v>
      </c>
      <c r="R59" s="10">
        <f t="shared" ca="1" si="13"/>
        <v>32</v>
      </c>
      <c r="S59" s="10" t="str">
        <f>LOOKUP(L59,Справочники!$F$2:$F$10,Справочники!$H$2:$H$10)</f>
        <v>+7(8332)64-32-01</v>
      </c>
    </row>
    <row r="60" spans="1:19" ht="15" x14ac:dyDescent="0.25">
      <c r="A60" s="10">
        <v>137</v>
      </c>
      <c r="B60" s="12" t="s">
        <v>153</v>
      </c>
      <c r="C60" s="12" t="s">
        <v>114</v>
      </c>
      <c r="D60" s="12" t="s">
        <v>154</v>
      </c>
      <c r="E60" s="16">
        <f>LOOKUP(M60,Справочники!$B$2:$B$35,Справочники!$C$2:$C$35)</f>
        <v>15000</v>
      </c>
      <c r="F60" s="16">
        <f t="shared" ca="1" si="7"/>
        <v>1500</v>
      </c>
      <c r="G60" s="16">
        <f t="shared" si="8"/>
        <v>2250</v>
      </c>
      <c r="H60" s="16">
        <f t="shared" ca="1" si="9"/>
        <v>18750</v>
      </c>
      <c r="I60" s="16">
        <f t="shared" ca="1" si="10"/>
        <v>2437.5</v>
      </c>
      <c r="J60" s="16">
        <f t="shared" ca="1" si="11"/>
        <v>16312.5</v>
      </c>
      <c r="K60" s="10" t="s">
        <v>9</v>
      </c>
      <c r="L60" s="10" t="str">
        <f>LOOKUP(M60,Справочники!$B$2:$B$35,Справочники!$A$2:$A$35)</f>
        <v>Управление</v>
      </c>
      <c r="M60" s="6" t="s">
        <v>20</v>
      </c>
      <c r="N60" s="6" t="s">
        <v>25</v>
      </c>
      <c r="O60" s="11">
        <v>42271</v>
      </c>
      <c r="P60" s="10">
        <f t="shared" ca="1" si="12"/>
        <v>7</v>
      </c>
      <c r="Q60" s="11">
        <v>33851</v>
      </c>
      <c r="R60" s="10">
        <f t="shared" ca="1" si="13"/>
        <v>30</v>
      </c>
      <c r="S60" s="10" t="str">
        <f>LOOKUP(L60,Справочники!$F$2:$F$10,Справочники!$H$2:$H$10)</f>
        <v>+7(8332)64-32-18</v>
      </c>
    </row>
    <row r="61" spans="1:19" ht="15" x14ac:dyDescent="0.25">
      <c r="A61" s="10">
        <v>123</v>
      </c>
      <c r="B61" s="12" t="s">
        <v>123</v>
      </c>
      <c r="C61" s="12" t="s">
        <v>114</v>
      </c>
      <c r="D61" s="12" t="s">
        <v>103</v>
      </c>
      <c r="E61" s="16">
        <f>LOOKUP(M61,Справочники!$B$2:$B$35,Справочники!$C$2:$C$35)</f>
        <v>12000</v>
      </c>
      <c r="F61" s="16">
        <f t="shared" ca="1" si="7"/>
        <v>1200</v>
      </c>
      <c r="G61" s="16">
        <f t="shared" si="8"/>
        <v>1800</v>
      </c>
      <c r="H61" s="16">
        <f t="shared" ca="1" si="9"/>
        <v>15000</v>
      </c>
      <c r="I61" s="16">
        <f t="shared" ca="1" si="10"/>
        <v>1950</v>
      </c>
      <c r="J61" s="16">
        <f t="shared" ca="1" si="11"/>
        <v>13050</v>
      </c>
      <c r="K61" s="10" t="s">
        <v>9</v>
      </c>
      <c r="L61" s="10" t="str">
        <f>LOOKUP(M61,Справочники!$B$2:$B$35,Справочники!$A$2:$A$35)</f>
        <v>Технологический отдел</v>
      </c>
      <c r="M61" s="6" t="s">
        <v>34</v>
      </c>
      <c r="N61" s="6" t="s">
        <v>14</v>
      </c>
      <c r="O61" s="11">
        <v>35290</v>
      </c>
      <c r="P61" s="10">
        <f t="shared" ca="1" si="12"/>
        <v>26</v>
      </c>
      <c r="Q61" s="11">
        <v>22280</v>
      </c>
      <c r="R61" s="10">
        <f t="shared" ca="1" si="13"/>
        <v>61</v>
      </c>
      <c r="S61" s="10" t="str">
        <f>LOOKUP(L61,Справочники!$F$2:$F$10,Справочники!$H$2:$H$10)</f>
        <v>+7(8332)64-32-18</v>
      </c>
    </row>
    <row r="62" spans="1:19" ht="15" x14ac:dyDescent="0.25">
      <c r="A62" s="10">
        <v>113</v>
      </c>
      <c r="B62" s="12" t="s">
        <v>102</v>
      </c>
      <c r="C62" s="12" t="s">
        <v>98</v>
      </c>
      <c r="D62" s="12" t="s">
        <v>103</v>
      </c>
      <c r="E62" s="16">
        <f>LOOKUP(M62,Справочники!$B$2:$B$35,Справочники!$C$2:$C$35)</f>
        <v>18000</v>
      </c>
      <c r="F62" s="16">
        <f t="shared" ca="1" si="7"/>
        <v>1800</v>
      </c>
      <c r="G62" s="16">
        <f t="shared" si="8"/>
        <v>2700</v>
      </c>
      <c r="H62" s="16">
        <f t="shared" ca="1" si="9"/>
        <v>22500</v>
      </c>
      <c r="I62" s="16">
        <f t="shared" ca="1" si="10"/>
        <v>2925</v>
      </c>
      <c r="J62" s="16">
        <f t="shared" ca="1" si="11"/>
        <v>19575</v>
      </c>
      <c r="K62" s="10" t="s">
        <v>9</v>
      </c>
      <c r="L62" s="10" t="str">
        <f>LOOKUP(M62,Справочники!$B$2:$B$35,Справочники!$A$2:$A$35)</f>
        <v>Рекламный отдел</v>
      </c>
      <c r="M62" s="6" t="s">
        <v>28</v>
      </c>
      <c r="N62" s="6" t="s">
        <v>14</v>
      </c>
      <c r="O62" s="11">
        <v>34788</v>
      </c>
      <c r="P62" s="10">
        <f t="shared" ca="1" si="12"/>
        <v>27</v>
      </c>
      <c r="Q62" s="11">
        <v>25186</v>
      </c>
      <c r="R62" s="10">
        <f t="shared" ca="1" si="13"/>
        <v>53</v>
      </c>
      <c r="S62" s="10" t="str">
        <f>LOOKUP(L62,Справочники!$F$2:$F$10,Справочники!$H$2:$H$10)</f>
        <v>+7(8332)64-32-01</v>
      </c>
    </row>
    <row r="63" spans="1:19" ht="15" x14ac:dyDescent="0.25">
      <c r="A63" s="10">
        <v>133</v>
      </c>
      <c r="B63" s="12" t="s">
        <v>144</v>
      </c>
      <c r="C63" s="12" t="s">
        <v>84</v>
      </c>
      <c r="D63" s="12" t="s">
        <v>145</v>
      </c>
      <c r="E63" s="16">
        <f>LOOKUP(M63,Справочники!$B$2:$B$35,Справочники!$C$2:$C$35)</f>
        <v>15000</v>
      </c>
      <c r="F63" s="16">
        <f t="shared" ca="1" si="7"/>
        <v>1500</v>
      </c>
      <c r="G63" s="16">
        <f t="shared" si="8"/>
        <v>2250</v>
      </c>
      <c r="H63" s="16">
        <f t="shared" ca="1" si="9"/>
        <v>18750</v>
      </c>
      <c r="I63" s="16">
        <f t="shared" ca="1" si="10"/>
        <v>2437.5</v>
      </c>
      <c r="J63" s="16">
        <f t="shared" ca="1" si="11"/>
        <v>16312.5</v>
      </c>
      <c r="K63" s="10" t="s">
        <v>17</v>
      </c>
      <c r="L63" s="10" t="str">
        <f>LOOKUP(M63,Справочники!$B$2:$B$35,Справочники!$A$2:$A$35)</f>
        <v>Рекламный отдел</v>
      </c>
      <c r="M63" s="6" t="s">
        <v>40</v>
      </c>
      <c r="N63" s="6" t="s">
        <v>14</v>
      </c>
      <c r="O63" s="11">
        <v>41782</v>
      </c>
      <c r="P63" s="10">
        <f t="shared" ca="1" si="12"/>
        <v>8</v>
      </c>
      <c r="Q63" s="11">
        <v>33871</v>
      </c>
      <c r="R63" s="10">
        <f t="shared" ca="1" si="13"/>
        <v>30</v>
      </c>
      <c r="S63" s="10" t="str">
        <f>LOOKUP(L63,Справочники!$F$2:$F$10,Справочники!$H$2:$H$10)</f>
        <v>+7(8332)64-32-01</v>
      </c>
    </row>
    <row r="64" spans="1:19" ht="15" x14ac:dyDescent="0.25">
      <c r="A64" s="10">
        <v>138</v>
      </c>
      <c r="B64" s="12" t="s">
        <v>155</v>
      </c>
      <c r="C64" s="12" t="s">
        <v>108</v>
      </c>
      <c r="D64" s="12" t="s">
        <v>156</v>
      </c>
      <c r="E64" s="16">
        <f>LOOKUP(M64,Справочники!$B$2:$B$35,Справочники!$C$2:$C$35)</f>
        <v>18000</v>
      </c>
      <c r="F64" s="16">
        <f t="shared" ca="1" si="7"/>
        <v>1800</v>
      </c>
      <c r="G64" s="16">
        <f t="shared" si="8"/>
        <v>2700</v>
      </c>
      <c r="H64" s="16">
        <f t="shared" ca="1" si="9"/>
        <v>22500</v>
      </c>
      <c r="I64" s="16">
        <f t="shared" ca="1" si="10"/>
        <v>2925</v>
      </c>
      <c r="J64" s="16">
        <f t="shared" ca="1" si="11"/>
        <v>19575</v>
      </c>
      <c r="K64" s="10" t="s">
        <v>9</v>
      </c>
      <c r="L64" s="10" t="str">
        <f>LOOKUP(M64,Справочники!$B$2:$B$35,Справочники!$A$2:$A$35)</f>
        <v>Отдел худ. оформления</v>
      </c>
      <c r="M64" s="6" t="s">
        <v>44</v>
      </c>
      <c r="N64" s="6" t="s">
        <v>14</v>
      </c>
      <c r="O64" s="11">
        <v>34380</v>
      </c>
      <c r="P64" s="10">
        <f t="shared" ca="1" si="12"/>
        <v>28</v>
      </c>
      <c r="Q64" s="11">
        <v>23757</v>
      </c>
      <c r="R64" s="10">
        <f t="shared" ca="1" si="13"/>
        <v>57</v>
      </c>
      <c r="S64" s="10" t="str">
        <f>LOOKUP(L64,Справочники!$F$2:$F$10,Справочники!$H$2:$H$10)</f>
        <v>+7(8332)64-32-01</v>
      </c>
    </row>
    <row r="65" spans="1:19" ht="15" x14ac:dyDescent="0.25">
      <c r="A65" s="10">
        <v>127</v>
      </c>
      <c r="B65" s="12" t="s">
        <v>130</v>
      </c>
      <c r="C65" s="12" t="s">
        <v>131</v>
      </c>
      <c r="D65" s="12" t="s">
        <v>132</v>
      </c>
      <c r="E65" s="16">
        <f>LOOKUP(M65,Справочники!$B$2:$B$35,Справочники!$C$2:$C$35)</f>
        <v>20000</v>
      </c>
      <c r="F65" s="16">
        <f t="shared" ca="1" si="7"/>
        <v>2000</v>
      </c>
      <c r="G65" s="16">
        <f t="shared" si="8"/>
        <v>3000</v>
      </c>
      <c r="H65" s="16">
        <f t="shared" ca="1" si="9"/>
        <v>25000</v>
      </c>
      <c r="I65" s="16">
        <f t="shared" ca="1" si="10"/>
        <v>3250</v>
      </c>
      <c r="J65" s="16">
        <f t="shared" ca="1" si="11"/>
        <v>21750</v>
      </c>
      <c r="K65" s="10" t="s">
        <v>17</v>
      </c>
      <c r="L65" s="10" t="str">
        <f>LOOKUP(M65,Справочники!$B$2:$B$35,Справочники!$A$2:$A$35)</f>
        <v>Технологический отдел</v>
      </c>
      <c r="M65" s="6" t="s">
        <v>38</v>
      </c>
      <c r="N65" s="6" t="s">
        <v>14</v>
      </c>
      <c r="O65" s="11">
        <v>40810</v>
      </c>
      <c r="P65" s="10">
        <f t="shared" ca="1" si="12"/>
        <v>11</v>
      </c>
      <c r="Q65" s="11">
        <v>31390</v>
      </c>
      <c r="R65" s="10">
        <f t="shared" ca="1" si="13"/>
        <v>36</v>
      </c>
      <c r="S65" s="10" t="str">
        <f>LOOKUP(L65,Справочники!$F$2:$F$10,Справочники!$H$2:$H$10)</f>
        <v>+7(8332)64-32-18</v>
      </c>
    </row>
    <row r="66" spans="1:19" ht="15" x14ac:dyDescent="0.25">
      <c r="A66" s="10">
        <v>124</v>
      </c>
      <c r="B66" s="12" t="s">
        <v>124</v>
      </c>
      <c r="C66" s="12" t="s">
        <v>125</v>
      </c>
      <c r="D66" s="12" t="s">
        <v>96</v>
      </c>
      <c r="E66" s="16">
        <f>LOOKUP(M66,Справочники!$B$2:$B$35,Справочники!$C$2:$C$35)</f>
        <v>15000</v>
      </c>
      <c r="F66" s="16">
        <f t="shared" ca="1" si="7"/>
        <v>1500</v>
      </c>
      <c r="G66" s="16">
        <f t="shared" si="8"/>
        <v>2250</v>
      </c>
      <c r="H66" s="16">
        <f t="shared" ca="1" si="9"/>
        <v>18750</v>
      </c>
      <c r="I66" s="16">
        <f t="shared" ca="1" si="10"/>
        <v>2437.5</v>
      </c>
      <c r="J66" s="16">
        <f t="shared" ca="1" si="11"/>
        <v>16312.5</v>
      </c>
      <c r="K66" s="10" t="s">
        <v>9</v>
      </c>
      <c r="L66" s="10" t="str">
        <f>LOOKUP(M66,Справочники!$B$2:$B$35,Справочники!$A$2:$A$35)</f>
        <v>Технологический отдел</v>
      </c>
      <c r="M66" s="6" t="s">
        <v>32</v>
      </c>
      <c r="N66" s="6" t="s">
        <v>33</v>
      </c>
      <c r="O66" s="11">
        <v>35451</v>
      </c>
      <c r="P66" s="10">
        <f t="shared" ca="1" si="12"/>
        <v>25</v>
      </c>
      <c r="Q66" s="11">
        <v>27551</v>
      </c>
      <c r="R66" s="10">
        <f t="shared" ca="1" si="13"/>
        <v>47</v>
      </c>
      <c r="S66" s="10" t="str">
        <f>LOOKUP(L66,Справочники!$F$2:$F$10,Справочники!$H$2:$H$10)</f>
        <v>+7(8332)64-32-18</v>
      </c>
    </row>
    <row r="67" spans="1:19" ht="15" x14ac:dyDescent="0.25">
      <c r="A67" s="10">
        <v>125</v>
      </c>
      <c r="B67" s="12" t="s">
        <v>126</v>
      </c>
      <c r="C67" s="12" t="s">
        <v>98</v>
      </c>
      <c r="D67" s="12" t="s">
        <v>127</v>
      </c>
      <c r="E67" s="16">
        <f>LOOKUP(M67,Справочники!$B$2:$B$35,Справочники!$C$2:$C$35)</f>
        <v>12000</v>
      </c>
      <c r="F67" s="16">
        <f t="shared" ca="1" si="7"/>
        <v>1200</v>
      </c>
      <c r="G67" s="16">
        <f t="shared" si="8"/>
        <v>1800</v>
      </c>
      <c r="H67" s="16">
        <f t="shared" ca="1" si="9"/>
        <v>15000</v>
      </c>
      <c r="I67" s="16">
        <f t="shared" ca="1" si="10"/>
        <v>1950</v>
      </c>
      <c r="J67" s="16">
        <f t="shared" ca="1" si="11"/>
        <v>13050</v>
      </c>
      <c r="K67" s="10" t="s">
        <v>9</v>
      </c>
      <c r="L67" s="10" t="str">
        <f>LOOKUP(M67,Справочники!$B$2:$B$35,Справочники!$A$2:$A$35)</f>
        <v>Технологический отдел</v>
      </c>
      <c r="M67" s="6" t="s">
        <v>34</v>
      </c>
      <c r="N67" s="6" t="s">
        <v>33</v>
      </c>
      <c r="O67" s="11">
        <v>35290</v>
      </c>
      <c r="P67" s="10">
        <f t="shared" ca="1" si="12"/>
        <v>26</v>
      </c>
      <c r="Q67" s="11">
        <v>22065</v>
      </c>
      <c r="R67" s="10">
        <f t="shared" ca="1" si="13"/>
        <v>62</v>
      </c>
      <c r="S67" s="10" t="str">
        <f>LOOKUP(L67,Справочники!$F$2:$F$10,Справочники!$H$2:$H$10)</f>
        <v>+7(8332)64-32-18</v>
      </c>
    </row>
    <row r="68" spans="1:19" x14ac:dyDescent="0.2">
      <c r="I68" s="27">
        <f ca="1">SUM(I4:I67)</f>
        <v>168616.5</v>
      </c>
      <c r="J68" s="27">
        <f ca="1">SUM(J4:J67)</f>
        <v>1128433.5</v>
      </c>
    </row>
    <row r="69" spans="1:19" x14ac:dyDescent="0.2">
      <c r="D69" s="29" t="s">
        <v>230</v>
      </c>
    </row>
    <row r="72" spans="1:19" x14ac:dyDescent="0.2">
      <c r="B72" s="30">
        <f ca="1">MAX(J4:J67)</f>
        <v>38062.5</v>
      </c>
      <c r="C72" s="28" t="s">
        <v>224</v>
      </c>
    </row>
    <row r="73" spans="1:19" x14ac:dyDescent="0.2">
      <c r="B73" s="30">
        <f ca="1">MIN(I4:I67)</f>
        <v>1644.5</v>
      </c>
      <c r="C73" s="28" t="s">
        <v>225</v>
      </c>
    </row>
    <row r="74" spans="1:19" x14ac:dyDescent="0.2">
      <c r="B74" s="30">
        <f>AVERAGE(E4:E67)</f>
        <v>16296.875</v>
      </c>
      <c r="C74" s="28" t="s">
        <v>226</v>
      </c>
    </row>
    <row r="75" spans="1:19" x14ac:dyDescent="0.2">
      <c r="B75" s="12">
        <f ca="1">COUNTIF(F4:F67, "&gt;0")</f>
        <v>60</v>
      </c>
      <c r="C75" s="28" t="s">
        <v>227</v>
      </c>
    </row>
    <row r="76" spans="1:19" x14ac:dyDescent="0.2">
      <c r="B76" s="30">
        <f ca="1">SUMIF(F4:F67, "&gt;0", I4:I67)</f>
        <v>158600</v>
      </c>
      <c r="C76" s="28" t="s">
        <v>228</v>
      </c>
    </row>
    <row r="77" spans="1:19" x14ac:dyDescent="0.2">
      <c r="B77" s="30">
        <f ca="1">SUMIFS( E4:E67, F4:F67, "=0", E4:E67, "&gt;15000")</f>
        <v>44000</v>
      </c>
      <c r="C77" s="28" t="s">
        <v>229</v>
      </c>
    </row>
  </sheetData>
  <sortState xmlns:xlrd2="http://schemas.microsoft.com/office/spreadsheetml/2017/richdata2" ref="A4:R67">
    <sortCondition ref="B4:B67"/>
    <sortCondition ref="C4:C67"/>
    <sortCondition ref="D4:D67"/>
  </sortState>
  <mergeCells count="3">
    <mergeCell ref="A1:D1"/>
    <mergeCell ref="E1:H1"/>
    <mergeCell ref="I1:J1"/>
  </mergeCells>
  <conditionalFormatting sqref="J4:J67">
    <cfRule type="cellIs" dxfId="15" priority="1" operator="lessThan">
      <formula>15000</formula>
    </cfRule>
    <cfRule type="cellIs" dxfId="14" priority="3" operator="greaterThan">
      <formula>25000</formula>
    </cfRule>
    <cfRule type="cellIs" dxfId="13" priority="4" operator="between">
      <formula>15000</formula>
      <formula>25000</formula>
    </cfRule>
  </conditionalFormatting>
  <conditionalFormatting sqref="J7:J67">
    <cfRule type="cellIs" dxfId="12" priority="2" operator="lessThan">
      <formula>15000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2F45-4C36-4947-B5E2-106A83268D83}">
  <dimension ref="A1:S77"/>
  <sheetViews>
    <sheetView topLeftCell="D1" zoomScaleNormal="100" workbookViewId="0">
      <pane ySplit="3" topLeftCell="A55" activePane="bottomLeft" state="frozen"/>
      <selection pane="bottomLeft" activeCell="M3" sqref="M3:M67"/>
    </sheetView>
  </sheetViews>
  <sheetFormatPr defaultRowHeight="12.75" x14ac:dyDescent="0.2"/>
  <cols>
    <col min="1" max="1" width="11.42578125" style="4" customWidth="1"/>
    <col min="2" max="2" width="27.85546875" style="13" customWidth="1"/>
    <col min="3" max="3" width="18" style="13" customWidth="1"/>
    <col min="4" max="4" width="21.140625" style="13" customWidth="1"/>
    <col min="5" max="5" width="10.7109375" style="18" bestFit="1" customWidth="1"/>
    <col min="6" max="6" width="10.85546875" style="4" customWidth="1"/>
    <col min="7" max="7" width="16.42578125" style="4" customWidth="1"/>
    <col min="8" max="8" width="12.28515625" style="4" customWidth="1"/>
    <col min="9" max="9" width="13.7109375" style="4" customWidth="1"/>
    <col min="10" max="10" width="15.140625" style="4" customWidth="1"/>
    <col min="11" max="11" width="4.5703125" style="5" hidden="1" customWidth="1"/>
    <col min="12" max="12" width="22.140625" style="5" bestFit="1" customWidth="1"/>
    <col min="13" max="13" width="24.140625" style="4" bestFit="1" customWidth="1"/>
    <col min="14" max="14" width="20" style="4" hidden="1" customWidth="1"/>
    <col min="15" max="15" width="11.85546875" style="4" hidden="1" customWidth="1"/>
    <col min="16" max="16" width="12" style="4" customWidth="1"/>
    <col min="17" max="17" width="10.42578125" style="4" hidden="1" customWidth="1"/>
    <col min="18" max="18" width="14.28515625" style="4" customWidth="1"/>
    <col min="19" max="19" width="18.28515625" style="4" hidden="1" customWidth="1"/>
    <col min="20" max="258" width="9.140625" style="4"/>
    <col min="259" max="259" width="4.42578125" style="4" bestFit="1" customWidth="1"/>
    <col min="260" max="260" width="13.85546875" style="4" bestFit="1" customWidth="1"/>
    <col min="261" max="261" width="11.28515625" style="4" bestFit="1" customWidth="1"/>
    <col min="262" max="262" width="14.5703125" style="4" bestFit="1" customWidth="1"/>
    <col min="263" max="263" width="4.5703125" style="4" bestFit="1" customWidth="1"/>
    <col min="264" max="264" width="22.140625" style="4" bestFit="1" customWidth="1"/>
    <col min="265" max="265" width="24.140625" style="4" bestFit="1" customWidth="1"/>
    <col min="266" max="266" width="10.7109375" style="4" bestFit="1" customWidth="1"/>
    <col min="267" max="267" width="20" style="4" bestFit="1" customWidth="1"/>
    <col min="268" max="268" width="11.85546875" style="4" bestFit="1" customWidth="1"/>
    <col min="269" max="269" width="10.42578125" style="4" bestFit="1" customWidth="1"/>
    <col min="270" max="270" width="42.28515625" style="4" bestFit="1" customWidth="1"/>
    <col min="271" max="271" width="13.5703125" style="4" bestFit="1" customWidth="1"/>
    <col min="272" max="272" width="7.7109375" style="4" bestFit="1" customWidth="1"/>
    <col min="273" max="273" width="10.7109375" style="4" bestFit="1" customWidth="1"/>
    <col min="274" max="274" width="9.28515625" style="4" bestFit="1" customWidth="1"/>
    <col min="275" max="275" width="8.7109375" style="4" bestFit="1" customWidth="1"/>
    <col min="276" max="514" width="9.140625" style="4"/>
    <col min="515" max="515" width="4.42578125" style="4" bestFit="1" customWidth="1"/>
    <col min="516" max="516" width="13.85546875" style="4" bestFit="1" customWidth="1"/>
    <col min="517" max="517" width="11.28515625" style="4" bestFit="1" customWidth="1"/>
    <col min="518" max="518" width="14.5703125" style="4" bestFit="1" customWidth="1"/>
    <col min="519" max="519" width="4.5703125" style="4" bestFit="1" customWidth="1"/>
    <col min="520" max="520" width="22.140625" style="4" bestFit="1" customWidth="1"/>
    <col min="521" max="521" width="24.140625" style="4" bestFit="1" customWidth="1"/>
    <col min="522" max="522" width="10.7109375" style="4" bestFit="1" customWidth="1"/>
    <col min="523" max="523" width="20" style="4" bestFit="1" customWidth="1"/>
    <col min="524" max="524" width="11.85546875" style="4" bestFit="1" customWidth="1"/>
    <col min="525" max="525" width="10.42578125" style="4" bestFit="1" customWidth="1"/>
    <col min="526" max="526" width="42.28515625" style="4" bestFit="1" customWidth="1"/>
    <col min="527" max="527" width="13.5703125" style="4" bestFit="1" customWidth="1"/>
    <col min="528" max="528" width="7.7109375" style="4" bestFit="1" customWidth="1"/>
    <col min="529" max="529" width="10.7109375" style="4" bestFit="1" customWidth="1"/>
    <col min="530" max="530" width="9.28515625" style="4" bestFit="1" customWidth="1"/>
    <col min="531" max="531" width="8.7109375" style="4" bestFit="1" customWidth="1"/>
    <col min="532" max="770" width="9.140625" style="4"/>
    <col min="771" max="771" width="4.42578125" style="4" bestFit="1" customWidth="1"/>
    <col min="772" max="772" width="13.85546875" style="4" bestFit="1" customWidth="1"/>
    <col min="773" max="773" width="11.28515625" style="4" bestFit="1" customWidth="1"/>
    <col min="774" max="774" width="14.5703125" style="4" bestFit="1" customWidth="1"/>
    <col min="775" max="775" width="4.5703125" style="4" bestFit="1" customWidth="1"/>
    <col min="776" max="776" width="22.140625" style="4" bestFit="1" customWidth="1"/>
    <col min="777" max="777" width="24.140625" style="4" bestFit="1" customWidth="1"/>
    <col min="778" max="778" width="10.7109375" style="4" bestFit="1" customWidth="1"/>
    <col min="779" max="779" width="20" style="4" bestFit="1" customWidth="1"/>
    <col min="780" max="780" width="11.85546875" style="4" bestFit="1" customWidth="1"/>
    <col min="781" max="781" width="10.42578125" style="4" bestFit="1" customWidth="1"/>
    <col min="782" max="782" width="42.28515625" style="4" bestFit="1" customWidth="1"/>
    <col min="783" max="783" width="13.5703125" style="4" bestFit="1" customWidth="1"/>
    <col min="784" max="784" width="7.7109375" style="4" bestFit="1" customWidth="1"/>
    <col min="785" max="785" width="10.7109375" style="4" bestFit="1" customWidth="1"/>
    <col min="786" max="786" width="9.28515625" style="4" bestFit="1" customWidth="1"/>
    <col min="787" max="787" width="8.7109375" style="4" bestFit="1" customWidth="1"/>
    <col min="788" max="1026" width="9.140625" style="4"/>
    <col min="1027" max="1027" width="4.42578125" style="4" bestFit="1" customWidth="1"/>
    <col min="1028" max="1028" width="13.85546875" style="4" bestFit="1" customWidth="1"/>
    <col min="1029" max="1029" width="11.28515625" style="4" bestFit="1" customWidth="1"/>
    <col min="1030" max="1030" width="14.5703125" style="4" bestFit="1" customWidth="1"/>
    <col min="1031" max="1031" width="4.5703125" style="4" bestFit="1" customWidth="1"/>
    <col min="1032" max="1032" width="22.140625" style="4" bestFit="1" customWidth="1"/>
    <col min="1033" max="1033" width="24.140625" style="4" bestFit="1" customWidth="1"/>
    <col min="1034" max="1034" width="10.7109375" style="4" bestFit="1" customWidth="1"/>
    <col min="1035" max="1035" width="20" style="4" bestFit="1" customWidth="1"/>
    <col min="1036" max="1036" width="11.85546875" style="4" bestFit="1" customWidth="1"/>
    <col min="1037" max="1037" width="10.42578125" style="4" bestFit="1" customWidth="1"/>
    <col min="1038" max="1038" width="42.28515625" style="4" bestFit="1" customWidth="1"/>
    <col min="1039" max="1039" width="13.5703125" style="4" bestFit="1" customWidth="1"/>
    <col min="1040" max="1040" width="7.7109375" style="4" bestFit="1" customWidth="1"/>
    <col min="1041" max="1041" width="10.7109375" style="4" bestFit="1" customWidth="1"/>
    <col min="1042" max="1042" width="9.28515625" style="4" bestFit="1" customWidth="1"/>
    <col min="1043" max="1043" width="8.7109375" style="4" bestFit="1" customWidth="1"/>
    <col min="1044" max="1282" width="9.140625" style="4"/>
    <col min="1283" max="1283" width="4.42578125" style="4" bestFit="1" customWidth="1"/>
    <col min="1284" max="1284" width="13.85546875" style="4" bestFit="1" customWidth="1"/>
    <col min="1285" max="1285" width="11.28515625" style="4" bestFit="1" customWidth="1"/>
    <col min="1286" max="1286" width="14.5703125" style="4" bestFit="1" customWidth="1"/>
    <col min="1287" max="1287" width="4.5703125" style="4" bestFit="1" customWidth="1"/>
    <col min="1288" max="1288" width="22.140625" style="4" bestFit="1" customWidth="1"/>
    <col min="1289" max="1289" width="24.140625" style="4" bestFit="1" customWidth="1"/>
    <col min="1290" max="1290" width="10.7109375" style="4" bestFit="1" customWidth="1"/>
    <col min="1291" max="1291" width="20" style="4" bestFit="1" customWidth="1"/>
    <col min="1292" max="1292" width="11.85546875" style="4" bestFit="1" customWidth="1"/>
    <col min="1293" max="1293" width="10.42578125" style="4" bestFit="1" customWidth="1"/>
    <col min="1294" max="1294" width="42.28515625" style="4" bestFit="1" customWidth="1"/>
    <col min="1295" max="1295" width="13.5703125" style="4" bestFit="1" customWidth="1"/>
    <col min="1296" max="1296" width="7.7109375" style="4" bestFit="1" customWidth="1"/>
    <col min="1297" max="1297" width="10.7109375" style="4" bestFit="1" customWidth="1"/>
    <col min="1298" max="1298" width="9.28515625" style="4" bestFit="1" customWidth="1"/>
    <col min="1299" max="1299" width="8.7109375" style="4" bestFit="1" customWidth="1"/>
    <col min="1300" max="1538" width="9.140625" style="4"/>
    <col min="1539" max="1539" width="4.42578125" style="4" bestFit="1" customWidth="1"/>
    <col min="1540" max="1540" width="13.85546875" style="4" bestFit="1" customWidth="1"/>
    <col min="1541" max="1541" width="11.28515625" style="4" bestFit="1" customWidth="1"/>
    <col min="1542" max="1542" width="14.5703125" style="4" bestFit="1" customWidth="1"/>
    <col min="1543" max="1543" width="4.5703125" style="4" bestFit="1" customWidth="1"/>
    <col min="1544" max="1544" width="22.140625" style="4" bestFit="1" customWidth="1"/>
    <col min="1545" max="1545" width="24.140625" style="4" bestFit="1" customWidth="1"/>
    <col min="1546" max="1546" width="10.7109375" style="4" bestFit="1" customWidth="1"/>
    <col min="1547" max="1547" width="20" style="4" bestFit="1" customWidth="1"/>
    <col min="1548" max="1548" width="11.85546875" style="4" bestFit="1" customWidth="1"/>
    <col min="1549" max="1549" width="10.42578125" style="4" bestFit="1" customWidth="1"/>
    <col min="1550" max="1550" width="42.28515625" style="4" bestFit="1" customWidth="1"/>
    <col min="1551" max="1551" width="13.5703125" style="4" bestFit="1" customWidth="1"/>
    <col min="1552" max="1552" width="7.7109375" style="4" bestFit="1" customWidth="1"/>
    <col min="1553" max="1553" width="10.7109375" style="4" bestFit="1" customWidth="1"/>
    <col min="1554" max="1554" width="9.28515625" style="4" bestFit="1" customWidth="1"/>
    <col min="1555" max="1555" width="8.7109375" style="4" bestFit="1" customWidth="1"/>
    <col min="1556" max="1794" width="9.140625" style="4"/>
    <col min="1795" max="1795" width="4.42578125" style="4" bestFit="1" customWidth="1"/>
    <col min="1796" max="1796" width="13.85546875" style="4" bestFit="1" customWidth="1"/>
    <col min="1797" max="1797" width="11.28515625" style="4" bestFit="1" customWidth="1"/>
    <col min="1798" max="1798" width="14.5703125" style="4" bestFit="1" customWidth="1"/>
    <col min="1799" max="1799" width="4.5703125" style="4" bestFit="1" customWidth="1"/>
    <col min="1800" max="1800" width="22.140625" style="4" bestFit="1" customWidth="1"/>
    <col min="1801" max="1801" width="24.140625" style="4" bestFit="1" customWidth="1"/>
    <col min="1802" max="1802" width="10.7109375" style="4" bestFit="1" customWidth="1"/>
    <col min="1803" max="1803" width="20" style="4" bestFit="1" customWidth="1"/>
    <col min="1804" max="1804" width="11.85546875" style="4" bestFit="1" customWidth="1"/>
    <col min="1805" max="1805" width="10.42578125" style="4" bestFit="1" customWidth="1"/>
    <col min="1806" max="1806" width="42.28515625" style="4" bestFit="1" customWidth="1"/>
    <col min="1807" max="1807" width="13.5703125" style="4" bestFit="1" customWidth="1"/>
    <col min="1808" max="1808" width="7.7109375" style="4" bestFit="1" customWidth="1"/>
    <col min="1809" max="1809" width="10.7109375" style="4" bestFit="1" customWidth="1"/>
    <col min="1810" max="1810" width="9.28515625" style="4" bestFit="1" customWidth="1"/>
    <col min="1811" max="1811" width="8.7109375" style="4" bestFit="1" customWidth="1"/>
    <col min="1812" max="2050" width="9.140625" style="4"/>
    <col min="2051" max="2051" width="4.42578125" style="4" bestFit="1" customWidth="1"/>
    <col min="2052" max="2052" width="13.85546875" style="4" bestFit="1" customWidth="1"/>
    <col min="2053" max="2053" width="11.28515625" style="4" bestFit="1" customWidth="1"/>
    <col min="2054" max="2054" width="14.5703125" style="4" bestFit="1" customWidth="1"/>
    <col min="2055" max="2055" width="4.5703125" style="4" bestFit="1" customWidth="1"/>
    <col min="2056" max="2056" width="22.140625" style="4" bestFit="1" customWidth="1"/>
    <col min="2057" max="2057" width="24.140625" style="4" bestFit="1" customWidth="1"/>
    <col min="2058" max="2058" width="10.7109375" style="4" bestFit="1" customWidth="1"/>
    <col min="2059" max="2059" width="20" style="4" bestFit="1" customWidth="1"/>
    <col min="2060" max="2060" width="11.85546875" style="4" bestFit="1" customWidth="1"/>
    <col min="2061" max="2061" width="10.42578125" style="4" bestFit="1" customWidth="1"/>
    <col min="2062" max="2062" width="42.28515625" style="4" bestFit="1" customWidth="1"/>
    <col min="2063" max="2063" width="13.5703125" style="4" bestFit="1" customWidth="1"/>
    <col min="2064" max="2064" width="7.7109375" style="4" bestFit="1" customWidth="1"/>
    <col min="2065" max="2065" width="10.7109375" style="4" bestFit="1" customWidth="1"/>
    <col min="2066" max="2066" width="9.28515625" style="4" bestFit="1" customWidth="1"/>
    <col min="2067" max="2067" width="8.7109375" style="4" bestFit="1" customWidth="1"/>
    <col min="2068" max="2306" width="9.140625" style="4"/>
    <col min="2307" max="2307" width="4.42578125" style="4" bestFit="1" customWidth="1"/>
    <col min="2308" max="2308" width="13.85546875" style="4" bestFit="1" customWidth="1"/>
    <col min="2309" max="2309" width="11.28515625" style="4" bestFit="1" customWidth="1"/>
    <col min="2310" max="2310" width="14.5703125" style="4" bestFit="1" customWidth="1"/>
    <col min="2311" max="2311" width="4.5703125" style="4" bestFit="1" customWidth="1"/>
    <col min="2312" max="2312" width="22.140625" style="4" bestFit="1" customWidth="1"/>
    <col min="2313" max="2313" width="24.140625" style="4" bestFit="1" customWidth="1"/>
    <col min="2314" max="2314" width="10.7109375" style="4" bestFit="1" customWidth="1"/>
    <col min="2315" max="2315" width="20" style="4" bestFit="1" customWidth="1"/>
    <col min="2316" max="2316" width="11.85546875" style="4" bestFit="1" customWidth="1"/>
    <col min="2317" max="2317" width="10.42578125" style="4" bestFit="1" customWidth="1"/>
    <col min="2318" max="2318" width="42.28515625" style="4" bestFit="1" customWidth="1"/>
    <col min="2319" max="2319" width="13.5703125" style="4" bestFit="1" customWidth="1"/>
    <col min="2320" max="2320" width="7.7109375" style="4" bestFit="1" customWidth="1"/>
    <col min="2321" max="2321" width="10.7109375" style="4" bestFit="1" customWidth="1"/>
    <col min="2322" max="2322" width="9.28515625" style="4" bestFit="1" customWidth="1"/>
    <col min="2323" max="2323" width="8.7109375" style="4" bestFit="1" customWidth="1"/>
    <col min="2324" max="2562" width="9.140625" style="4"/>
    <col min="2563" max="2563" width="4.42578125" style="4" bestFit="1" customWidth="1"/>
    <col min="2564" max="2564" width="13.85546875" style="4" bestFit="1" customWidth="1"/>
    <col min="2565" max="2565" width="11.28515625" style="4" bestFit="1" customWidth="1"/>
    <col min="2566" max="2566" width="14.5703125" style="4" bestFit="1" customWidth="1"/>
    <col min="2567" max="2567" width="4.5703125" style="4" bestFit="1" customWidth="1"/>
    <col min="2568" max="2568" width="22.140625" style="4" bestFit="1" customWidth="1"/>
    <col min="2569" max="2569" width="24.140625" style="4" bestFit="1" customWidth="1"/>
    <col min="2570" max="2570" width="10.7109375" style="4" bestFit="1" customWidth="1"/>
    <col min="2571" max="2571" width="20" style="4" bestFit="1" customWidth="1"/>
    <col min="2572" max="2572" width="11.85546875" style="4" bestFit="1" customWidth="1"/>
    <col min="2573" max="2573" width="10.42578125" style="4" bestFit="1" customWidth="1"/>
    <col min="2574" max="2574" width="42.28515625" style="4" bestFit="1" customWidth="1"/>
    <col min="2575" max="2575" width="13.5703125" style="4" bestFit="1" customWidth="1"/>
    <col min="2576" max="2576" width="7.7109375" style="4" bestFit="1" customWidth="1"/>
    <col min="2577" max="2577" width="10.7109375" style="4" bestFit="1" customWidth="1"/>
    <col min="2578" max="2578" width="9.28515625" style="4" bestFit="1" customWidth="1"/>
    <col min="2579" max="2579" width="8.7109375" style="4" bestFit="1" customWidth="1"/>
    <col min="2580" max="2818" width="9.140625" style="4"/>
    <col min="2819" max="2819" width="4.42578125" style="4" bestFit="1" customWidth="1"/>
    <col min="2820" max="2820" width="13.85546875" style="4" bestFit="1" customWidth="1"/>
    <col min="2821" max="2821" width="11.28515625" style="4" bestFit="1" customWidth="1"/>
    <col min="2822" max="2822" width="14.5703125" style="4" bestFit="1" customWidth="1"/>
    <col min="2823" max="2823" width="4.5703125" style="4" bestFit="1" customWidth="1"/>
    <col min="2824" max="2824" width="22.140625" style="4" bestFit="1" customWidth="1"/>
    <col min="2825" max="2825" width="24.140625" style="4" bestFit="1" customWidth="1"/>
    <col min="2826" max="2826" width="10.7109375" style="4" bestFit="1" customWidth="1"/>
    <col min="2827" max="2827" width="20" style="4" bestFit="1" customWidth="1"/>
    <col min="2828" max="2828" width="11.85546875" style="4" bestFit="1" customWidth="1"/>
    <col min="2829" max="2829" width="10.42578125" style="4" bestFit="1" customWidth="1"/>
    <col min="2830" max="2830" width="42.28515625" style="4" bestFit="1" customWidth="1"/>
    <col min="2831" max="2831" width="13.5703125" style="4" bestFit="1" customWidth="1"/>
    <col min="2832" max="2832" width="7.7109375" style="4" bestFit="1" customWidth="1"/>
    <col min="2833" max="2833" width="10.7109375" style="4" bestFit="1" customWidth="1"/>
    <col min="2834" max="2834" width="9.28515625" style="4" bestFit="1" customWidth="1"/>
    <col min="2835" max="2835" width="8.7109375" style="4" bestFit="1" customWidth="1"/>
    <col min="2836" max="3074" width="9.140625" style="4"/>
    <col min="3075" max="3075" width="4.42578125" style="4" bestFit="1" customWidth="1"/>
    <col min="3076" max="3076" width="13.85546875" style="4" bestFit="1" customWidth="1"/>
    <col min="3077" max="3077" width="11.28515625" style="4" bestFit="1" customWidth="1"/>
    <col min="3078" max="3078" width="14.5703125" style="4" bestFit="1" customWidth="1"/>
    <col min="3079" max="3079" width="4.5703125" style="4" bestFit="1" customWidth="1"/>
    <col min="3080" max="3080" width="22.140625" style="4" bestFit="1" customWidth="1"/>
    <col min="3081" max="3081" width="24.140625" style="4" bestFit="1" customWidth="1"/>
    <col min="3082" max="3082" width="10.7109375" style="4" bestFit="1" customWidth="1"/>
    <col min="3083" max="3083" width="20" style="4" bestFit="1" customWidth="1"/>
    <col min="3084" max="3084" width="11.85546875" style="4" bestFit="1" customWidth="1"/>
    <col min="3085" max="3085" width="10.42578125" style="4" bestFit="1" customWidth="1"/>
    <col min="3086" max="3086" width="42.28515625" style="4" bestFit="1" customWidth="1"/>
    <col min="3087" max="3087" width="13.5703125" style="4" bestFit="1" customWidth="1"/>
    <col min="3088" max="3088" width="7.7109375" style="4" bestFit="1" customWidth="1"/>
    <col min="3089" max="3089" width="10.7109375" style="4" bestFit="1" customWidth="1"/>
    <col min="3090" max="3090" width="9.28515625" style="4" bestFit="1" customWidth="1"/>
    <col min="3091" max="3091" width="8.7109375" style="4" bestFit="1" customWidth="1"/>
    <col min="3092" max="3330" width="9.140625" style="4"/>
    <col min="3331" max="3331" width="4.42578125" style="4" bestFit="1" customWidth="1"/>
    <col min="3332" max="3332" width="13.85546875" style="4" bestFit="1" customWidth="1"/>
    <col min="3333" max="3333" width="11.28515625" style="4" bestFit="1" customWidth="1"/>
    <col min="3334" max="3334" width="14.5703125" style="4" bestFit="1" customWidth="1"/>
    <col min="3335" max="3335" width="4.5703125" style="4" bestFit="1" customWidth="1"/>
    <col min="3336" max="3336" width="22.140625" style="4" bestFit="1" customWidth="1"/>
    <col min="3337" max="3337" width="24.140625" style="4" bestFit="1" customWidth="1"/>
    <col min="3338" max="3338" width="10.7109375" style="4" bestFit="1" customWidth="1"/>
    <col min="3339" max="3339" width="20" style="4" bestFit="1" customWidth="1"/>
    <col min="3340" max="3340" width="11.85546875" style="4" bestFit="1" customWidth="1"/>
    <col min="3341" max="3341" width="10.42578125" style="4" bestFit="1" customWidth="1"/>
    <col min="3342" max="3342" width="42.28515625" style="4" bestFit="1" customWidth="1"/>
    <col min="3343" max="3343" width="13.5703125" style="4" bestFit="1" customWidth="1"/>
    <col min="3344" max="3344" width="7.7109375" style="4" bestFit="1" customWidth="1"/>
    <col min="3345" max="3345" width="10.7109375" style="4" bestFit="1" customWidth="1"/>
    <col min="3346" max="3346" width="9.28515625" style="4" bestFit="1" customWidth="1"/>
    <col min="3347" max="3347" width="8.7109375" style="4" bestFit="1" customWidth="1"/>
    <col min="3348" max="3586" width="9.140625" style="4"/>
    <col min="3587" max="3587" width="4.42578125" style="4" bestFit="1" customWidth="1"/>
    <col min="3588" max="3588" width="13.85546875" style="4" bestFit="1" customWidth="1"/>
    <col min="3589" max="3589" width="11.28515625" style="4" bestFit="1" customWidth="1"/>
    <col min="3590" max="3590" width="14.5703125" style="4" bestFit="1" customWidth="1"/>
    <col min="3591" max="3591" width="4.5703125" style="4" bestFit="1" customWidth="1"/>
    <col min="3592" max="3592" width="22.140625" style="4" bestFit="1" customWidth="1"/>
    <col min="3593" max="3593" width="24.140625" style="4" bestFit="1" customWidth="1"/>
    <col min="3594" max="3594" width="10.7109375" style="4" bestFit="1" customWidth="1"/>
    <col min="3595" max="3595" width="20" style="4" bestFit="1" customWidth="1"/>
    <col min="3596" max="3596" width="11.85546875" style="4" bestFit="1" customWidth="1"/>
    <col min="3597" max="3597" width="10.42578125" style="4" bestFit="1" customWidth="1"/>
    <col min="3598" max="3598" width="42.28515625" style="4" bestFit="1" customWidth="1"/>
    <col min="3599" max="3599" width="13.5703125" style="4" bestFit="1" customWidth="1"/>
    <col min="3600" max="3600" width="7.7109375" style="4" bestFit="1" customWidth="1"/>
    <col min="3601" max="3601" width="10.7109375" style="4" bestFit="1" customWidth="1"/>
    <col min="3602" max="3602" width="9.28515625" style="4" bestFit="1" customWidth="1"/>
    <col min="3603" max="3603" width="8.7109375" style="4" bestFit="1" customWidth="1"/>
    <col min="3604" max="3842" width="9.140625" style="4"/>
    <col min="3843" max="3843" width="4.42578125" style="4" bestFit="1" customWidth="1"/>
    <col min="3844" max="3844" width="13.85546875" style="4" bestFit="1" customWidth="1"/>
    <col min="3845" max="3845" width="11.28515625" style="4" bestFit="1" customWidth="1"/>
    <col min="3846" max="3846" width="14.5703125" style="4" bestFit="1" customWidth="1"/>
    <col min="3847" max="3847" width="4.5703125" style="4" bestFit="1" customWidth="1"/>
    <col min="3848" max="3848" width="22.140625" style="4" bestFit="1" customWidth="1"/>
    <col min="3849" max="3849" width="24.140625" style="4" bestFit="1" customWidth="1"/>
    <col min="3850" max="3850" width="10.7109375" style="4" bestFit="1" customWidth="1"/>
    <col min="3851" max="3851" width="20" style="4" bestFit="1" customWidth="1"/>
    <col min="3852" max="3852" width="11.85546875" style="4" bestFit="1" customWidth="1"/>
    <col min="3853" max="3853" width="10.42578125" style="4" bestFit="1" customWidth="1"/>
    <col min="3854" max="3854" width="42.28515625" style="4" bestFit="1" customWidth="1"/>
    <col min="3855" max="3855" width="13.5703125" style="4" bestFit="1" customWidth="1"/>
    <col min="3856" max="3856" width="7.7109375" style="4" bestFit="1" customWidth="1"/>
    <col min="3857" max="3857" width="10.7109375" style="4" bestFit="1" customWidth="1"/>
    <col min="3858" max="3858" width="9.28515625" style="4" bestFit="1" customWidth="1"/>
    <col min="3859" max="3859" width="8.7109375" style="4" bestFit="1" customWidth="1"/>
    <col min="3860" max="4098" width="9.140625" style="4"/>
    <col min="4099" max="4099" width="4.42578125" style="4" bestFit="1" customWidth="1"/>
    <col min="4100" max="4100" width="13.85546875" style="4" bestFit="1" customWidth="1"/>
    <col min="4101" max="4101" width="11.28515625" style="4" bestFit="1" customWidth="1"/>
    <col min="4102" max="4102" width="14.5703125" style="4" bestFit="1" customWidth="1"/>
    <col min="4103" max="4103" width="4.5703125" style="4" bestFit="1" customWidth="1"/>
    <col min="4104" max="4104" width="22.140625" style="4" bestFit="1" customWidth="1"/>
    <col min="4105" max="4105" width="24.140625" style="4" bestFit="1" customWidth="1"/>
    <col min="4106" max="4106" width="10.7109375" style="4" bestFit="1" customWidth="1"/>
    <col min="4107" max="4107" width="20" style="4" bestFit="1" customWidth="1"/>
    <col min="4108" max="4108" width="11.85546875" style="4" bestFit="1" customWidth="1"/>
    <col min="4109" max="4109" width="10.42578125" style="4" bestFit="1" customWidth="1"/>
    <col min="4110" max="4110" width="42.28515625" style="4" bestFit="1" customWidth="1"/>
    <col min="4111" max="4111" width="13.5703125" style="4" bestFit="1" customWidth="1"/>
    <col min="4112" max="4112" width="7.7109375" style="4" bestFit="1" customWidth="1"/>
    <col min="4113" max="4113" width="10.7109375" style="4" bestFit="1" customWidth="1"/>
    <col min="4114" max="4114" width="9.28515625" style="4" bestFit="1" customWidth="1"/>
    <col min="4115" max="4115" width="8.7109375" style="4" bestFit="1" customWidth="1"/>
    <col min="4116" max="4354" width="9.140625" style="4"/>
    <col min="4355" max="4355" width="4.42578125" style="4" bestFit="1" customWidth="1"/>
    <col min="4356" max="4356" width="13.85546875" style="4" bestFit="1" customWidth="1"/>
    <col min="4357" max="4357" width="11.28515625" style="4" bestFit="1" customWidth="1"/>
    <col min="4358" max="4358" width="14.5703125" style="4" bestFit="1" customWidth="1"/>
    <col min="4359" max="4359" width="4.5703125" style="4" bestFit="1" customWidth="1"/>
    <col min="4360" max="4360" width="22.140625" style="4" bestFit="1" customWidth="1"/>
    <col min="4361" max="4361" width="24.140625" style="4" bestFit="1" customWidth="1"/>
    <col min="4362" max="4362" width="10.7109375" style="4" bestFit="1" customWidth="1"/>
    <col min="4363" max="4363" width="20" style="4" bestFit="1" customWidth="1"/>
    <col min="4364" max="4364" width="11.85546875" style="4" bestFit="1" customWidth="1"/>
    <col min="4365" max="4365" width="10.42578125" style="4" bestFit="1" customWidth="1"/>
    <col min="4366" max="4366" width="42.28515625" style="4" bestFit="1" customWidth="1"/>
    <col min="4367" max="4367" width="13.5703125" style="4" bestFit="1" customWidth="1"/>
    <col min="4368" max="4368" width="7.7109375" style="4" bestFit="1" customWidth="1"/>
    <col min="4369" max="4369" width="10.7109375" style="4" bestFit="1" customWidth="1"/>
    <col min="4370" max="4370" width="9.28515625" style="4" bestFit="1" customWidth="1"/>
    <col min="4371" max="4371" width="8.7109375" style="4" bestFit="1" customWidth="1"/>
    <col min="4372" max="4610" width="9.140625" style="4"/>
    <col min="4611" max="4611" width="4.42578125" style="4" bestFit="1" customWidth="1"/>
    <col min="4612" max="4612" width="13.85546875" style="4" bestFit="1" customWidth="1"/>
    <col min="4613" max="4613" width="11.28515625" style="4" bestFit="1" customWidth="1"/>
    <col min="4614" max="4614" width="14.5703125" style="4" bestFit="1" customWidth="1"/>
    <col min="4615" max="4615" width="4.5703125" style="4" bestFit="1" customWidth="1"/>
    <col min="4616" max="4616" width="22.140625" style="4" bestFit="1" customWidth="1"/>
    <col min="4617" max="4617" width="24.140625" style="4" bestFit="1" customWidth="1"/>
    <col min="4618" max="4618" width="10.7109375" style="4" bestFit="1" customWidth="1"/>
    <col min="4619" max="4619" width="20" style="4" bestFit="1" customWidth="1"/>
    <col min="4620" max="4620" width="11.85546875" style="4" bestFit="1" customWidth="1"/>
    <col min="4621" max="4621" width="10.42578125" style="4" bestFit="1" customWidth="1"/>
    <col min="4622" max="4622" width="42.28515625" style="4" bestFit="1" customWidth="1"/>
    <col min="4623" max="4623" width="13.5703125" style="4" bestFit="1" customWidth="1"/>
    <col min="4624" max="4624" width="7.7109375" style="4" bestFit="1" customWidth="1"/>
    <col min="4625" max="4625" width="10.7109375" style="4" bestFit="1" customWidth="1"/>
    <col min="4626" max="4626" width="9.28515625" style="4" bestFit="1" customWidth="1"/>
    <col min="4627" max="4627" width="8.7109375" style="4" bestFit="1" customWidth="1"/>
    <col min="4628" max="4866" width="9.140625" style="4"/>
    <col min="4867" max="4867" width="4.42578125" style="4" bestFit="1" customWidth="1"/>
    <col min="4868" max="4868" width="13.85546875" style="4" bestFit="1" customWidth="1"/>
    <col min="4869" max="4869" width="11.28515625" style="4" bestFit="1" customWidth="1"/>
    <col min="4870" max="4870" width="14.5703125" style="4" bestFit="1" customWidth="1"/>
    <col min="4871" max="4871" width="4.5703125" style="4" bestFit="1" customWidth="1"/>
    <col min="4872" max="4872" width="22.140625" style="4" bestFit="1" customWidth="1"/>
    <col min="4873" max="4873" width="24.140625" style="4" bestFit="1" customWidth="1"/>
    <col min="4874" max="4874" width="10.7109375" style="4" bestFit="1" customWidth="1"/>
    <col min="4875" max="4875" width="20" style="4" bestFit="1" customWidth="1"/>
    <col min="4876" max="4876" width="11.85546875" style="4" bestFit="1" customWidth="1"/>
    <col min="4877" max="4877" width="10.42578125" style="4" bestFit="1" customWidth="1"/>
    <col min="4878" max="4878" width="42.28515625" style="4" bestFit="1" customWidth="1"/>
    <col min="4879" max="4879" width="13.5703125" style="4" bestFit="1" customWidth="1"/>
    <col min="4880" max="4880" width="7.7109375" style="4" bestFit="1" customWidth="1"/>
    <col min="4881" max="4881" width="10.7109375" style="4" bestFit="1" customWidth="1"/>
    <col min="4882" max="4882" width="9.28515625" style="4" bestFit="1" customWidth="1"/>
    <col min="4883" max="4883" width="8.7109375" style="4" bestFit="1" customWidth="1"/>
    <col min="4884" max="5122" width="9.140625" style="4"/>
    <col min="5123" max="5123" width="4.42578125" style="4" bestFit="1" customWidth="1"/>
    <col min="5124" max="5124" width="13.85546875" style="4" bestFit="1" customWidth="1"/>
    <col min="5125" max="5125" width="11.28515625" style="4" bestFit="1" customWidth="1"/>
    <col min="5126" max="5126" width="14.5703125" style="4" bestFit="1" customWidth="1"/>
    <col min="5127" max="5127" width="4.5703125" style="4" bestFit="1" customWidth="1"/>
    <col min="5128" max="5128" width="22.140625" style="4" bestFit="1" customWidth="1"/>
    <col min="5129" max="5129" width="24.140625" style="4" bestFit="1" customWidth="1"/>
    <col min="5130" max="5130" width="10.7109375" style="4" bestFit="1" customWidth="1"/>
    <col min="5131" max="5131" width="20" style="4" bestFit="1" customWidth="1"/>
    <col min="5132" max="5132" width="11.85546875" style="4" bestFit="1" customWidth="1"/>
    <col min="5133" max="5133" width="10.42578125" style="4" bestFit="1" customWidth="1"/>
    <col min="5134" max="5134" width="42.28515625" style="4" bestFit="1" customWidth="1"/>
    <col min="5135" max="5135" width="13.5703125" style="4" bestFit="1" customWidth="1"/>
    <col min="5136" max="5136" width="7.7109375" style="4" bestFit="1" customWidth="1"/>
    <col min="5137" max="5137" width="10.7109375" style="4" bestFit="1" customWidth="1"/>
    <col min="5138" max="5138" width="9.28515625" style="4" bestFit="1" customWidth="1"/>
    <col min="5139" max="5139" width="8.7109375" style="4" bestFit="1" customWidth="1"/>
    <col min="5140" max="5378" width="9.140625" style="4"/>
    <col min="5379" max="5379" width="4.42578125" style="4" bestFit="1" customWidth="1"/>
    <col min="5380" max="5380" width="13.85546875" style="4" bestFit="1" customWidth="1"/>
    <col min="5381" max="5381" width="11.28515625" style="4" bestFit="1" customWidth="1"/>
    <col min="5382" max="5382" width="14.5703125" style="4" bestFit="1" customWidth="1"/>
    <col min="5383" max="5383" width="4.5703125" style="4" bestFit="1" customWidth="1"/>
    <col min="5384" max="5384" width="22.140625" style="4" bestFit="1" customWidth="1"/>
    <col min="5385" max="5385" width="24.140625" style="4" bestFit="1" customWidth="1"/>
    <col min="5386" max="5386" width="10.7109375" style="4" bestFit="1" customWidth="1"/>
    <col min="5387" max="5387" width="20" style="4" bestFit="1" customWidth="1"/>
    <col min="5388" max="5388" width="11.85546875" style="4" bestFit="1" customWidth="1"/>
    <col min="5389" max="5389" width="10.42578125" style="4" bestFit="1" customWidth="1"/>
    <col min="5390" max="5390" width="42.28515625" style="4" bestFit="1" customWidth="1"/>
    <col min="5391" max="5391" width="13.5703125" style="4" bestFit="1" customWidth="1"/>
    <col min="5392" max="5392" width="7.7109375" style="4" bestFit="1" customWidth="1"/>
    <col min="5393" max="5393" width="10.7109375" style="4" bestFit="1" customWidth="1"/>
    <col min="5394" max="5394" width="9.28515625" style="4" bestFit="1" customWidth="1"/>
    <col min="5395" max="5395" width="8.7109375" style="4" bestFit="1" customWidth="1"/>
    <col min="5396" max="5634" width="9.140625" style="4"/>
    <col min="5635" max="5635" width="4.42578125" style="4" bestFit="1" customWidth="1"/>
    <col min="5636" max="5636" width="13.85546875" style="4" bestFit="1" customWidth="1"/>
    <col min="5637" max="5637" width="11.28515625" style="4" bestFit="1" customWidth="1"/>
    <col min="5638" max="5638" width="14.5703125" style="4" bestFit="1" customWidth="1"/>
    <col min="5639" max="5639" width="4.5703125" style="4" bestFit="1" customWidth="1"/>
    <col min="5640" max="5640" width="22.140625" style="4" bestFit="1" customWidth="1"/>
    <col min="5641" max="5641" width="24.140625" style="4" bestFit="1" customWidth="1"/>
    <col min="5642" max="5642" width="10.7109375" style="4" bestFit="1" customWidth="1"/>
    <col min="5643" max="5643" width="20" style="4" bestFit="1" customWidth="1"/>
    <col min="5644" max="5644" width="11.85546875" style="4" bestFit="1" customWidth="1"/>
    <col min="5645" max="5645" width="10.42578125" style="4" bestFit="1" customWidth="1"/>
    <col min="5646" max="5646" width="42.28515625" style="4" bestFit="1" customWidth="1"/>
    <col min="5647" max="5647" width="13.5703125" style="4" bestFit="1" customWidth="1"/>
    <col min="5648" max="5648" width="7.7109375" style="4" bestFit="1" customWidth="1"/>
    <col min="5649" max="5649" width="10.7109375" style="4" bestFit="1" customWidth="1"/>
    <col min="5650" max="5650" width="9.28515625" style="4" bestFit="1" customWidth="1"/>
    <col min="5651" max="5651" width="8.7109375" style="4" bestFit="1" customWidth="1"/>
    <col min="5652" max="5890" width="9.140625" style="4"/>
    <col min="5891" max="5891" width="4.42578125" style="4" bestFit="1" customWidth="1"/>
    <col min="5892" max="5892" width="13.85546875" style="4" bestFit="1" customWidth="1"/>
    <col min="5893" max="5893" width="11.28515625" style="4" bestFit="1" customWidth="1"/>
    <col min="5894" max="5894" width="14.5703125" style="4" bestFit="1" customWidth="1"/>
    <col min="5895" max="5895" width="4.5703125" style="4" bestFit="1" customWidth="1"/>
    <col min="5896" max="5896" width="22.140625" style="4" bestFit="1" customWidth="1"/>
    <col min="5897" max="5897" width="24.140625" style="4" bestFit="1" customWidth="1"/>
    <col min="5898" max="5898" width="10.7109375" style="4" bestFit="1" customWidth="1"/>
    <col min="5899" max="5899" width="20" style="4" bestFit="1" customWidth="1"/>
    <col min="5900" max="5900" width="11.85546875" style="4" bestFit="1" customWidth="1"/>
    <col min="5901" max="5901" width="10.42578125" style="4" bestFit="1" customWidth="1"/>
    <col min="5902" max="5902" width="42.28515625" style="4" bestFit="1" customWidth="1"/>
    <col min="5903" max="5903" width="13.5703125" style="4" bestFit="1" customWidth="1"/>
    <col min="5904" max="5904" width="7.7109375" style="4" bestFit="1" customWidth="1"/>
    <col min="5905" max="5905" width="10.7109375" style="4" bestFit="1" customWidth="1"/>
    <col min="5906" max="5906" width="9.28515625" style="4" bestFit="1" customWidth="1"/>
    <col min="5907" max="5907" width="8.7109375" style="4" bestFit="1" customWidth="1"/>
    <col min="5908" max="6146" width="9.140625" style="4"/>
    <col min="6147" max="6147" width="4.42578125" style="4" bestFit="1" customWidth="1"/>
    <col min="6148" max="6148" width="13.85546875" style="4" bestFit="1" customWidth="1"/>
    <col min="6149" max="6149" width="11.28515625" style="4" bestFit="1" customWidth="1"/>
    <col min="6150" max="6150" width="14.5703125" style="4" bestFit="1" customWidth="1"/>
    <col min="6151" max="6151" width="4.5703125" style="4" bestFit="1" customWidth="1"/>
    <col min="6152" max="6152" width="22.140625" style="4" bestFit="1" customWidth="1"/>
    <col min="6153" max="6153" width="24.140625" style="4" bestFit="1" customWidth="1"/>
    <col min="6154" max="6154" width="10.7109375" style="4" bestFit="1" customWidth="1"/>
    <col min="6155" max="6155" width="20" style="4" bestFit="1" customWidth="1"/>
    <col min="6156" max="6156" width="11.85546875" style="4" bestFit="1" customWidth="1"/>
    <col min="6157" max="6157" width="10.42578125" style="4" bestFit="1" customWidth="1"/>
    <col min="6158" max="6158" width="42.28515625" style="4" bestFit="1" customWidth="1"/>
    <col min="6159" max="6159" width="13.5703125" style="4" bestFit="1" customWidth="1"/>
    <col min="6160" max="6160" width="7.7109375" style="4" bestFit="1" customWidth="1"/>
    <col min="6161" max="6161" width="10.7109375" style="4" bestFit="1" customWidth="1"/>
    <col min="6162" max="6162" width="9.28515625" style="4" bestFit="1" customWidth="1"/>
    <col min="6163" max="6163" width="8.7109375" style="4" bestFit="1" customWidth="1"/>
    <col min="6164" max="6402" width="9.140625" style="4"/>
    <col min="6403" max="6403" width="4.42578125" style="4" bestFit="1" customWidth="1"/>
    <col min="6404" max="6404" width="13.85546875" style="4" bestFit="1" customWidth="1"/>
    <col min="6405" max="6405" width="11.28515625" style="4" bestFit="1" customWidth="1"/>
    <col min="6406" max="6406" width="14.5703125" style="4" bestFit="1" customWidth="1"/>
    <col min="6407" max="6407" width="4.5703125" style="4" bestFit="1" customWidth="1"/>
    <col min="6408" max="6408" width="22.140625" style="4" bestFit="1" customWidth="1"/>
    <col min="6409" max="6409" width="24.140625" style="4" bestFit="1" customWidth="1"/>
    <col min="6410" max="6410" width="10.7109375" style="4" bestFit="1" customWidth="1"/>
    <col min="6411" max="6411" width="20" style="4" bestFit="1" customWidth="1"/>
    <col min="6412" max="6412" width="11.85546875" style="4" bestFit="1" customWidth="1"/>
    <col min="6413" max="6413" width="10.42578125" style="4" bestFit="1" customWidth="1"/>
    <col min="6414" max="6414" width="42.28515625" style="4" bestFit="1" customWidth="1"/>
    <col min="6415" max="6415" width="13.5703125" style="4" bestFit="1" customWidth="1"/>
    <col min="6416" max="6416" width="7.7109375" style="4" bestFit="1" customWidth="1"/>
    <col min="6417" max="6417" width="10.7109375" style="4" bestFit="1" customWidth="1"/>
    <col min="6418" max="6418" width="9.28515625" style="4" bestFit="1" customWidth="1"/>
    <col min="6419" max="6419" width="8.7109375" style="4" bestFit="1" customWidth="1"/>
    <col min="6420" max="6658" width="9.140625" style="4"/>
    <col min="6659" max="6659" width="4.42578125" style="4" bestFit="1" customWidth="1"/>
    <col min="6660" max="6660" width="13.85546875" style="4" bestFit="1" customWidth="1"/>
    <col min="6661" max="6661" width="11.28515625" style="4" bestFit="1" customWidth="1"/>
    <col min="6662" max="6662" width="14.5703125" style="4" bestFit="1" customWidth="1"/>
    <col min="6663" max="6663" width="4.5703125" style="4" bestFit="1" customWidth="1"/>
    <col min="6664" max="6664" width="22.140625" style="4" bestFit="1" customWidth="1"/>
    <col min="6665" max="6665" width="24.140625" style="4" bestFit="1" customWidth="1"/>
    <col min="6666" max="6666" width="10.7109375" style="4" bestFit="1" customWidth="1"/>
    <col min="6667" max="6667" width="20" style="4" bestFit="1" customWidth="1"/>
    <col min="6668" max="6668" width="11.85546875" style="4" bestFit="1" customWidth="1"/>
    <col min="6669" max="6669" width="10.42578125" style="4" bestFit="1" customWidth="1"/>
    <col min="6670" max="6670" width="42.28515625" style="4" bestFit="1" customWidth="1"/>
    <col min="6671" max="6671" width="13.5703125" style="4" bestFit="1" customWidth="1"/>
    <col min="6672" max="6672" width="7.7109375" style="4" bestFit="1" customWidth="1"/>
    <col min="6673" max="6673" width="10.7109375" style="4" bestFit="1" customWidth="1"/>
    <col min="6674" max="6674" width="9.28515625" style="4" bestFit="1" customWidth="1"/>
    <col min="6675" max="6675" width="8.7109375" style="4" bestFit="1" customWidth="1"/>
    <col min="6676" max="6914" width="9.140625" style="4"/>
    <col min="6915" max="6915" width="4.42578125" style="4" bestFit="1" customWidth="1"/>
    <col min="6916" max="6916" width="13.85546875" style="4" bestFit="1" customWidth="1"/>
    <col min="6917" max="6917" width="11.28515625" style="4" bestFit="1" customWidth="1"/>
    <col min="6918" max="6918" width="14.5703125" style="4" bestFit="1" customWidth="1"/>
    <col min="6919" max="6919" width="4.5703125" style="4" bestFit="1" customWidth="1"/>
    <col min="6920" max="6920" width="22.140625" style="4" bestFit="1" customWidth="1"/>
    <col min="6921" max="6921" width="24.140625" style="4" bestFit="1" customWidth="1"/>
    <col min="6922" max="6922" width="10.7109375" style="4" bestFit="1" customWidth="1"/>
    <col min="6923" max="6923" width="20" style="4" bestFit="1" customWidth="1"/>
    <col min="6924" max="6924" width="11.85546875" style="4" bestFit="1" customWidth="1"/>
    <col min="6925" max="6925" width="10.42578125" style="4" bestFit="1" customWidth="1"/>
    <col min="6926" max="6926" width="42.28515625" style="4" bestFit="1" customWidth="1"/>
    <col min="6927" max="6927" width="13.5703125" style="4" bestFit="1" customWidth="1"/>
    <col min="6928" max="6928" width="7.7109375" style="4" bestFit="1" customWidth="1"/>
    <col min="6929" max="6929" width="10.7109375" style="4" bestFit="1" customWidth="1"/>
    <col min="6930" max="6930" width="9.28515625" style="4" bestFit="1" customWidth="1"/>
    <col min="6931" max="6931" width="8.7109375" style="4" bestFit="1" customWidth="1"/>
    <col min="6932" max="7170" width="9.140625" style="4"/>
    <col min="7171" max="7171" width="4.42578125" style="4" bestFit="1" customWidth="1"/>
    <col min="7172" max="7172" width="13.85546875" style="4" bestFit="1" customWidth="1"/>
    <col min="7173" max="7173" width="11.28515625" style="4" bestFit="1" customWidth="1"/>
    <col min="7174" max="7174" width="14.5703125" style="4" bestFit="1" customWidth="1"/>
    <col min="7175" max="7175" width="4.5703125" style="4" bestFit="1" customWidth="1"/>
    <col min="7176" max="7176" width="22.140625" style="4" bestFit="1" customWidth="1"/>
    <col min="7177" max="7177" width="24.140625" style="4" bestFit="1" customWidth="1"/>
    <col min="7178" max="7178" width="10.7109375" style="4" bestFit="1" customWidth="1"/>
    <col min="7179" max="7179" width="20" style="4" bestFit="1" customWidth="1"/>
    <col min="7180" max="7180" width="11.85546875" style="4" bestFit="1" customWidth="1"/>
    <col min="7181" max="7181" width="10.42578125" style="4" bestFit="1" customWidth="1"/>
    <col min="7182" max="7182" width="42.28515625" style="4" bestFit="1" customWidth="1"/>
    <col min="7183" max="7183" width="13.5703125" style="4" bestFit="1" customWidth="1"/>
    <col min="7184" max="7184" width="7.7109375" style="4" bestFit="1" customWidth="1"/>
    <col min="7185" max="7185" width="10.7109375" style="4" bestFit="1" customWidth="1"/>
    <col min="7186" max="7186" width="9.28515625" style="4" bestFit="1" customWidth="1"/>
    <col min="7187" max="7187" width="8.7109375" style="4" bestFit="1" customWidth="1"/>
    <col min="7188" max="7426" width="9.140625" style="4"/>
    <col min="7427" max="7427" width="4.42578125" style="4" bestFit="1" customWidth="1"/>
    <col min="7428" max="7428" width="13.85546875" style="4" bestFit="1" customWidth="1"/>
    <col min="7429" max="7429" width="11.28515625" style="4" bestFit="1" customWidth="1"/>
    <col min="7430" max="7430" width="14.5703125" style="4" bestFit="1" customWidth="1"/>
    <col min="7431" max="7431" width="4.5703125" style="4" bestFit="1" customWidth="1"/>
    <col min="7432" max="7432" width="22.140625" style="4" bestFit="1" customWidth="1"/>
    <col min="7433" max="7433" width="24.140625" style="4" bestFit="1" customWidth="1"/>
    <col min="7434" max="7434" width="10.7109375" style="4" bestFit="1" customWidth="1"/>
    <col min="7435" max="7435" width="20" style="4" bestFit="1" customWidth="1"/>
    <col min="7436" max="7436" width="11.85546875" style="4" bestFit="1" customWidth="1"/>
    <col min="7437" max="7437" width="10.42578125" style="4" bestFit="1" customWidth="1"/>
    <col min="7438" max="7438" width="42.28515625" style="4" bestFit="1" customWidth="1"/>
    <col min="7439" max="7439" width="13.5703125" style="4" bestFit="1" customWidth="1"/>
    <col min="7440" max="7440" width="7.7109375" style="4" bestFit="1" customWidth="1"/>
    <col min="7441" max="7441" width="10.7109375" style="4" bestFit="1" customWidth="1"/>
    <col min="7442" max="7442" width="9.28515625" style="4" bestFit="1" customWidth="1"/>
    <col min="7443" max="7443" width="8.7109375" style="4" bestFit="1" customWidth="1"/>
    <col min="7444" max="7682" width="9.140625" style="4"/>
    <col min="7683" max="7683" width="4.42578125" style="4" bestFit="1" customWidth="1"/>
    <col min="7684" max="7684" width="13.85546875" style="4" bestFit="1" customWidth="1"/>
    <col min="7685" max="7685" width="11.28515625" style="4" bestFit="1" customWidth="1"/>
    <col min="7686" max="7686" width="14.5703125" style="4" bestFit="1" customWidth="1"/>
    <col min="7687" max="7687" width="4.5703125" style="4" bestFit="1" customWidth="1"/>
    <col min="7688" max="7688" width="22.140625" style="4" bestFit="1" customWidth="1"/>
    <col min="7689" max="7689" width="24.140625" style="4" bestFit="1" customWidth="1"/>
    <col min="7690" max="7690" width="10.7109375" style="4" bestFit="1" customWidth="1"/>
    <col min="7691" max="7691" width="20" style="4" bestFit="1" customWidth="1"/>
    <col min="7692" max="7692" width="11.85546875" style="4" bestFit="1" customWidth="1"/>
    <col min="7693" max="7693" width="10.42578125" style="4" bestFit="1" customWidth="1"/>
    <col min="7694" max="7694" width="42.28515625" style="4" bestFit="1" customWidth="1"/>
    <col min="7695" max="7695" width="13.5703125" style="4" bestFit="1" customWidth="1"/>
    <col min="7696" max="7696" width="7.7109375" style="4" bestFit="1" customWidth="1"/>
    <col min="7697" max="7697" width="10.7109375" style="4" bestFit="1" customWidth="1"/>
    <col min="7698" max="7698" width="9.28515625" style="4" bestFit="1" customWidth="1"/>
    <col min="7699" max="7699" width="8.7109375" style="4" bestFit="1" customWidth="1"/>
    <col min="7700" max="7938" width="9.140625" style="4"/>
    <col min="7939" max="7939" width="4.42578125" style="4" bestFit="1" customWidth="1"/>
    <col min="7940" max="7940" width="13.85546875" style="4" bestFit="1" customWidth="1"/>
    <col min="7941" max="7941" width="11.28515625" style="4" bestFit="1" customWidth="1"/>
    <col min="7942" max="7942" width="14.5703125" style="4" bestFit="1" customWidth="1"/>
    <col min="7943" max="7943" width="4.5703125" style="4" bestFit="1" customWidth="1"/>
    <col min="7944" max="7944" width="22.140625" style="4" bestFit="1" customWidth="1"/>
    <col min="7945" max="7945" width="24.140625" style="4" bestFit="1" customWidth="1"/>
    <col min="7946" max="7946" width="10.7109375" style="4" bestFit="1" customWidth="1"/>
    <col min="7947" max="7947" width="20" style="4" bestFit="1" customWidth="1"/>
    <col min="7948" max="7948" width="11.85546875" style="4" bestFit="1" customWidth="1"/>
    <col min="7949" max="7949" width="10.42578125" style="4" bestFit="1" customWidth="1"/>
    <col min="7950" max="7950" width="42.28515625" style="4" bestFit="1" customWidth="1"/>
    <col min="7951" max="7951" width="13.5703125" style="4" bestFit="1" customWidth="1"/>
    <col min="7952" max="7952" width="7.7109375" style="4" bestFit="1" customWidth="1"/>
    <col min="7953" max="7953" width="10.7109375" style="4" bestFit="1" customWidth="1"/>
    <col min="7954" max="7954" width="9.28515625" style="4" bestFit="1" customWidth="1"/>
    <col min="7955" max="7955" width="8.7109375" style="4" bestFit="1" customWidth="1"/>
    <col min="7956" max="8194" width="9.140625" style="4"/>
    <col min="8195" max="8195" width="4.42578125" style="4" bestFit="1" customWidth="1"/>
    <col min="8196" max="8196" width="13.85546875" style="4" bestFit="1" customWidth="1"/>
    <col min="8197" max="8197" width="11.28515625" style="4" bestFit="1" customWidth="1"/>
    <col min="8198" max="8198" width="14.5703125" style="4" bestFit="1" customWidth="1"/>
    <col min="8199" max="8199" width="4.5703125" style="4" bestFit="1" customWidth="1"/>
    <col min="8200" max="8200" width="22.140625" style="4" bestFit="1" customWidth="1"/>
    <col min="8201" max="8201" width="24.140625" style="4" bestFit="1" customWidth="1"/>
    <col min="8202" max="8202" width="10.7109375" style="4" bestFit="1" customWidth="1"/>
    <col min="8203" max="8203" width="20" style="4" bestFit="1" customWidth="1"/>
    <col min="8204" max="8204" width="11.85546875" style="4" bestFit="1" customWidth="1"/>
    <col min="8205" max="8205" width="10.42578125" style="4" bestFit="1" customWidth="1"/>
    <col min="8206" max="8206" width="42.28515625" style="4" bestFit="1" customWidth="1"/>
    <col min="8207" max="8207" width="13.5703125" style="4" bestFit="1" customWidth="1"/>
    <col min="8208" max="8208" width="7.7109375" style="4" bestFit="1" customWidth="1"/>
    <col min="8209" max="8209" width="10.7109375" style="4" bestFit="1" customWidth="1"/>
    <col min="8210" max="8210" width="9.28515625" style="4" bestFit="1" customWidth="1"/>
    <col min="8211" max="8211" width="8.7109375" style="4" bestFit="1" customWidth="1"/>
    <col min="8212" max="8450" width="9.140625" style="4"/>
    <col min="8451" max="8451" width="4.42578125" style="4" bestFit="1" customWidth="1"/>
    <col min="8452" max="8452" width="13.85546875" style="4" bestFit="1" customWidth="1"/>
    <col min="8453" max="8453" width="11.28515625" style="4" bestFit="1" customWidth="1"/>
    <col min="8454" max="8454" width="14.5703125" style="4" bestFit="1" customWidth="1"/>
    <col min="8455" max="8455" width="4.5703125" style="4" bestFit="1" customWidth="1"/>
    <col min="8456" max="8456" width="22.140625" style="4" bestFit="1" customWidth="1"/>
    <col min="8457" max="8457" width="24.140625" style="4" bestFit="1" customWidth="1"/>
    <col min="8458" max="8458" width="10.7109375" style="4" bestFit="1" customWidth="1"/>
    <col min="8459" max="8459" width="20" style="4" bestFit="1" customWidth="1"/>
    <col min="8460" max="8460" width="11.85546875" style="4" bestFit="1" customWidth="1"/>
    <col min="8461" max="8461" width="10.42578125" style="4" bestFit="1" customWidth="1"/>
    <col min="8462" max="8462" width="42.28515625" style="4" bestFit="1" customWidth="1"/>
    <col min="8463" max="8463" width="13.5703125" style="4" bestFit="1" customWidth="1"/>
    <col min="8464" max="8464" width="7.7109375" style="4" bestFit="1" customWidth="1"/>
    <col min="8465" max="8465" width="10.7109375" style="4" bestFit="1" customWidth="1"/>
    <col min="8466" max="8466" width="9.28515625" style="4" bestFit="1" customWidth="1"/>
    <col min="8467" max="8467" width="8.7109375" style="4" bestFit="1" customWidth="1"/>
    <col min="8468" max="8706" width="9.140625" style="4"/>
    <col min="8707" max="8707" width="4.42578125" style="4" bestFit="1" customWidth="1"/>
    <col min="8708" max="8708" width="13.85546875" style="4" bestFit="1" customWidth="1"/>
    <col min="8709" max="8709" width="11.28515625" style="4" bestFit="1" customWidth="1"/>
    <col min="8710" max="8710" width="14.5703125" style="4" bestFit="1" customWidth="1"/>
    <col min="8711" max="8711" width="4.5703125" style="4" bestFit="1" customWidth="1"/>
    <col min="8712" max="8712" width="22.140625" style="4" bestFit="1" customWidth="1"/>
    <col min="8713" max="8713" width="24.140625" style="4" bestFit="1" customWidth="1"/>
    <col min="8714" max="8714" width="10.7109375" style="4" bestFit="1" customWidth="1"/>
    <col min="8715" max="8715" width="20" style="4" bestFit="1" customWidth="1"/>
    <col min="8716" max="8716" width="11.85546875" style="4" bestFit="1" customWidth="1"/>
    <col min="8717" max="8717" width="10.42578125" style="4" bestFit="1" customWidth="1"/>
    <col min="8718" max="8718" width="42.28515625" style="4" bestFit="1" customWidth="1"/>
    <col min="8719" max="8719" width="13.5703125" style="4" bestFit="1" customWidth="1"/>
    <col min="8720" max="8720" width="7.7109375" style="4" bestFit="1" customWidth="1"/>
    <col min="8721" max="8721" width="10.7109375" style="4" bestFit="1" customWidth="1"/>
    <col min="8722" max="8722" width="9.28515625" style="4" bestFit="1" customWidth="1"/>
    <col min="8723" max="8723" width="8.7109375" style="4" bestFit="1" customWidth="1"/>
    <col min="8724" max="8962" width="9.140625" style="4"/>
    <col min="8963" max="8963" width="4.42578125" style="4" bestFit="1" customWidth="1"/>
    <col min="8964" max="8964" width="13.85546875" style="4" bestFit="1" customWidth="1"/>
    <col min="8965" max="8965" width="11.28515625" style="4" bestFit="1" customWidth="1"/>
    <col min="8966" max="8966" width="14.5703125" style="4" bestFit="1" customWidth="1"/>
    <col min="8967" max="8967" width="4.5703125" style="4" bestFit="1" customWidth="1"/>
    <col min="8968" max="8968" width="22.140625" style="4" bestFit="1" customWidth="1"/>
    <col min="8969" max="8969" width="24.140625" style="4" bestFit="1" customWidth="1"/>
    <col min="8970" max="8970" width="10.7109375" style="4" bestFit="1" customWidth="1"/>
    <col min="8971" max="8971" width="20" style="4" bestFit="1" customWidth="1"/>
    <col min="8972" max="8972" width="11.85546875" style="4" bestFit="1" customWidth="1"/>
    <col min="8973" max="8973" width="10.42578125" style="4" bestFit="1" customWidth="1"/>
    <col min="8974" max="8974" width="42.28515625" style="4" bestFit="1" customWidth="1"/>
    <col min="8975" max="8975" width="13.5703125" style="4" bestFit="1" customWidth="1"/>
    <col min="8976" max="8976" width="7.7109375" style="4" bestFit="1" customWidth="1"/>
    <col min="8977" max="8977" width="10.7109375" style="4" bestFit="1" customWidth="1"/>
    <col min="8978" max="8978" width="9.28515625" style="4" bestFit="1" customWidth="1"/>
    <col min="8979" max="8979" width="8.7109375" style="4" bestFit="1" customWidth="1"/>
    <col min="8980" max="9218" width="9.140625" style="4"/>
    <col min="9219" max="9219" width="4.42578125" style="4" bestFit="1" customWidth="1"/>
    <col min="9220" max="9220" width="13.85546875" style="4" bestFit="1" customWidth="1"/>
    <col min="9221" max="9221" width="11.28515625" style="4" bestFit="1" customWidth="1"/>
    <col min="9222" max="9222" width="14.5703125" style="4" bestFit="1" customWidth="1"/>
    <col min="9223" max="9223" width="4.5703125" style="4" bestFit="1" customWidth="1"/>
    <col min="9224" max="9224" width="22.140625" style="4" bestFit="1" customWidth="1"/>
    <col min="9225" max="9225" width="24.140625" style="4" bestFit="1" customWidth="1"/>
    <col min="9226" max="9226" width="10.7109375" style="4" bestFit="1" customWidth="1"/>
    <col min="9227" max="9227" width="20" style="4" bestFit="1" customWidth="1"/>
    <col min="9228" max="9228" width="11.85546875" style="4" bestFit="1" customWidth="1"/>
    <col min="9229" max="9229" width="10.42578125" style="4" bestFit="1" customWidth="1"/>
    <col min="9230" max="9230" width="42.28515625" style="4" bestFit="1" customWidth="1"/>
    <col min="9231" max="9231" width="13.5703125" style="4" bestFit="1" customWidth="1"/>
    <col min="9232" max="9232" width="7.7109375" style="4" bestFit="1" customWidth="1"/>
    <col min="9233" max="9233" width="10.7109375" style="4" bestFit="1" customWidth="1"/>
    <col min="9234" max="9234" width="9.28515625" style="4" bestFit="1" customWidth="1"/>
    <col min="9235" max="9235" width="8.7109375" style="4" bestFit="1" customWidth="1"/>
    <col min="9236" max="9474" width="9.140625" style="4"/>
    <col min="9475" max="9475" width="4.42578125" style="4" bestFit="1" customWidth="1"/>
    <col min="9476" max="9476" width="13.85546875" style="4" bestFit="1" customWidth="1"/>
    <col min="9477" max="9477" width="11.28515625" style="4" bestFit="1" customWidth="1"/>
    <col min="9478" max="9478" width="14.5703125" style="4" bestFit="1" customWidth="1"/>
    <col min="9479" max="9479" width="4.5703125" style="4" bestFit="1" customWidth="1"/>
    <col min="9480" max="9480" width="22.140625" style="4" bestFit="1" customWidth="1"/>
    <col min="9481" max="9481" width="24.140625" style="4" bestFit="1" customWidth="1"/>
    <col min="9482" max="9482" width="10.7109375" style="4" bestFit="1" customWidth="1"/>
    <col min="9483" max="9483" width="20" style="4" bestFit="1" customWidth="1"/>
    <col min="9484" max="9484" width="11.85546875" style="4" bestFit="1" customWidth="1"/>
    <col min="9485" max="9485" width="10.42578125" style="4" bestFit="1" customWidth="1"/>
    <col min="9486" max="9486" width="42.28515625" style="4" bestFit="1" customWidth="1"/>
    <col min="9487" max="9487" width="13.5703125" style="4" bestFit="1" customWidth="1"/>
    <col min="9488" max="9488" width="7.7109375" style="4" bestFit="1" customWidth="1"/>
    <col min="9489" max="9489" width="10.7109375" style="4" bestFit="1" customWidth="1"/>
    <col min="9490" max="9490" width="9.28515625" style="4" bestFit="1" customWidth="1"/>
    <col min="9491" max="9491" width="8.7109375" style="4" bestFit="1" customWidth="1"/>
    <col min="9492" max="9730" width="9.140625" style="4"/>
    <col min="9731" max="9731" width="4.42578125" style="4" bestFit="1" customWidth="1"/>
    <col min="9732" max="9732" width="13.85546875" style="4" bestFit="1" customWidth="1"/>
    <col min="9733" max="9733" width="11.28515625" style="4" bestFit="1" customWidth="1"/>
    <col min="9734" max="9734" width="14.5703125" style="4" bestFit="1" customWidth="1"/>
    <col min="9735" max="9735" width="4.5703125" style="4" bestFit="1" customWidth="1"/>
    <col min="9736" max="9736" width="22.140625" style="4" bestFit="1" customWidth="1"/>
    <col min="9737" max="9737" width="24.140625" style="4" bestFit="1" customWidth="1"/>
    <col min="9738" max="9738" width="10.7109375" style="4" bestFit="1" customWidth="1"/>
    <col min="9739" max="9739" width="20" style="4" bestFit="1" customWidth="1"/>
    <col min="9740" max="9740" width="11.85546875" style="4" bestFit="1" customWidth="1"/>
    <col min="9741" max="9741" width="10.42578125" style="4" bestFit="1" customWidth="1"/>
    <col min="9742" max="9742" width="42.28515625" style="4" bestFit="1" customWidth="1"/>
    <col min="9743" max="9743" width="13.5703125" style="4" bestFit="1" customWidth="1"/>
    <col min="9744" max="9744" width="7.7109375" style="4" bestFit="1" customWidth="1"/>
    <col min="9745" max="9745" width="10.7109375" style="4" bestFit="1" customWidth="1"/>
    <col min="9746" max="9746" width="9.28515625" style="4" bestFit="1" customWidth="1"/>
    <col min="9747" max="9747" width="8.7109375" style="4" bestFit="1" customWidth="1"/>
    <col min="9748" max="9986" width="9.140625" style="4"/>
    <col min="9987" max="9987" width="4.42578125" style="4" bestFit="1" customWidth="1"/>
    <col min="9988" max="9988" width="13.85546875" style="4" bestFit="1" customWidth="1"/>
    <col min="9989" max="9989" width="11.28515625" style="4" bestFit="1" customWidth="1"/>
    <col min="9990" max="9990" width="14.5703125" style="4" bestFit="1" customWidth="1"/>
    <col min="9991" max="9991" width="4.5703125" style="4" bestFit="1" customWidth="1"/>
    <col min="9992" max="9992" width="22.140625" style="4" bestFit="1" customWidth="1"/>
    <col min="9993" max="9993" width="24.140625" style="4" bestFit="1" customWidth="1"/>
    <col min="9994" max="9994" width="10.7109375" style="4" bestFit="1" customWidth="1"/>
    <col min="9995" max="9995" width="20" style="4" bestFit="1" customWidth="1"/>
    <col min="9996" max="9996" width="11.85546875" style="4" bestFit="1" customWidth="1"/>
    <col min="9997" max="9997" width="10.42578125" style="4" bestFit="1" customWidth="1"/>
    <col min="9998" max="9998" width="42.28515625" style="4" bestFit="1" customWidth="1"/>
    <col min="9999" max="9999" width="13.5703125" style="4" bestFit="1" customWidth="1"/>
    <col min="10000" max="10000" width="7.7109375" style="4" bestFit="1" customWidth="1"/>
    <col min="10001" max="10001" width="10.7109375" style="4" bestFit="1" customWidth="1"/>
    <col min="10002" max="10002" width="9.28515625" style="4" bestFit="1" customWidth="1"/>
    <col min="10003" max="10003" width="8.7109375" style="4" bestFit="1" customWidth="1"/>
    <col min="10004" max="10242" width="9.140625" style="4"/>
    <col min="10243" max="10243" width="4.42578125" style="4" bestFit="1" customWidth="1"/>
    <col min="10244" max="10244" width="13.85546875" style="4" bestFit="1" customWidth="1"/>
    <col min="10245" max="10245" width="11.28515625" style="4" bestFit="1" customWidth="1"/>
    <col min="10246" max="10246" width="14.5703125" style="4" bestFit="1" customWidth="1"/>
    <col min="10247" max="10247" width="4.5703125" style="4" bestFit="1" customWidth="1"/>
    <col min="10248" max="10248" width="22.140625" style="4" bestFit="1" customWidth="1"/>
    <col min="10249" max="10249" width="24.140625" style="4" bestFit="1" customWidth="1"/>
    <col min="10250" max="10250" width="10.7109375" style="4" bestFit="1" customWidth="1"/>
    <col min="10251" max="10251" width="20" style="4" bestFit="1" customWidth="1"/>
    <col min="10252" max="10252" width="11.85546875" style="4" bestFit="1" customWidth="1"/>
    <col min="10253" max="10253" width="10.42578125" style="4" bestFit="1" customWidth="1"/>
    <col min="10254" max="10254" width="42.28515625" style="4" bestFit="1" customWidth="1"/>
    <col min="10255" max="10255" width="13.5703125" style="4" bestFit="1" customWidth="1"/>
    <col min="10256" max="10256" width="7.7109375" style="4" bestFit="1" customWidth="1"/>
    <col min="10257" max="10257" width="10.7109375" style="4" bestFit="1" customWidth="1"/>
    <col min="10258" max="10258" width="9.28515625" style="4" bestFit="1" customWidth="1"/>
    <col min="10259" max="10259" width="8.7109375" style="4" bestFit="1" customWidth="1"/>
    <col min="10260" max="10498" width="9.140625" style="4"/>
    <col min="10499" max="10499" width="4.42578125" style="4" bestFit="1" customWidth="1"/>
    <col min="10500" max="10500" width="13.85546875" style="4" bestFit="1" customWidth="1"/>
    <col min="10501" max="10501" width="11.28515625" style="4" bestFit="1" customWidth="1"/>
    <col min="10502" max="10502" width="14.5703125" style="4" bestFit="1" customWidth="1"/>
    <col min="10503" max="10503" width="4.5703125" style="4" bestFit="1" customWidth="1"/>
    <col min="10504" max="10504" width="22.140625" style="4" bestFit="1" customWidth="1"/>
    <col min="10505" max="10505" width="24.140625" style="4" bestFit="1" customWidth="1"/>
    <col min="10506" max="10506" width="10.7109375" style="4" bestFit="1" customWidth="1"/>
    <col min="10507" max="10507" width="20" style="4" bestFit="1" customWidth="1"/>
    <col min="10508" max="10508" width="11.85546875" style="4" bestFit="1" customWidth="1"/>
    <col min="10509" max="10509" width="10.42578125" style="4" bestFit="1" customWidth="1"/>
    <col min="10510" max="10510" width="42.28515625" style="4" bestFit="1" customWidth="1"/>
    <col min="10511" max="10511" width="13.5703125" style="4" bestFit="1" customWidth="1"/>
    <col min="10512" max="10512" width="7.7109375" style="4" bestFit="1" customWidth="1"/>
    <col min="10513" max="10513" width="10.7109375" style="4" bestFit="1" customWidth="1"/>
    <col min="10514" max="10514" width="9.28515625" style="4" bestFit="1" customWidth="1"/>
    <col min="10515" max="10515" width="8.7109375" style="4" bestFit="1" customWidth="1"/>
    <col min="10516" max="10754" width="9.140625" style="4"/>
    <col min="10755" max="10755" width="4.42578125" style="4" bestFit="1" customWidth="1"/>
    <col min="10756" max="10756" width="13.85546875" style="4" bestFit="1" customWidth="1"/>
    <col min="10757" max="10757" width="11.28515625" style="4" bestFit="1" customWidth="1"/>
    <col min="10758" max="10758" width="14.5703125" style="4" bestFit="1" customWidth="1"/>
    <col min="10759" max="10759" width="4.5703125" style="4" bestFit="1" customWidth="1"/>
    <col min="10760" max="10760" width="22.140625" style="4" bestFit="1" customWidth="1"/>
    <col min="10761" max="10761" width="24.140625" style="4" bestFit="1" customWidth="1"/>
    <col min="10762" max="10762" width="10.7109375" style="4" bestFit="1" customWidth="1"/>
    <col min="10763" max="10763" width="20" style="4" bestFit="1" customWidth="1"/>
    <col min="10764" max="10764" width="11.85546875" style="4" bestFit="1" customWidth="1"/>
    <col min="10765" max="10765" width="10.42578125" style="4" bestFit="1" customWidth="1"/>
    <col min="10766" max="10766" width="42.28515625" style="4" bestFit="1" customWidth="1"/>
    <col min="10767" max="10767" width="13.5703125" style="4" bestFit="1" customWidth="1"/>
    <col min="10768" max="10768" width="7.7109375" style="4" bestFit="1" customWidth="1"/>
    <col min="10769" max="10769" width="10.7109375" style="4" bestFit="1" customWidth="1"/>
    <col min="10770" max="10770" width="9.28515625" style="4" bestFit="1" customWidth="1"/>
    <col min="10771" max="10771" width="8.7109375" style="4" bestFit="1" customWidth="1"/>
    <col min="10772" max="11010" width="9.140625" style="4"/>
    <col min="11011" max="11011" width="4.42578125" style="4" bestFit="1" customWidth="1"/>
    <col min="11012" max="11012" width="13.85546875" style="4" bestFit="1" customWidth="1"/>
    <col min="11013" max="11013" width="11.28515625" style="4" bestFit="1" customWidth="1"/>
    <col min="11014" max="11014" width="14.5703125" style="4" bestFit="1" customWidth="1"/>
    <col min="11015" max="11015" width="4.5703125" style="4" bestFit="1" customWidth="1"/>
    <col min="11016" max="11016" width="22.140625" style="4" bestFit="1" customWidth="1"/>
    <col min="11017" max="11017" width="24.140625" style="4" bestFit="1" customWidth="1"/>
    <col min="11018" max="11018" width="10.7109375" style="4" bestFit="1" customWidth="1"/>
    <col min="11019" max="11019" width="20" style="4" bestFit="1" customWidth="1"/>
    <col min="11020" max="11020" width="11.85546875" style="4" bestFit="1" customWidth="1"/>
    <col min="11021" max="11021" width="10.42578125" style="4" bestFit="1" customWidth="1"/>
    <col min="11022" max="11022" width="42.28515625" style="4" bestFit="1" customWidth="1"/>
    <col min="11023" max="11023" width="13.5703125" style="4" bestFit="1" customWidth="1"/>
    <col min="11024" max="11024" width="7.7109375" style="4" bestFit="1" customWidth="1"/>
    <col min="11025" max="11025" width="10.7109375" style="4" bestFit="1" customWidth="1"/>
    <col min="11026" max="11026" width="9.28515625" style="4" bestFit="1" customWidth="1"/>
    <col min="11027" max="11027" width="8.7109375" style="4" bestFit="1" customWidth="1"/>
    <col min="11028" max="11266" width="9.140625" style="4"/>
    <col min="11267" max="11267" width="4.42578125" style="4" bestFit="1" customWidth="1"/>
    <col min="11268" max="11268" width="13.85546875" style="4" bestFit="1" customWidth="1"/>
    <col min="11269" max="11269" width="11.28515625" style="4" bestFit="1" customWidth="1"/>
    <col min="11270" max="11270" width="14.5703125" style="4" bestFit="1" customWidth="1"/>
    <col min="11271" max="11271" width="4.5703125" style="4" bestFit="1" customWidth="1"/>
    <col min="11272" max="11272" width="22.140625" style="4" bestFit="1" customWidth="1"/>
    <col min="11273" max="11273" width="24.140625" style="4" bestFit="1" customWidth="1"/>
    <col min="11274" max="11274" width="10.7109375" style="4" bestFit="1" customWidth="1"/>
    <col min="11275" max="11275" width="20" style="4" bestFit="1" customWidth="1"/>
    <col min="11276" max="11276" width="11.85546875" style="4" bestFit="1" customWidth="1"/>
    <col min="11277" max="11277" width="10.42578125" style="4" bestFit="1" customWidth="1"/>
    <col min="11278" max="11278" width="42.28515625" style="4" bestFit="1" customWidth="1"/>
    <col min="11279" max="11279" width="13.5703125" style="4" bestFit="1" customWidth="1"/>
    <col min="11280" max="11280" width="7.7109375" style="4" bestFit="1" customWidth="1"/>
    <col min="11281" max="11281" width="10.7109375" style="4" bestFit="1" customWidth="1"/>
    <col min="11282" max="11282" width="9.28515625" style="4" bestFit="1" customWidth="1"/>
    <col min="11283" max="11283" width="8.7109375" style="4" bestFit="1" customWidth="1"/>
    <col min="11284" max="11522" width="9.140625" style="4"/>
    <col min="11523" max="11523" width="4.42578125" style="4" bestFit="1" customWidth="1"/>
    <col min="11524" max="11524" width="13.85546875" style="4" bestFit="1" customWidth="1"/>
    <col min="11525" max="11525" width="11.28515625" style="4" bestFit="1" customWidth="1"/>
    <col min="11526" max="11526" width="14.5703125" style="4" bestFit="1" customWidth="1"/>
    <col min="11527" max="11527" width="4.5703125" style="4" bestFit="1" customWidth="1"/>
    <col min="11528" max="11528" width="22.140625" style="4" bestFit="1" customWidth="1"/>
    <col min="11529" max="11529" width="24.140625" style="4" bestFit="1" customWidth="1"/>
    <col min="11530" max="11530" width="10.7109375" style="4" bestFit="1" customWidth="1"/>
    <col min="11531" max="11531" width="20" style="4" bestFit="1" customWidth="1"/>
    <col min="11532" max="11532" width="11.85546875" style="4" bestFit="1" customWidth="1"/>
    <col min="11533" max="11533" width="10.42578125" style="4" bestFit="1" customWidth="1"/>
    <col min="11534" max="11534" width="42.28515625" style="4" bestFit="1" customWidth="1"/>
    <col min="11535" max="11535" width="13.5703125" style="4" bestFit="1" customWidth="1"/>
    <col min="11536" max="11536" width="7.7109375" style="4" bestFit="1" customWidth="1"/>
    <col min="11537" max="11537" width="10.7109375" style="4" bestFit="1" customWidth="1"/>
    <col min="11538" max="11538" width="9.28515625" style="4" bestFit="1" customWidth="1"/>
    <col min="11539" max="11539" width="8.7109375" style="4" bestFit="1" customWidth="1"/>
    <col min="11540" max="11778" width="9.140625" style="4"/>
    <col min="11779" max="11779" width="4.42578125" style="4" bestFit="1" customWidth="1"/>
    <col min="11780" max="11780" width="13.85546875" style="4" bestFit="1" customWidth="1"/>
    <col min="11781" max="11781" width="11.28515625" style="4" bestFit="1" customWidth="1"/>
    <col min="11782" max="11782" width="14.5703125" style="4" bestFit="1" customWidth="1"/>
    <col min="11783" max="11783" width="4.5703125" style="4" bestFit="1" customWidth="1"/>
    <col min="11784" max="11784" width="22.140625" style="4" bestFit="1" customWidth="1"/>
    <col min="11785" max="11785" width="24.140625" style="4" bestFit="1" customWidth="1"/>
    <col min="11786" max="11786" width="10.7109375" style="4" bestFit="1" customWidth="1"/>
    <col min="11787" max="11787" width="20" style="4" bestFit="1" customWidth="1"/>
    <col min="11788" max="11788" width="11.85546875" style="4" bestFit="1" customWidth="1"/>
    <col min="11789" max="11789" width="10.42578125" style="4" bestFit="1" customWidth="1"/>
    <col min="11790" max="11790" width="42.28515625" style="4" bestFit="1" customWidth="1"/>
    <col min="11791" max="11791" width="13.5703125" style="4" bestFit="1" customWidth="1"/>
    <col min="11792" max="11792" width="7.7109375" style="4" bestFit="1" customWidth="1"/>
    <col min="11793" max="11793" width="10.7109375" style="4" bestFit="1" customWidth="1"/>
    <col min="11794" max="11794" width="9.28515625" style="4" bestFit="1" customWidth="1"/>
    <col min="11795" max="11795" width="8.7109375" style="4" bestFit="1" customWidth="1"/>
    <col min="11796" max="12034" width="9.140625" style="4"/>
    <col min="12035" max="12035" width="4.42578125" style="4" bestFit="1" customWidth="1"/>
    <col min="12036" max="12036" width="13.85546875" style="4" bestFit="1" customWidth="1"/>
    <col min="12037" max="12037" width="11.28515625" style="4" bestFit="1" customWidth="1"/>
    <col min="12038" max="12038" width="14.5703125" style="4" bestFit="1" customWidth="1"/>
    <col min="12039" max="12039" width="4.5703125" style="4" bestFit="1" customWidth="1"/>
    <col min="12040" max="12040" width="22.140625" style="4" bestFit="1" customWidth="1"/>
    <col min="12041" max="12041" width="24.140625" style="4" bestFit="1" customWidth="1"/>
    <col min="12042" max="12042" width="10.7109375" style="4" bestFit="1" customWidth="1"/>
    <col min="12043" max="12043" width="20" style="4" bestFit="1" customWidth="1"/>
    <col min="12044" max="12044" width="11.85546875" style="4" bestFit="1" customWidth="1"/>
    <col min="12045" max="12045" width="10.42578125" style="4" bestFit="1" customWidth="1"/>
    <col min="12046" max="12046" width="42.28515625" style="4" bestFit="1" customWidth="1"/>
    <col min="12047" max="12047" width="13.5703125" style="4" bestFit="1" customWidth="1"/>
    <col min="12048" max="12048" width="7.7109375" style="4" bestFit="1" customWidth="1"/>
    <col min="12049" max="12049" width="10.7109375" style="4" bestFit="1" customWidth="1"/>
    <col min="12050" max="12050" width="9.28515625" style="4" bestFit="1" customWidth="1"/>
    <col min="12051" max="12051" width="8.7109375" style="4" bestFit="1" customWidth="1"/>
    <col min="12052" max="12290" width="9.140625" style="4"/>
    <col min="12291" max="12291" width="4.42578125" style="4" bestFit="1" customWidth="1"/>
    <col min="12292" max="12292" width="13.85546875" style="4" bestFit="1" customWidth="1"/>
    <col min="12293" max="12293" width="11.28515625" style="4" bestFit="1" customWidth="1"/>
    <col min="12294" max="12294" width="14.5703125" style="4" bestFit="1" customWidth="1"/>
    <col min="12295" max="12295" width="4.5703125" style="4" bestFit="1" customWidth="1"/>
    <col min="12296" max="12296" width="22.140625" style="4" bestFit="1" customWidth="1"/>
    <col min="12297" max="12297" width="24.140625" style="4" bestFit="1" customWidth="1"/>
    <col min="12298" max="12298" width="10.7109375" style="4" bestFit="1" customWidth="1"/>
    <col min="12299" max="12299" width="20" style="4" bestFit="1" customWidth="1"/>
    <col min="12300" max="12300" width="11.85546875" style="4" bestFit="1" customWidth="1"/>
    <col min="12301" max="12301" width="10.42578125" style="4" bestFit="1" customWidth="1"/>
    <col min="12302" max="12302" width="42.28515625" style="4" bestFit="1" customWidth="1"/>
    <col min="12303" max="12303" width="13.5703125" style="4" bestFit="1" customWidth="1"/>
    <col min="12304" max="12304" width="7.7109375" style="4" bestFit="1" customWidth="1"/>
    <col min="12305" max="12305" width="10.7109375" style="4" bestFit="1" customWidth="1"/>
    <col min="12306" max="12306" width="9.28515625" style="4" bestFit="1" customWidth="1"/>
    <col min="12307" max="12307" width="8.7109375" style="4" bestFit="1" customWidth="1"/>
    <col min="12308" max="12546" width="9.140625" style="4"/>
    <col min="12547" max="12547" width="4.42578125" style="4" bestFit="1" customWidth="1"/>
    <col min="12548" max="12548" width="13.85546875" style="4" bestFit="1" customWidth="1"/>
    <col min="12549" max="12549" width="11.28515625" style="4" bestFit="1" customWidth="1"/>
    <col min="12550" max="12550" width="14.5703125" style="4" bestFit="1" customWidth="1"/>
    <col min="12551" max="12551" width="4.5703125" style="4" bestFit="1" customWidth="1"/>
    <col min="12552" max="12552" width="22.140625" style="4" bestFit="1" customWidth="1"/>
    <col min="12553" max="12553" width="24.140625" style="4" bestFit="1" customWidth="1"/>
    <col min="12554" max="12554" width="10.7109375" style="4" bestFit="1" customWidth="1"/>
    <col min="12555" max="12555" width="20" style="4" bestFit="1" customWidth="1"/>
    <col min="12556" max="12556" width="11.85546875" style="4" bestFit="1" customWidth="1"/>
    <col min="12557" max="12557" width="10.42578125" style="4" bestFit="1" customWidth="1"/>
    <col min="12558" max="12558" width="42.28515625" style="4" bestFit="1" customWidth="1"/>
    <col min="12559" max="12559" width="13.5703125" style="4" bestFit="1" customWidth="1"/>
    <col min="12560" max="12560" width="7.7109375" style="4" bestFit="1" customWidth="1"/>
    <col min="12561" max="12561" width="10.7109375" style="4" bestFit="1" customWidth="1"/>
    <col min="12562" max="12562" width="9.28515625" style="4" bestFit="1" customWidth="1"/>
    <col min="12563" max="12563" width="8.7109375" style="4" bestFit="1" customWidth="1"/>
    <col min="12564" max="12802" width="9.140625" style="4"/>
    <col min="12803" max="12803" width="4.42578125" style="4" bestFit="1" customWidth="1"/>
    <col min="12804" max="12804" width="13.85546875" style="4" bestFit="1" customWidth="1"/>
    <col min="12805" max="12805" width="11.28515625" style="4" bestFit="1" customWidth="1"/>
    <col min="12806" max="12806" width="14.5703125" style="4" bestFit="1" customWidth="1"/>
    <col min="12807" max="12807" width="4.5703125" style="4" bestFit="1" customWidth="1"/>
    <col min="12808" max="12808" width="22.140625" style="4" bestFit="1" customWidth="1"/>
    <col min="12809" max="12809" width="24.140625" style="4" bestFit="1" customWidth="1"/>
    <col min="12810" max="12810" width="10.7109375" style="4" bestFit="1" customWidth="1"/>
    <col min="12811" max="12811" width="20" style="4" bestFit="1" customWidth="1"/>
    <col min="12812" max="12812" width="11.85546875" style="4" bestFit="1" customWidth="1"/>
    <col min="12813" max="12813" width="10.42578125" style="4" bestFit="1" customWidth="1"/>
    <col min="12814" max="12814" width="42.28515625" style="4" bestFit="1" customWidth="1"/>
    <col min="12815" max="12815" width="13.5703125" style="4" bestFit="1" customWidth="1"/>
    <col min="12816" max="12816" width="7.7109375" style="4" bestFit="1" customWidth="1"/>
    <col min="12817" max="12817" width="10.7109375" style="4" bestFit="1" customWidth="1"/>
    <col min="12818" max="12818" width="9.28515625" style="4" bestFit="1" customWidth="1"/>
    <col min="12819" max="12819" width="8.7109375" style="4" bestFit="1" customWidth="1"/>
    <col min="12820" max="13058" width="9.140625" style="4"/>
    <col min="13059" max="13059" width="4.42578125" style="4" bestFit="1" customWidth="1"/>
    <col min="13060" max="13060" width="13.85546875" style="4" bestFit="1" customWidth="1"/>
    <col min="13061" max="13061" width="11.28515625" style="4" bestFit="1" customWidth="1"/>
    <col min="13062" max="13062" width="14.5703125" style="4" bestFit="1" customWidth="1"/>
    <col min="13063" max="13063" width="4.5703125" style="4" bestFit="1" customWidth="1"/>
    <col min="13064" max="13064" width="22.140625" style="4" bestFit="1" customWidth="1"/>
    <col min="13065" max="13065" width="24.140625" style="4" bestFit="1" customWidth="1"/>
    <col min="13066" max="13066" width="10.7109375" style="4" bestFit="1" customWidth="1"/>
    <col min="13067" max="13067" width="20" style="4" bestFit="1" customWidth="1"/>
    <col min="13068" max="13068" width="11.85546875" style="4" bestFit="1" customWidth="1"/>
    <col min="13069" max="13069" width="10.42578125" style="4" bestFit="1" customWidth="1"/>
    <col min="13070" max="13070" width="42.28515625" style="4" bestFit="1" customWidth="1"/>
    <col min="13071" max="13071" width="13.5703125" style="4" bestFit="1" customWidth="1"/>
    <col min="13072" max="13072" width="7.7109375" style="4" bestFit="1" customWidth="1"/>
    <col min="13073" max="13073" width="10.7109375" style="4" bestFit="1" customWidth="1"/>
    <col min="13074" max="13074" width="9.28515625" style="4" bestFit="1" customWidth="1"/>
    <col min="13075" max="13075" width="8.7109375" style="4" bestFit="1" customWidth="1"/>
    <col min="13076" max="13314" width="9.140625" style="4"/>
    <col min="13315" max="13315" width="4.42578125" style="4" bestFit="1" customWidth="1"/>
    <col min="13316" max="13316" width="13.85546875" style="4" bestFit="1" customWidth="1"/>
    <col min="13317" max="13317" width="11.28515625" style="4" bestFit="1" customWidth="1"/>
    <col min="13318" max="13318" width="14.5703125" style="4" bestFit="1" customWidth="1"/>
    <col min="13319" max="13319" width="4.5703125" style="4" bestFit="1" customWidth="1"/>
    <col min="13320" max="13320" width="22.140625" style="4" bestFit="1" customWidth="1"/>
    <col min="13321" max="13321" width="24.140625" style="4" bestFit="1" customWidth="1"/>
    <col min="13322" max="13322" width="10.7109375" style="4" bestFit="1" customWidth="1"/>
    <col min="13323" max="13323" width="20" style="4" bestFit="1" customWidth="1"/>
    <col min="13324" max="13324" width="11.85546875" style="4" bestFit="1" customWidth="1"/>
    <col min="13325" max="13325" width="10.42578125" style="4" bestFit="1" customWidth="1"/>
    <col min="13326" max="13326" width="42.28515625" style="4" bestFit="1" customWidth="1"/>
    <col min="13327" max="13327" width="13.5703125" style="4" bestFit="1" customWidth="1"/>
    <col min="13328" max="13328" width="7.7109375" style="4" bestFit="1" customWidth="1"/>
    <col min="13329" max="13329" width="10.7109375" style="4" bestFit="1" customWidth="1"/>
    <col min="13330" max="13330" width="9.28515625" style="4" bestFit="1" customWidth="1"/>
    <col min="13331" max="13331" width="8.7109375" style="4" bestFit="1" customWidth="1"/>
    <col min="13332" max="13570" width="9.140625" style="4"/>
    <col min="13571" max="13571" width="4.42578125" style="4" bestFit="1" customWidth="1"/>
    <col min="13572" max="13572" width="13.85546875" style="4" bestFit="1" customWidth="1"/>
    <col min="13573" max="13573" width="11.28515625" style="4" bestFit="1" customWidth="1"/>
    <col min="13574" max="13574" width="14.5703125" style="4" bestFit="1" customWidth="1"/>
    <col min="13575" max="13575" width="4.5703125" style="4" bestFit="1" customWidth="1"/>
    <col min="13576" max="13576" width="22.140625" style="4" bestFit="1" customWidth="1"/>
    <col min="13577" max="13577" width="24.140625" style="4" bestFit="1" customWidth="1"/>
    <col min="13578" max="13578" width="10.7109375" style="4" bestFit="1" customWidth="1"/>
    <col min="13579" max="13579" width="20" style="4" bestFit="1" customWidth="1"/>
    <col min="13580" max="13580" width="11.85546875" style="4" bestFit="1" customWidth="1"/>
    <col min="13581" max="13581" width="10.42578125" style="4" bestFit="1" customWidth="1"/>
    <col min="13582" max="13582" width="42.28515625" style="4" bestFit="1" customWidth="1"/>
    <col min="13583" max="13583" width="13.5703125" style="4" bestFit="1" customWidth="1"/>
    <col min="13584" max="13584" width="7.7109375" style="4" bestFit="1" customWidth="1"/>
    <col min="13585" max="13585" width="10.7109375" style="4" bestFit="1" customWidth="1"/>
    <col min="13586" max="13586" width="9.28515625" style="4" bestFit="1" customWidth="1"/>
    <col min="13587" max="13587" width="8.7109375" style="4" bestFit="1" customWidth="1"/>
    <col min="13588" max="13826" width="9.140625" style="4"/>
    <col min="13827" max="13827" width="4.42578125" style="4" bestFit="1" customWidth="1"/>
    <col min="13828" max="13828" width="13.85546875" style="4" bestFit="1" customWidth="1"/>
    <col min="13829" max="13829" width="11.28515625" style="4" bestFit="1" customWidth="1"/>
    <col min="13830" max="13830" width="14.5703125" style="4" bestFit="1" customWidth="1"/>
    <col min="13831" max="13831" width="4.5703125" style="4" bestFit="1" customWidth="1"/>
    <col min="13832" max="13832" width="22.140625" style="4" bestFit="1" customWidth="1"/>
    <col min="13833" max="13833" width="24.140625" style="4" bestFit="1" customWidth="1"/>
    <col min="13834" max="13834" width="10.7109375" style="4" bestFit="1" customWidth="1"/>
    <col min="13835" max="13835" width="20" style="4" bestFit="1" customWidth="1"/>
    <col min="13836" max="13836" width="11.85546875" style="4" bestFit="1" customWidth="1"/>
    <col min="13837" max="13837" width="10.42578125" style="4" bestFit="1" customWidth="1"/>
    <col min="13838" max="13838" width="42.28515625" style="4" bestFit="1" customWidth="1"/>
    <col min="13839" max="13839" width="13.5703125" style="4" bestFit="1" customWidth="1"/>
    <col min="13840" max="13840" width="7.7109375" style="4" bestFit="1" customWidth="1"/>
    <col min="13841" max="13841" width="10.7109375" style="4" bestFit="1" customWidth="1"/>
    <col min="13842" max="13842" width="9.28515625" style="4" bestFit="1" customWidth="1"/>
    <col min="13843" max="13843" width="8.7109375" style="4" bestFit="1" customWidth="1"/>
    <col min="13844" max="14082" width="9.140625" style="4"/>
    <col min="14083" max="14083" width="4.42578125" style="4" bestFit="1" customWidth="1"/>
    <col min="14084" max="14084" width="13.85546875" style="4" bestFit="1" customWidth="1"/>
    <col min="14085" max="14085" width="11.28515625" style="4" bestFit="1" customWidth="1"/>
    <col min="14086" max="14086" width="14.5703125" style="4" bestFit="1" customWidth="1"/>
    <col min="14087" max="14087" width="4.5703125" style="4" bestFit="1" customWidth="1"/>
    <col min="14088" max="14088" width="22.140625" style="4" bestFit="1" customWidth="1"/>
    <col min="14089" max="14089" width="24.140625" style="4" bestFit="1" customWidth="1"/>
    <col min="14090" max="14090" width="10.7109375" style="4" bestFit="1" customWidth="1"/>
    <col min="14091" max="14091" width="20" style="4" bestFit="1" customWidth="1"/>
    <col min="14092" max="14092" width="11.85546875" style="4" bestFit="1" customWidth="1"/>
    <col min="14093" max="14093" width="10.42578125" style="4" bestFit="1" customWidth="1"/>
    <col min="14094" max="14094" width="42.28515625" style="4" bestFit="1" customWidth="1"/>
    <col min="14095" max="14095" width="13.5703125" style="4" bestFit="1" customWidth="1"/>
    <col min="14096" max="14096" width="7.7109375" style="4" bestFit="1" customWidth="1"/>
    <col min="14097" max="14097" width="10.7109375" style="4" bestFit="1" customWidth="1"/>
    <col min="14098" max="14098" width="9.28515625" style="4" bestFit="1" customWidth="1"/>
    <col min="14099" max="14099" width="8.7109375" style="4" bestFit="1" customWidth="1"/>
    <col min="14100" max="14338" width="9.140625" style="4"/>
    <col min="14339" max="14339" width="4.42578125" style="4" bestFit="1" customWidth="1"/>
    <col min="14340" max="14340" width="13.85546875" style="4" bestFit="1" customWidth="1"/>
    <col min="14341" max="14341" width="11.28515625" style="4" bestFit="1" customWidth="1"/>
    <col min="14342" max="14342" width="14.5703125" style="4" bestFit="1" customWidth="1"/>
    <col min="14343" max="14343" width="4.5703125" style="4" bestFit="1" customWidth="1"/>
    <col min="14344" max="14344" width="22.140625" style="4" bestFit="1" customWidth="1"/>
    <col min="14345" max="14345" width="24.140625" style="4" bestFit="1" customWidth="1"/>
    <col min="14346" max="14346" width="10.7109375" style="4" bestFit="1" customWidth="1"/>
    <col min="14347" max="14347" width="20" style="4" bestFit="1" customWidth="1"/>
    <col min="14348" max="14348" width="11.85546875" style="4" bestFit="1" customWidth="1"/>
    <col min="14349" max="14349" width="10.42578125" style="4" bestFit="1" customWidth="1"/>
    <col min="14350" max="14350" width="42.28515625" style="4" bestFit="1" customWidth="1"/>
    <col min="14351" max="14351" width="13.5703125" style="4" bestFit="1" customWidth="1"/>
    <col min="14352" max="14352" width="7.7109375" style="4" bestFit="1" customWidth="1"/>
    <col min="14353" max="14353" width="10.7109375" style="4" bestFit="1" customWidth="1"/>
    <col min="14354" max="14354" width="9.28515625" style="4" bestFit="1" customWidth="1"/>
    <col min="14355" max="14355" width="8.7109375" style="4" bestFit="1" customWidth="1"/>
    <col min="14356" max="14594" width="9.140625" style="4"/>
    <col min="14595" max="14595" width="4.42578125" style="4" bestFit="1" customWidth="1"/>
    <col min="14596" max="14596" width="13.85546875" style="4" bestFit="1" customWidth="1"/>
    <col min="14597" max="14597" width="11.28515625" style="4" bestFit="1" customWidth="1"/>
    <col min="14598" max="14598" width="14.5703125" style="4" bestFit="1" customWidth="1"/>
    <col min="14599" max="14599" width="4.5703125" style="4" bestFit="1" customWidth="1"/>
    <col min="14600" max="14600" width="22.140625" style="4" bestFit="1" customWidth="1"/>
    <col min="14601" max="14601" width="24.140625" style="4" bestFit="1" customWidth="1"/>
    <col min="14602" max="14602" width="10.7109375" style="4" bestFit="1" customWidth="1"/>
    <col min="14603" max="14603" width="20" style="4" bestFit="1" customWidth="1"/>
    <col min="14604" max="14604" width="11.85546875" style="4" bestFit="1" customWidth="1"/>
    <col min="14605" max="14605" width="10.42578125" style="4" bestFit="1" customWidth="1"/>
    <col min="14606" max="14606" width="42.28515625" style="4" bestFit="1" customWidth="1"/>
    <col min="14607" max="14607" width="13.5703125" style="4" bestFit="1" customWidth="1"/>
    <col min="14608" max="14608" width="7.7109375" style="4" bestFit="1" customWidth="1"/>
    <col min="14609" max="14609" width="10.7109375" style="4" bestFit="1" customWidth="1"/>
    <col min="14610" max="14610" width="9.28515625" style="4" bestFit="1" customWidth="1"/>
    <col min="14611" max="14611" width="8.7109375" style="4" bestFit="1" customWidth="1"/>
    <col min="14612" max="14850" width="9.140625" style="4"/>
    <col min="14851" max="14851" width="4.42578125" style="4" bestFit="1" customWidth="1"/>
    <col min="14852" max="14852" width="13.85546875" style="4" bestFit="1" customWidth="1"/>
    <col min="14853" max="14853" width="11.28515625" style="4" bestFit="1" customWidth="1"/>
    <col min="14854" max="14854" width="14.5703125" style="4" bestFit="1" customWidth="1"/>
    <col min="14855" max="14855" width="4.5703125" style="4" bestFit="1" customWidth="1"/>
    <col min="14856" max="14856" width="22.140625" style="4" bestFit="1" customWidth="1"/>
    <col min="14857" max="14857" width="24.140625" style="4" bestFit="1" customWidth="1"/>
    <col min="14858" max="14858" width="10.7109375" style="4" bestFit="1" customWidth="1"/>
    <col min="14859" max="14859" width="20" style="4" bestFit="1" customWidth="1"/>
    <col min="14860" max="14860" width="11.85546875" style="4" bestFit="1" customWidth="1"/>
    <col min="14861" max="14861" width="10.42578125" style="4" bestFit="1" customWidth="1"/>
    <col min="14862" max="14862" width="42.28515625" style="4" bestFit="1" customWidth="1"/>
    <col min="14863" max="14863" width="13.5703125" style="4" bestFit="1" customWidth="1"/>
    <col min="14864" max="14864" width="7.7109375" style="4" bestFit="1" customWidth="1"/>
    <col min="14865" max="14865" width="10.7109375" style="4" bestFit="1" customWidth="1"/>
    <col min="14866" max="14866" width="9.28515625" style="4" bestFit="1" customWidth="1"/>
    <col min="14867" max="14867" width="8.7109375" style="4" bestFit="1" customWidth="1"/>
    <col min="14868" max="15106" width="9.140625" style="4"/>
    <col min="15107" max="15107" width="4.42578125" style="4" bestFit="1" customWidth="1"/>
    <col min="15108" max="15108" width="13.85546875" style="4" bestFit="1" customWidth="1"/>
    <col min="15109" max="15109" width="11.28515625" style="4" bestFit="1" customWidth="1"/>
    <col min="15110" max="15110" width="14.5703125" style="4" bestFit="1" customWidth="1"/>
    <col min="15111" max="15111" width="4.5703125" style="4" bestFit="1" customWidth="1"/>
    <col min="15112" max="15112" width="22.140625" style="4" bestFit="1" customWidth="1"/>
    <col min="15113" max="15113" width="24.140625" style="4" bestFit="1" customWidth="1"/>
    <col min="15114" max="15114" width="10.7109375" style="4" bestFit="1" customWidth="1"/>
    <col min="15115" max="15115" width="20" style="4" bestFit="1" customWidth="1"/>
    <col min="15116" max="15116" width="11.85546875" style="4" bestFit="1" customWidth="1"/>
    <col min="15117" max="15117" width="10.42578125" style="4" bestFit="1" customWidth="1"/>
    <col min="15118" max="15118" width="42.28515625" style="4" bestFit="1" customWidth="1"/>
    <col min="15119" max="15119" width="13.5703125" style="4" bestFit="1" customWidth="1"/>
    <col min="15120" max="15120" width="7.7109375" style="4" bestFit="1" customWidth="1"/>
    <col min="15121" max="15121" width="10.7109375" style="4" bestFit="1" customWidth="1"/>
    <col min="15122" max="15122" width="9.28515625" style="4" bestFit="1" customWidth="1"/>
    <col min="15123" max="15123" width="8.7109375" style="4" bestFit="1" customWidth="1"/>
    <col min="15124" max="15362" width="9.140625" style="4"/>
    <col min="15363" max="15363" width="4.42578125" style="4" bestFit="1" customWidth="1"/>
    <col min="15364" max="15364" width="13.85546875" style="4" bestFit="1" customWidth="1"/>
    <col min="15365" max="15365" width="11.28515625" style="4" bestFit="1" customWidth="1"/>
    <col min="15366" max="15366" width="14.5703125" style="4" bestFit="1" customWidth="1"/>
    <col min="15367" max="15367" width="4.5703125" style="4" bestFit="1" customWidth="1"/>
    <col min="15368" max="15368" width="22.140625" style="4" bestFit="1" customWidth="1"/>
    <col min="15369" max="15369" width="24.140625" style="4" bestFit="1" customWidth="1"/>
    <col min="15370" max="15370" width="10.7109375" style="4" bestFit="1" customWidth="1"/>
    <col min="15371" max="15371" width="20" style="4" bestFit="1" customWidth="1"/>
    <col min="15372" max="15372" width="11.85546875" style="4" bestFit="1" customWidth="1"/>
    <col min="15373" max="15373" width="10.42578125" style="4" bestFit="1" customWidth="1"/>
    <col min="15374" max="15374" width="42.28515625" style="4" bestFit="1" customWidth="1"/>
    <col min="15375" max="15375" width="13.5703125" style="4" bestFit="1" customWidth="1"/>
    <col min="15376" max="15376" width="7.7109375" style="4" bestFit="1" customWidth="1"/>
    <col min="15377" max="15377" width="10.7109375" style="4" bestFit="1" customWidth="1"/>
    <col min="15378" max="15378" width="9.28515625" style="4" bestFit="1" customWidth="1"/>
    <col min="15379" max="15379" width="8.7109375" style="4" bestFit="1" customWidth="1"/>
    <col min="15380" max="15618" width="9.140625" style="4"/>
    <col min="15619" max="15619" width="4.42578125" style="4" bestFit="1" customWidth="1"/>
    <col min="15620" max="15620" width="13.85546875" style="4" bestFit="1" customWidth="1"/>
    <col min="15621" max="15621" width="11.28515625" style="4" bestFit="1" customWidth="1"/>
    <col min="15622" max="15622" width="14.5703125" style="4" bestFit="1" customWidth="1"/>
    <col min="15623" max="15623" width="4.5703125" style="4" bestFit="1" customWidth="1"/>
    <col min="15624" max="15624" width="22.140625" style="4" bestFit="1" customWidth="1"/>
    <col min="15625" max="15625" width="24.140625" style="4" bestFit="1" customWidth="1"/>
    <col min="15626" max="15626" width="10.7109375" style="4" bestFit="1" customWidth="1"/>
    <col min="15627" max="15627" width="20" style="4" bestFit="1" customWidth="1"/>
    <col min="15628" max="15628" width="11.85546875" style="4" bestFit="1" customWidth="1"/>
    <col min="15629" max="15629" width="10.42578125" style="4" bestFit="1" customWidth="1"/>
    <col min="15630" max="15630" width="42.28515625" style="4" bestFit="1" customWidth="1"/>
    <col min="15631" max="15631" width="13.5703125" style="4" bestFit="1" customWidth="1"/>
    <col min="15632" max="15632" width="7.7109375" style="4" bestFit="1" customWidth="1"/>
    <col min="15633" max="15633" width="10.7109375" style="4" bestFit="1" customWidth="1"/>
    <col min="15634" max="15634" width="9.28515625" style="4" bestFit="1" customWidth="1"/>
    <col min="15635" max="15635" width="8.7109375" style="4" bestFit="1" customWidth="1"/>
    <col min="15636" max="15874" width="9.140625" style="4"/>
    <col min="15875" max="15875" width="4.42578125" style="4" bestFit="1" customWidth="1"/>
    <col min="15876" max="15876" width="13.85546875" style="4" bestFit="1" customWidth="1"/>
    <col min="15877" max="15877" width="11.28515625" style="4" bestFit="1" customWidth="1"/>
    <col min="15878" max="15878" width="14.5703125" style="4" bestFit="1" customWidth="1"/>
    <col min="15879" max="15879" width="4.5703125" style="4" bestFit="1" customWidth="1"/>
    <col min="15880" max="15880" width="22.140625" style="4" bestFit="1" customWidth="1"/>
    <col min="15881" max="15881" width="24.140625" style="4" bestFit="1" customWidth="1"/>
    <col min="15882" max="15882" width="10.7109375" style="4" bestFit="1" customWidth="1"/>
    <col min="15883" max="15883" width="20" style="4" bestFit="1" customWidth="1"/>
    <col min="15884" max="15884" width="11.85546875" style="4" bestFit="1" customWidth="1"/>
    <col min="15885" max="15885" width="10.42578125" style="4" bestFit="1" customWidth="1"/>
    <col min="15886" max="15886" width="42.28515625" style="4" bestFit="1" customWidth="1"/>
    <col min="15887" max="15887" width="13.5703125" style="4" bestFit="1" customWidth="1"/>
    <col min="15888" max="15888" width="7.7109375" style="4" bestFit="1" customWidth="1"/>
    <col min="15889" max="15889" width="10.7109375" style="4" bestFit="1" customWidth="1"/>
    <col min="15890" max="15890" width="9.28515625" style="4" bestFit="1" customWidth="1"/>
    <col min="15891" max="15891" width="8.7109375" style="4" bestFit="1" customWidth="1"/>
    <col min="15892" max="16130" width="9.140625" style="4"/>
    <col min="16131" max="16131" width="4.42578125" style="4" bestFit="1" customWidth="1"/>
    <col min="16132" max="16132" width="13.85546875" style="4" bestFit="1" customWidth="1"/>
    <col min="16133" max="16133" width="11.28515625" style="4" bestFit="1" customWidth="1"/>
    <col min="16134" max="16134" width="14.5703125" style="4" bestFit="1" customWidth="1"/>
    <col min="16135" max="16135" width="4.5703125" style="4" bestFit="1" customWidth="1"/>
    <col min="16136" max="16136" width="22.140625" style="4" bestFit="1" customWidth="1"/>
    <col min="16137" max="16137" width="24.140625" style="4" bestFit="1" customWidth="1"/>
    <col min="16138" max="16138" width="10.7109375" style="4" bestFit="1" customWidth="1"/>
    <col min="16139" max="16139" width="20" style="4" bestFit="1" customWidth="1"/>
    <col min="16140" max="16140" width="11.85546875" style="4" bestFit="1" customWidth="1"/>
    <col min="16141" max="16141" width="10.42578125" style="4" bestFit="1" customWidth="1"/>
    <col min="16142" max="16142" width="42.28515625" style="4" bestFit="1" customWidth="1"/>
    <col min="16143" max="16143" width="13.5703125" style="4" bestFit="1" customWidth="1"/>
    <col min="16144" max="16144" width="7.7109375" style="4" bestFit="1" customWidth="1"/>
    <col min="16145" max="16145" width="10.7109375" style="4" bestFit="1" customWidth="1"/>
    <col min="16146" max="16146" width="9.28515625" style="4" bestFit="1" customWidth="1"/>
    <col min="16147" max="16147" width="8.7109375" style="4" bestFit="1" customWidth="1"/>
    <col min="16148" max="16384" width="9.140625" style="4"/>
  </cols>
  <sheetData>
    <row r="1" spans="1:19" ht="25.5" customHeight="1" x14ac:dyDescent="0.2">
      <c r="A1" s="46" t="s">
        <v>222</v>
      </c>
      <c r="B1" s="47"/>
      <c r="C1" s="47"/>
      <c r="D1" s="48"/>
      <c r="E1" s="49"/>
      <c r="F1" s="50"/>
      <c r="G1" s="50"/>
      <c r="H1" s="51"/>
      <c r="I1" s="49" t="s">
        <v>223</v>
      </c>
      <c r="J1" s="51"/>
      <c r="K1" s="20"/>
      <c r="L1" s="24"/>
      <c r="M1" s="24"/>
      <c r="N1" s="24"/>
      <c r="O1" s="24"/>
      <c r="P1" s="25"/>
      <c r="Q1" s="26"/>
      <c r="R1" s="25"/>
      <c r="S1" s="19" t="s">
        <v>8</v>
      </c>
    </row>
    <row r="2" spans="1:19" ht="15.75" customHeight="1" x14ac:dyDescent="0.2">
      <c r="A2" s="20"/>
      <c r="B2" s="21"/>
      <c r="C2" s="21"/>
      <c r="D2" s="21"/>
      <c r="E2" s="21"/>
      <c r="F2" s="22">
        <v>0.15</v>
      </c>
      <c r="G2" s="22">
        <v>0.15</v>
      </c>
      <c r="H2" s="21"/>
      <c r="I2" s="22">
        <v>0.13</v>
      </c>
      <c r="J2" s="21"/>
      <c r="K2" s="21"/>
      <c r="L2" s="23"/>
      <c r="M2" s="23"/>
      <c r="N2" s="23"/>
      <c r="O2" s="23"/>
      <c r="P2" s="23"/>
      <c r="Q2" s="23"/>
      <c r="R2" s="24"/>
      <c r="S2" s="19" t="s">
        <v>8</v>
      </c>
    </row>
    <row r="3" spans="1:19" ht="25.5" customHeight="1" x14ac:dyDescent="0.2">
      <c r="A3" s="1" t="s">
        <v>1</v>
      </c>
      <c r="B3" s="1" t="s">
        <v>212</v>
      </c>
      <c r="C3" s="1" t="s">
        <v>213</v>
      </c>
      <c r="D3" s="1" t="s">
        <v>214</v>
      </c>
      <c r="E3" s="15" t="s">
        <v>0</v>
      </c>
      <c r="F3" s="15" t="s">
        <v>217</v>
      </c>
      <c r="G3" s="15" t="s">
        <v>218</v>
      </c>
      <c r="H3" s="15" t="s">
        <v>220</v>
      </c>
      <c r="I3" s="15" t="s">
        <v>219</v>
      </c>
      <c r="J3" s="15" t="s">
        <v>221</v>
      </c>
      <c r="K3" s="2" t="s">
        <v>2</v>
      </c>
      <c r="L3" s="2" t="s">
        <v>3</v>
      </c>
      <c r="M3" s="2" t="s">
        <v>4</v>
      </c>
      <c r="N3" s="2" t="s">
        <v>5</v>
      </c>
      <c r="O3" s="2" t="s">
        <v>6</v>
      </c>
      <c r="P3" s="1" t="s">
        <v>215</v>
      </c>
      <c r="Q3" s="3" t="s">
        <v>7</v>
      </c>
      <c r="R3" s="1" t="s">
        <v>216</v>
      </c>
      <c r="S3" s="1" t="s">
        <v>8</v>
      </c>
    </row>
    <row r="4" spans="1:19" ht="15" x14ac:dyDescent="0.25">
      <c r="A4" s="10">
        <v>101</v>
      </c>
      <c r="B4" s="12" t="s">
        <v>68</v>
      </c>
      <c r="C4" s="12" t="s">
        <v>69</v>
      </c>
      <c r="D4" s="12" t="s">
        <v>70</v>
      </c>
      <c r="E4" s="16">
        <f>LOOKUP(M4,Справочники!$B$2:$B$35,Справочники!$C$2:$C$35)</f>
        <v>12000</v>
      </c>
      <c r="F4" s="16">
        <f t="shared" ref="F4:F35" ca="1" si="0">IF(P4&gt;=5, E4*$F$2, )</f>
        <v>1800</v>
      </c>
      <c r="G4" s="16">
        <f t="shared" ref="G4:G35" si="1">E4*$G$2</f>
        <v>1800</v>
      </c>
      <c r="H4" s="16">
        <f t="shared" ref="H4:H35" ca="1" si="2">E4+F4+G4</f>
        <v>15600</v>
      </c>
      <c r="I4" s="16">
        <f t="shared" ref="I4:I35" ca="1" si="3">H4*$I$2</f>
        <v>2028</v>
      </c>
      <c r="J4" s="16">
        <f t="shared" ref="J4:J35" ca="1" si="4">H4-I4</f>
        <v>13572</v>
      </c>
      <c r="K4" s="10" t="s">
        <v>9</v>
      </c>
      <c r="L4" s="10" t="str">
        <f>LOOKUP(M4,Справочники!$B$2:$B$35,Справочники!$A$2:$A$35)</f>
        <v>Бухгалтерия</v>
      </c>
      <c r="M4" s="6" t="s">
        <v>11</v>
      </c>
      <c r="N4" s="6" t="s">
        <v>14</v>
      </c>
      <c r="O4" s="11">
        <v>38944</v>
      </c>
      <c r="P4" s="10">
        <f t="shared" ref="P4:P35" ca="1" si="5">DATEDIF(O4, TODAY(),"Y")</f>
        <v>16</v>
      </c>
      <c r="Q4" s="11">
        <v>30198</v>
      </c>
      <c r="R4" s="10">
        <f t="shared" ref="R4:R35" ca="1" si="6">DATEDIF(Q4, TODAY(),"Y")</f>
        <v>40</v>
      </c>
      <c r="S4" s="10" t="str">
        <f>LOOKUP(L4,Справочники!$F$2:$F$10,Справочники!$H$2:$H$10)</f>
        <v>+7(8332)64-32-01</v>
      </c>
    </row>
    <row r="5" spans="1:19" ht="15" x14ac:dyDescent="0.25">
      <c r="A5" s="10">
        <v>105</v>
      </c>
      <c r="B5" s="12" t="s">
        <v>80</v>
      </c>
      <c r="C5" s="12" t="s">
        <v>81</v>
      </c>
      <c r="D5" s="12" t="s">
        <v>82</v>
      </c>
      <c r="E5" s="16">
        <f>LOOKUP(M5,Справочники!$B$2:$B$35,Справочники!$C$2:$C$35)</f>
        <v>17000</v>
      </c>
      <c r="F5" s="16">
        <f t="shared" ca="1" si="0"/>
        <v>2550</v>
      </c>
      <c r="G5" s="16">
        <f t="shared" si="1"/>
        <v>2550</v>
      </c>
      <c r="H5" s="16">
        <f t="shared" ca="1" si="2"/>
        <v>22100</v>
      </c>
      <c r="I5" s="16">
        <f t="shared" ca="1" si="3"/>
        <v>2873</v>
      </c>
      <c r="J5" s="16">
        <f t="shared" ca="1" si="4"/>
        <v>19227</v>
      </c>
      <c r="K5" s="10" t="s">
        <v>17</v>
      </c>
      <c r="L5" s="10" t="str">
        <f>LOOKUP(M5,Справочники!$B$2:$B$35,Справочники!$A$2:$A$35)</f>
        <v>Бухгалтерия</v>
      </c>
      <c r="M5" s="6" t="s">
        <v>18</v>
      </c>
      <c r="N5" s="6" t="s">
        <v>14</v>
      </c>
      <c r="O5" s="11">
        <v>41165</v>
      </c>
      <c r="P5" s="10">
        <f t="shared" ca="1" si="5"/>
        <v>10</v>
      </c>
      <c r="Q5" s="11">
        <v>31196</v>
      </c>
      <c r="R5" s="10">
        <f t="shared" ca="1" si="6"/>
        <v>37</v>
      </c>
      <c r="S5" s="10" t="str">
        <f>LOOKUP(L5,Справочники!$F$2:$F$10,Справочники!$H$2:$H$10)</f>
        <v>+7(8332)64-32-01</v>
      </c>
    </row>
    <row r="6" spans="1:19" ht="15" x14ac:dyDescent="0.25">
      <c r="A6" s="10">
        <v>130</v>
      </c>
      <c r="B6" s="12" t="s">
        <v>137</v>
      </c>
      <c r="C6" s="12" t="s">
        <v>138</v>
      </c>
      <c r="D6" s="12" t="s">
        <v>139</v>
      </c>
      <c r="E6" s="16">
        <f>LOOKUP(M6,Справочники!$B$2:$B$35,Справочники!$C$2:$C$35)</f>
        <v>15000</v>
      </c>
      <c r="F6" s="16">
        <f t="shared" ca="1" si="0"/>
        <v>2250</v>
      </c>
      <c r="G6" s="16">
        <f t="shared" si="1"/>
        <v>2250</v>
      </c>
      <c r="H6" s="16">
        <f t="shared" ca="1" si="2"/>
        <v>19500</v>
      </c>
      <c r="I6" s="16">
        <f t="shared" ca="1" si="3"/>
        <v>2535</v>
      </c>
      <c r="J6" s="16">
        <f t="shared" ca="1" si="4"/>
        <v>16965</v>
      </c>
      <c r="K6" s="10" t="s">
        <v>9</v>
      </c>
      <c r="L6" s="10" t="str">
        <f>LOOKUP(M6,Справочники!$B$2:$B$35,Справочники!$A$2:$A$35)</f>
        <v>Управление</v>
      </c>
      <c r="M6" s="6" t="s">
        <v>20</v>
      </c>
      <c r="N6" s="6" t="s">
        <v>25</v>
      </c>
      <c r="O6" s="11">
        <v>42765</v>
      </c>
      <c r="P6" s="10">
        <f t="shared" ca="1" si="5"/>
        <v>5</v>
      </c>
      <c r="Q6" s="11">
        <v>34714</v>
      </c>
      <c r="R6" s="10">
        <f t="shared" ca="1" si="6"/>
        <v>27</v>
      </c>
      <c r="S6" s="10" t="str">
        <f>LOOKUP(L6,Справочники!$F$2:$F$10,Справочники!$H$2:$H$10)</f>
        <v>+7(8332)64-32-18</v>
      </c>
    </row>
    <row r="7" spans="1:19" ht="15" x14ac:dyDescent="0.25">
      <c r="A7" s="10">
        <v>139</v>
      </c>
      <c r="B7" s="12" t="s">
        <v>157</v>
      </c>
      <c r="C7" s="12" t="s">
        <v>158</v>
      </c>
      <c r="D7" s="12" t="s">
        <v>159</v>
      </c>
      <c r="E7" s="16">
        <f>LOOKUP(M7,Справочники!$B$2:$B$35,Справочники!$C$2:$C$35)</f>
        <v>15000</v>
      </c>
      <c r="F7" s="16">
        <f t="shared" ca="1" si="0"/>
        <v>2250</v>
      </c>
      <c r="G7" s="16">
        <f t="shared" si="1"/>
        <v>2250</v>
      </c>
      <c r="H7" s="16">
        <f t="shared" ca="1" si="2"/>
        <v>19500</v>
      </c>
      <c r="I7" s="16">
        <f t="shared" ca="1" si="3"/>
        <v>2535</v>
      </c>
      <c r="J7" s="16">
        <f t="shared" ca="1" si="4"/>
        <v>16965</v>
      </c>
      <c r="K7" s="10" t="s">
        <v>9</v>
      </c>
      <c r="L7" s="10" t="str">
        <f>LOOKUP(M7,Справочники!$B$2:$B$35,Справочники!$A$2:$A$35)</f>
        <v>Управление</v>
      </c>
      <c r="M7" s="6" t="s">
        <v>20</v>
      </c>
      <c r="N7" s="6" t="s">
        <v>12</v>
      </c>
      <c r="O7" s="11">
        <v>41697</v>
      </c>
      <c r="P7" s="10">
        <f t="shared" ca="1" si="5"/>
        <v>8</v>
      </c>
      <c r="Q7" s="11">
        <v>33022</v>
      </c>
      <c r="R7" s="10">
        <f t="shared" ca="1" si="6"/>
        <v>32</v>
      </c>
      <c r="S7" s="10" t="str">
        <f>LOOKUP(L7,Справочники!$F$2:$F$10,Справочники!$H$2:$H$10)</f>
        <v>+7(8332)64-32-18</v>
      </c>
    </row>
    <row r="8" spans="1:19" ht="15" x14ac:dyDescent="0.25">
      <c r="A8" s="10">
        <v>107</v>
      </c>
      <c r="B8" s="12" t="s">
        <v>86</v>
      </c>
      <c r="C8" s="12" t="s">
        <v>87</v>
      </c>
      <c r="D8" s="12" t="s">
        <v>88</v>
      </c>
      <c r="E8" s="16">
        <f>LOOKUP(M8,Справочники!$B$2:$B$35,Справочники!$C$2:$C$35)</f>
        <v>15000</v>
      </c>
      <c r="F8" s="16">
        <f t="shared" ca="1" si="0"/>
        <v>2250</v>
      </c>
      <c r="G8" s="16">
        <f t="shared" si="1"/>
        <v>2250</v>
      </c>
      <c r="H8" s="16">
        <f t="shared" ca="1" si="2"/>
        <v>19500</v>
      </c>
      <c r="I8" s="16">
        <f t="shared" ca="1" si="3"/>
        <v>2535</v>
      </c>
      <c r="J8" s="16">
        <f t="shared" ca="1" si="4"/>
        <v>16965</v>
      </c>
      <c r="K8" s="10" t="s">
        <v>9</v>
      </c>
      <c r="L8" s="10" t="str">
        <f>LOOKUP(M8,Справочники!$B$2:$B$35,Справочники!$A$2:$A$35)</f>
        <v>Управление</v>
      </c>
      <c r="M8" s="6" t="s">
        <v>20</v>
      </c>
      <c r="N8" s="6" t="s">
        <v>12</v>
      </c>
      <c r="O8" s="11">
        <v>39956</v>
      </c>
      <c r="P8" s="10">
        <f t="shared" ca="1" si="5"/>
        <v>13</v>
      </c>
      <c r="Q8" s="11">
        <v>30254</v>
      </c>
      <c r="R8" s="10">
        <f t="shared" ca="1" si="6"/>
        <v>40</v>
      </c>
      <c r="S8" s="10" t="str">
        <f>LOOKUP(L8,Справочники!$F$2:$F$10,Справочники!$H$2:$H$10)</f>
        <v>+7(8332)64-32-18</v>
      </c>
    </row>
    <row r="9" spans="1:19" ht="15" x14ac:dyDescent="0.25">
      <c r="A9" s="10">
        <v>150</v>
      </c>
      <c r="B9" s="12" t="s">
        <v>182</v>
      </c>
      <c r="C9" s="12" t="s">
        <v>75</v>
      </c>
      <c r="D9" s="12" t="s">
        <v>76</v>
      </c>
      <c r="E9" s="16">
        <f>LOOKUP(M9,Справочники!$B$2:$B$35,Справочники!$C$2:$C$35)</f>
        <v>16000</v>
      </c>
      <c r="F9" s="16">
        <f t="shared" ca="1" si="0"/>
        <v>2400</v>
      </c>
      <c r="G9" s="16">
        <f t="shared" si="1"/>
        <v>2400</v>
      </c>
      <c r="H9" s="16">
        <f t="shared" ca="1" si="2"/>
        <v>20800</v>
      </c>
      <c r="I9" s="16">
        <f t="shared" ca="1" si="3"/>
        <v>2704</v>
      </c>
      <c r="J9" s="16">
        <f t="shared" ca="1" si="4"/>
        <v>18096</v>
      </c>
      <c r="K9" s="10" t="s">
        <v>9</v>
      </c>
      <c r="L9" s="10" t="str">
        <f>LOOKUP(M9,Справочники!$B$2:$B$35,Справочники!$A$2:$A$35)</f>
        <v>Редакторский отдел</v>
      </c>
      <c r="M9" s="6" t="s">
        <v>52</v>
      </c>
      <c r="N9" s="6" t="s">
        <v>14</v>
      </c>
      <c r="O9" s="11">
        <v>34714</v>
      </c>
      <c r="P9" s="10">
        <f t="shared" ca="1" si="5"/>
        <v>27</v>
      </c>
      <c r="Q9" s="11">
        <v>22250</v>
      </c>
      <c r="R9" s="10">
        <f t="shared" ca="1" si="6"/>
        <v>61</v>
      </c>
      <c r="S9" s="10" t="str">
        <f>LOOKUP(L9,Справочники!$F$2:$F$10,Справочники!$H$2:$H$10)</f>
        <v>+7(8332)64-32-01</v>
      </c>
    </row>
    <row r="10" spans="1:19" ht="15" x14ac:dyDescent="0.25">
      <c r="A10" s="10">
        <v>109</v>
      </c>
      <c r="B10" s="12" t="s">
        <v>92</v>
      </c>
      <c r="C10" s="12" t="s">
        <v>81</v>
      </c>
      <c r="D10" s="12" t="s">
        <v>93</v>
      </c>
      <c r="E10" s="16">
        <f>LOOKUP(M10,Справочники!$B$2:$B$35,Справочники!$C$2:$C$35)</f>
        <v>28000</v>
      </c>
      <c r="F10" s="16">
        <f t="shared" ca="1" si="0"/>
        <v>4200</v>
      </c>
      <c r="G10" s="16">
        <f t="shared" si="1"/>
        <v>4200</v>
      </c>
      <c r="H10" s="16">
        <f t="shared" ca="1" si="2"/>
        <v>36400</v>
      </c>
      <c r="I10" s="16">
        <f t="shared" ca="1" si="3"/>
        <v>4732</v>
      </c>
      <c r="J10" s="16">
        <f t="shared" ca="1" si="4"/>
        <v>31668</v>
      </c>
      <c r="K10" s="10" t="s">
        <v>17</v>
      </c>
      <c r="L10" s="10" t="str">
        <f>LOOKUP(M10,Справочники!$B$2:$B$35,Справочники!$A$2:$A$35)</f>
        <v>Управление</v>
      </c>
      <c r="M10" s="6" t="s">
        <v>22</v>
      </c>
      <c r="N10" s="6" t="s">
        <v>14</v>
      </c>
      <c r="O10" s="11">
        <v>39103</v>
      </c>
      <c r="P10" s="10">
        <f t="shared" ca="1" si="5"/>
        <v>15</v>
      </c>
      <c r="Q10" s="11">
        <v>27786</v>
      </c>
      <c r="R10" s="10">
        <f t="shared" ca="1" si="6"/>
        <v>46</v>
      </c>
      <c r="S10" s="10" t="str">
        <f>LOOKUP(L10,Справочники!$F$2:$F$10,Справочники!$H$2:$H$10)</f>
        <v>+7(8332)64-32-18</v>
      </c>
    </row>
    <row r="11" spans="1:19" ht="15" x14ac:dyDescent="0.25">
      <c r="A11" s="10">
        <v>102</v>
      </c>
      <c r="B11" s="12" t="s">
        <v>71</v>
      </c>
      <c r="C11" s="12" t="s">
        <v>72</v>
      </c>
      <c r="D11" s="12" t="s">
        <v>73</v>
      </c>
      <c r="E11" s="16">
        <f>LOOKUP(M11,Справочники!$B$2:$B$35,Справочники!$C$2:$C$35)</f>
        <v>20000</v>
      </c>
      <c r="F11" s="16">
        <f t="shared" ca="1" si="0"/>
        <v>3000</v>
      </c>
      <c r="G11" s="16">
        <f t="shared" si="1"/>
        <v>3000</v>
      </c>
      <c r="H11" s="16">
        <f t="shared" ca="1" si="2"/>
        <v>26000</v>
      </c>
      <c r="I11" s="16">
        <f t="shared" ca="1" si="3"/>
        <v>3380</v>
      </c>
      <c r="J11" s="16">
        <f t="shared" ca="1" si="4"/>
        <v>22620</v>
      </c>
      <c r="K11" s="10" t="s">
        <v>9</v>
      </c>
      <c r="L11" s="10" t="str">
        <f>LOOKUP(M11,Справочники!$B$2:$B$35,Справочники!$A$2:$A$35)</f>
        <v>Бухгалтерия</v>
      </c>
      <c r="M11" s="6" t="s">
        <v>13</v>
      </c>
      <c r="N11" s="6" t="s">
        <v>14</v>
      </c>
      <c r="O11" s="11">
        <v>34380</v>
      </c>
      <c r="P11" s="10">
        <f t="shared" ca="1" si="5"/>
        <v>28</v>
      </c>
      <c r="Q11" s="11">
        <v>25186</v>
      </c>
      <c r="R11" s="10">
        <f t="shared" ca="1" si="6"/>
        <v>53</v>
      </c>
      <c r="S11" s="10" t="str">
        <f>LOOKUP(L11,Справочники!$F$2:$F$10,Справочники!$H$2:$H$10)</f>
        <v>+7(8332)64-32-01</v>
      </c>
    </row>
    <row r="12" spans="1:19" ht="15" x14ac:dyDescent="0.25">
      <c r="A12" s="10">
        <v>143</v>
      </c>
      <c r="B12" s="12" t="s">
        <v>167</v>
      </c>
      <c r="C12" s="12" t="s">
        <v>168</v>
      </c>
      <c r="D12" s="12" t="s">
        <v>169</v>
      </c>
      <c r="E12" s="16">
        <f>LOOKUP(M12,Справочники!$B$2:$B$35,Справочники!$C$2:$C$35)</f>
        <v>11000</v>
      </c>
      <c r="F12" s="16">
        <f t="shared" ca="1" si="0"/>
        <v>1650</v>
      </c>
      <c r="G12" s="16">
        <f t="shared" si="1"/>
        <v>1650</v>
      </c>
      <c r="H12" s="16">
        <f t="shared" ca="1" si="2"/>
        <v>14300</v>
      </c>
      <c r="I12" s="16">
        <f t="shared" ca="1" si="3"/>
        <v>1859</v>
      </c>
      <c r="J12" s="16">
        <f t="shared" ca="1" si="4"/>
        <v>12441</v>
      </c>
      <c r="K12" s="10" t="s">
        <v>17</v>
      </c>
      <c r="L12" s="10" t="str">
        <f>LOOKUP(M12,Справочники!$B$2:$B$35,Справочники!$A$2:$A$35)</f>
        <v>Склад</v>
      </c>
      <c r="M12" s="6" t="s">
        <v>47</v>
      </c>
      <c r="N12" s="6" t="s">
        <v>33</v>
      </c>
      <c r="O12" s="11">
        <v>42016</v>
      </c>
      <c r="P12" s="10">
        <f t="shared" ca="1" si="5"/>
        <v>7</v>
      </c>
      <c r="Q12" s="11">
        <v>30232</v>
      </c>
      <c r="R12" s="10">
        <f t="shared" ca="1" si="6"/>
        <v>40</v>
      </c>
      <c r="S12" s="10" t="str">
        <f>LOOKUP(L12,Справочники!$F$2:$F$10,Справочники!$H$2:$H$10)</f>
        <v>+7(8332)64-32-23</v>
      </c>
    </row>
    <row r="13" spans="1:19" ht="15" x14ac:dyDescent="0.25">
      <c r="A13" s="10">
        <v>134</v>
      </c>
      <c r="B13" s="12" t="s">
        <v>146</v>
      </c>
      <c r="C13" s="12" t="s">
        <v>147</v>
      </c>
      <c r="D13" s="12" t="s">
        <v>148</v>
      </c>
      <c r="E13" s="16">
        <f>LOOKUP(M13,Справочники!$B$2:$B$35,Справочники!$C$2:$C$35)</f>
        <v>20000</v>
      </c>
      <c r="F13" s="16">
        <f t="shared" ca="1" si="0"/>
        <v>3000</v>
      </c>
      <c r="G13" s="16">
        <f t="shared" si="1"/>
        <v>3000</v>
      </c>
      <c r="H13" s="16">
        <f t="shared" ca="1" si="2"/>
        <v>26000</v>
      </c>
      <c r="I13" s="16">
        <f t="shared" ca="1" si="3"/>
        <v>3380</v>
      </c>
      <c r="J13" s="16">
        <f t="shared" ca="1" si="4"/>
        <v>22620</v>
      </c>
      <c r="K13" s="10" t="s">
        <v>9</v>
      </c>
      <c r="L13" s="10" t="str">
        <f>LOOKUP(M13,Справочники!$B$2:$B$35,Справочники!$A$2:$A$35)</f>
        <v>Технологический отдел</v>
      </c>
      <c r="M13" s="6" t="s">
        <v>38</v>
      </c>
      <c r="N13" s="6" t="s">
        <v>14</v>
      </c>
      <c r="O13" s="11">
        <v>35208</v>
      </c>
      <c r="P13" s="10">
        <f t="shared" ca="1" si="5"/>
        <v>26</v>
      </c>
      <c r="Q13" s="11">
        <v>25186</v>
      </c>
      <c r="R13" s="10">
        <f t="shared" ca="1" si="6"/>
        <v>53</v>
      </c>
      <c r="S13" s="10" t="str">
        <f>LOOKUP(L13,Справочники!$F$2:$F$10,Справочники!$H$2:$H$10)</f>
        <v>+7(8332)64-32-18</v>
      </c>
    </row>
    <row r="14" spans="1:19" ht="15" x14ac:dyDescent="0.25">
      <c r="A14" s="10">
        <v>142</v>
      </c>
      <c r="B14" s="12" t="s">
        <v>165</v>
      </c>
      <c r="C14" s="12" t="s">
        <v>166</v>
      </c>
      <c r="D14" s="12" t="s">
        <v>127</v>
      </c>
      <c r="E14" s="16">
        <f>LOOKUP(M14,Справочники!$B$2:$B$35,Справочники!$C$2:$C$35)</f>
        <v>15000</v>
      </c>
      <c r="F14" s="16">
        <f t="shared" ca="1" si="0"/>
        <v>2250</v>
      </c>
      <c r="G14" s="16">
        <f t="shared" si="1"/>
        <v>2250</v>
      </c>
      <c r="H14" s="16">
        <f t="shared" ca="1" si="2"/>
        <v>19500</v>
      </c>
      <c r="I14" s="16">
        <f t="shared" ca="1" si="3"/>
        <v>2535</v>
      </c>
      <c r="J14" s="16">
        <f t="shared" ca="1" si="4"/>
        <v>16965</v>
      </c>
      <c r="K14" s="10" t="s">
        <v>9</v>
      </c>
      <c r="L14" s="10" t="str">
        <f>LOOKUP(M14,Справочники!$B$2:$B$35,Справочники!$A$2:$A$35)</f>
        <v>Склад</v>
      </c>
      <c r="M14" s="6" t="s">
        <v>46</v>
      </c>
      <c r="N14" s="6" t="s">
        <v>33</v>
      </c>
      <c r="O14" s="11">
        <v>34955</v>
      </c>
      <c r="P14" s="10">
        <f t="shared" ca="1" si="5"/>
        <v>27</v>
      </c>
      <c r="Q14" s="11">
        <v>24134</v>
      </c>
      <c r="R14" s="10">
        <f t="shared" ca="1" si="6"/>
        <v>56</v>
      </c>
      <c r="S14" s="10" t="str">
        <f>LOOKUP(L14,Справочники!$F$2:$F$10,Справочники!$H$2:$H$10)</f>
        <v>+7(8332)64-32-23</v>
      </c>
    </row>
    <row r="15" spans="1:19" ht="15" x14ac:dyDescent="0.25">
      <c r="A15" s="10">
        <v>114</v>
      </c>
      <c r="B15" s="12" t="s">
        <v>104</v>
      </c>
      <c r="C15" s="12" t="s">
        <v>105</v>
      </c>
      <c r="D15" s="12" t="s">
        <v>106</v>
      </c>
      <c r="E15" s="16">
        <f>LOOKUP(M15,Справочники!$B$2:$B$35,Справочники!$C$2:$C$35)</f>
        <v>22000</v>
      </c>
      <c r="F15" s="16">
        <f t="shared" ca="1" si="0"/>
        <v>0</v>
      </c>
      <c r="G15" s="16">
        <f t="shared" si="1"/>
        <v>3300</v>
      </c>
      <c r="H15" s="16">
        <f t="shared" ca="1" si="2"/>
        <v>25300</v>
      </c>
      <c r="I15" s="16">
        <f t="shared" ca="1" si="3"/>
        <v>3289</v>
      </c>
      <c r="J15" s="16">
        <f t="shared" ca="1" si="4"/>
        <v>22011</v>
      </c>
      <c r="K15" s="10" t="s">
        <v>9</v>
      </c>
      <c r="L15" s="10" t="str">
        <f>LOOKUP(M15,Справочники!$B$2:$B$35,Справочники!$A$2:$A$35)</f>
        <v>Технологический отдел</v>
      </c>
      <c r="M15" s="6" t="s">
        <v>30</v>
      </c>
      <c r="N15" s="6" t="s">
        <v>14</v>
      </c>
      <c r="O15" s="11">
        <v>43356</v>
      </c>
      <c r="P15" s="10">
        <f t="shared" ca="1" si="5"/>
        <v>4</v>
      </c>
      <c r="Q15" s="11">
        <v>24300</v>
      </c>
      <c r="R15" s="10">
        <f t="shared" ca="1" si="6"/>
        <v>56</v>
      </c>
      <c r="S15" s="10" t="str">
        <f>LOOKUP(L15,Справочники!$F$2:$F$10,Справочники!$H$2:$H$10)</f>
        <v>+7(8332)64-32-18</v>
      </c>
    </row>
    <row r="16" spans="1:19" ht="15" x14ac:dyDescent="0.25">
      <c r="A16" s="10">
        <v>108</v>
      </c>
      <c r="B16" s="12" t="s">
        <v>89</v>
      </c>
      <c r="C16" s="12" t="s">
        <v>90</v>
      </c>
      <c r="D16" s="12" t="s">
        <v>91</v>
      </c>
      <c r="E16" s="16">
        <f>LOOKUP(M16,Справочники!$B$2:$B$35,Справочники!$C$2:$C$35)</f>
        <v>35000</v>
      </c>
      <c r="F16" s="16">
        <f t="shared" ca="1" si="0"/>
        <v>5250</v>
      </c>
      <c r="G16" s="16">
        <f t="shared" si="1"/>
        <v>5250</v>
      </c>
      <c r="H16" s="16">
        <f t="shared" ca="1" si="2"/>
        <v>45500</v>
      </c>
      <c r="I16" s="16">
        <f t="shared" ca="1" si="3"/>
        <v>5915</v>
      </c>
      <c r="J16" s="16">
        <f t="shared" ca="1" si="4"/>
        <v>39585</v>
      </c>
      <c r="K16" s="10" t="s">
        <v>17</v>
      </c>
      <c r="L16" s="10" t="str">
        <f>LOOKUP(M16,Справочники!$B$2:$B$35,Справочники!$A$2:$A$35)</f>
        <v>Управление</v>
      </c>
      <c r="M16" s="6" t="s">
        <v>21</v>
      </c>
      <c r="N16" s="6" t="s">
        <v>14</v>
      </c>
      <c r="O16" s="11">
        <v>38579</v>
      </c>
      <c r="P16" s="10">
        <f t="shared" ca="1" si="5"/>
        <v>17</v>
      </c>
      <c r="Q16" s="11">
        <v>28499</v>
      </c>
      <c r="R16" s="10">
        <f t="shared" ca="1" si="6"/>
        <v>44</v>
      </c>
      <c r="S16" s="10" t="str">
        <f>LOOKUP(L16,Справочники!$F$2:$F$10,Справочники!$H$2:$H$10)</f>
        <v>+7(8332)64-32-18</v>
      </c>
    </row>
    <row r="17" spans="1:19" ht="15" x14ac:dyDescent="0.25">
      <c r="A17" s="10">
        <v>103</v>
      </c>
      <c r="B17" s="12" t="s">
        <v>74</v>
      </c>
      <c r="C17" s="12" t="s">
        <v>75</v>
      </c>
      <c r="D17" s="12" t="s">
        <v>76</v>
      </c>
      <c r="E17" s="16">
        <f>LOOKUP(M17,Справочники!$B$2:$B$35,Справочники!$C$2:$C$35)</f>
        <v>12000</v>
      </c>
      <c r="F17" s="16">
        <f t="shared" ca="1" si="0"/>
        <v>1800</v>
      </c>
      <c r="G17" s="16">
        <f t="shared" si="1"/>
        <v>1800</v>
      </c>
      <c r="H17" s="16">
        <f t="shared" ca="1" si="2"/>
        <v>15600</v>
      </c>
      <c r="I17" s="16">
        <f t="shared" ca="1" si="3"/>
        <v>2028</v>
      </c>
      <c r="J17" s="16">
        <f t="shared" ca="1" si="4"/>
        <v>13572</v>
      </c>
      <c r="K17" s="10" t="s">
        <v>9</v>
      </c>
      <c r="L17" s="10" t="str">
        <f>LOOKUP(M17,Справочники!$B$2:$B$35,Справочники!$A$2:$A$35)</f>
        <v>Бухгалтерия</v>
      </c>
      <c r="M17" s="6" t="s">
        <v>15</v>
      </c>
      <c r="N17" s="6" t="s">
        <v>12</v>
      </c>
      <c r="O17" s="11">
        <v>42962</v>
      </c>
      <c r="P17" s="10">
        <f t="shared" ca="1" si="5"/>
        <v>5</v>
      </c>
      <c r="Q17" s="11">
        <v>34762</v>
      </c>
      <c r="R17" s="10">
        <f t="shared" ca="1" si="6"/>
        <v>27</v>
      </c>
      <c r="S17" s="10" t="str">
        <f>LOOKUP(L17,Справочники!$F$2:$F$10,Справочники!$H$2:$H$10)</f>
        <v>+7(8332)64-32-01</v>
      </c>
    </row>
    <row r="18" spans="1:19" ht="15" x14ac:dyDescent="0.25">
      <c r="A18" s="10">
        <v>144</v>
      </c>
      <c r="B18" s="12" t="s">
        <v>170</v>
      </c>
      <c r="C18" s="12" t="s">
        <v>164</v>
      </c>
      <c r="D18" s="12" t="s">
        <v>171</v>
      </c>
      <c r="E18" s="16">
        <f>LOOKUP(M18,Справочники!$B$2:$B$35,Справочники!$C$2:$C$35)</f>
        <v>11000</v>
      </c>
      <c r="F18" s="16">
        <f t="shared" ca="1" si="0"/>
        <v>0</v>
      </c>
      <c r="G18" s="16">
        <f t="shared" si="1"/>
        <v>1650</v>
      </c>
      <c r="H18" s="16">
        <f t="shared" ca="1" si="2"/>
        <v>12650</v>
      </c>
      <c r="I18" s="16">
        <f t="shared" ca="1" si="3"/>
        <v>1644.5</v>
      </c>
      <c r="J18" s="16">
        <f t="shared" ca="1" si="4"/>
        <v>11005.5</v>
      </c>
      <c r="K18" s="10" t="s">
        <v>17</v>
      </c>
      <c r="L18" s="10" t="str">
        <f>LOOKUP(M18,Справочники!$B$2:$B$35,Справочники!$A$2:$A$35)</f>
        <v>Склад</v>
      </c>
      <c r="M18" s="6" t="s">
        <v>47</v>
      </c>
      <c r="N18" s="6" t="s">
        <v>33</v>
      </c>
      <c r="O18" s="11">
        <v>43115</v>
      </c>
      <c r="P18" s="10">
        <f t="shared" ca="1" si="5"/>
        <v>4</v>
      </c>
      <c r="Q18" s="11">
        <v>33207</v>
      </c>
      <c r="R18" s="10">
        <f t="shared" ca="1" si="6"/>
        <v>31</v>
      </c>
      <c r="S18" s="10" t="str">
        <f>LOOKUP(L18,Справочники!$F$2:$F$10,Справочники!$H$2:$H$10)</f>
        <v>+7(8332)64-32-23</v>
      </c>
    </row>
    <row r="19" spans="1:19" ht="15" x14ac:dyDescent="0.25">
      <c r="A19" s="10">
        <v>132</v>
      </c>
      <c r="B19" s="12" t="s">
        <v>143</v>
      </c>
      <c r="C19" s="12" t="s">
        <v>141</v>
      </c>
      <c r="D19" s="12" t="s">
        <v>85</v>
      </c>
      <c r="E19" s="16">
        <f>LOOKUP(M19,Справочники!$B$2:$B$35,Справочники!$C$2:$C$35)</f>
        <v>15000</v>
      </c>
      <c r="F19" s="16">
        <f t="shared" ca="1" si="0"/>
        <v>2250</v>
      </c>
      <c r="G19" s="16">
        <f t="shared" si="1"/>
        <v>2250</v>
      </c>
      <c r="H19" s="16">
        <f t="shared" ca="1" si="2"/>
        <v>19500</v>
      </c>
      <c r="I19" s="16">
        <f t="shared" ca="1" si="3"/>
        <v>2535</v>
      </c>
      <c r="J19" s="16">
        <f t="shared" ca="1" si="4"/>
        <v>16965</v>
      </c>
      <c r="K19" s="10" t="s">
        <v>17</v>
      </c>
      <c r="L19" s="10" t="str">
        <f>LOOKUP(M19,Справочники!$B$2:$B$35,Справочники!$A$2:$A$35)</f>
        <v>Отдел продаж</v>
      </c>
      <c r="M19" s="6" t="s">
        <v>42</v>
      </c>
      <c r="N19" s="6" t="s">
        <v>12</v>
      </c>
      <c r="O19" s="11">
        <v>41306</v>
      </c>
      <c r="P19" s="10">
        <f t="shared" ca="1" si="5"/>
        <v>9</v>
      </c>
      <c r="Q19" s="11">
        <v>33115</v>
      </c>
      <c r="R19" s="10">
        <f t="shared" ca="1" si="6"/>
        <v>32</v>
      </c>
      <c r="S19" s="10" t="str">
        <f>LOOKUP(L19,Справочники!$F$2:$F$10,Справочники!$H$2:$H$10)</f>
        <v>+7(8332)64-32-01</v>
      </c>
    </row>
    <row r="20" spans="1:19" ht="15" x14ac:dyDescent="0.25">
      <c r="A20" s="10">
        <v>151</v>
      </c>
      <c r="B20" s="12" t="s">
        <v>183</v>
      </c>
      <c r="C20" s="12" t="s">
        <v>161</v>
      </c>
      <c r="D20" s="12" t="s">
        <v>184</v>
      </c>
      <c r="E20" s="16">
        <f>LOOKUP(M20,Справочники!$B$2:$B$35,Справочники!$C$2:$C$35)</f>
        <v>19000</v>
      </c>
      <c r="F20" s="16">
        <f t="shared" ca="1" si="0"/>
        <v>2850</v>
      </c>
      <c r="G20" s="16">
        <f t="shared" si="1"/>
        <v>2850</v>
      </c>
      <c r="H20" s="16">
        <f t="shared" ca="1" si="2"/>
        <v>24700</v>
      </c>
      <c r="I20" s="16">
        <f t="shared" ca="1" si="3"/>
        <v>3211</v>
      </c>
      <c r="J20" s="16">
        <f t="shared" ca="1" si="4"/>
        <v>21489</v>
      </c>
      <c r="K20" s="10" t="s">
        <v>9</v>
      </c>
      <c r="L20" s="10" t="str">
        <f>LOOKUP(M20,Справочники!$B$2:$B$35,Справочники!$A$2:$A$35)</f>
        <v>Редакторский отдел</v>
      </c>
      <c r="M20" s="7" t="s">
        <v>53</v>
      </c>
      <c r="N20" s="6" t="s">
        <v>25</v>
      </c>
      <c r="O20" s="11">
        <v>35445</v>
      </c>
      <c r="P20" s="10">
        <f t="shared" ca="1" si="5"/>
        <v>25</v>
      </c>
      <c r="Q20" s="11">
        <v>26821</v>
      </c>
      <c r="R20" s="10">
        <f t="shared" ca="1" si="6"/>
        <v>49</v>
      </c>
      <c r="S20" s="10" t="str">
        <f>LOOKUP(L20,Справочники!$F$2:$F$10,Справочники!$H$2:$H$10)</f>
        <v>+7(8332)64-32-01</v>
      </c>
    </row>
    <row r="21" spans="1:19" ht="15" x14ac:dyDescent="0.25">
      <c r="A21" s="10">
        <v>161</v>
      </c>
      <c r="B21" s="12" t="s">
        <v>204</v>
      </c>
      <c r="C21" s="12" t="s">
        <v>205</v>
      </c>
      <c r="D21" s="12" t="s">
        <v>145</v>
      </c>
      <c r="E21" s="16">
        <f>LOOKUP(M21,Справочники!$B$2:$B$35,Справочники!$C$2:$C$35)</f>
        <v>12000</v>
      </c>
      <c r="F21" s="16">
        <f t="shared" ca="1" si="0"/>
        <v>1800</v>
      </c>
      <c r="G21" s="16">
        <f t="shared" si="1"/>
        <v>1800</v>
      </c>
      <c r="H21" s="16">
        <f t="shared" ca="1" si="2"/>
        <v>15600</v>
      </c>
      <c r="I21" s="16">
        <f t="shared" ca="1" si="3"/>
        <v>2028</v>
      </c>
      <c r="J21" s="16">
        <f t="shared" ca="1" si="4"/>
        <v>13572</v>
      </c>
      <c r="K21" s="10" t="s">
        <v>17</v>
      </c>
      <c r="L21" s="10" t="str">
        <f>LOOKUP(M21,Справочники!$B$2:$B$35,Справочники!$A$2:$A$35)</f>
        <v>Транспортный отдел</v>
      </c>
      <c r="M21" s="6" t="s">
        <v>50</v>
      </c>
      <c r="N21" s="6" t="s">
        <v>12</v>
      </c>
      <c r="O21" s="11">
        <v>31108</v>
      </c>
      <c r="P21" s="10">
        <f t="shared" ca="1" si="5"/>
        <v>37</v>
      </c>
      <c r="Q21" s="11">
        <v>23891</v>
      </c>
      <c r="R21" s="10">
        <f t="shared" ca="1" si="6"/>
        <v>57</v>
      </c>
      <c r="S21" s="10" t="str">
        <f>LOOKUP(L21,Справочники!$F$2:$F$10,Справочники!$H$2:$H$10)</f>
        <v>+7(8332)64-32-18</v>
      </c>
    </row>
    <row r="22" spans="1:19" ht="15" x14ac:dyDescent="0.25">
      <c r="A22" s="10">
        <v>152</v>
      </c>
      <c r="B22" s="12" t="s">
        <v>185</v>
      </c>
      <c r="C22" s="12" t="s">
        <v>186</v>
      </c>
      <c r="D22" s="12" t="s">
        <v>76</v>
      </c>
      <c r="E22" s="16">
        <f>LOOKUP(M22,Справочники!$B$2:$B$35,Справочники!$C$2:$C$35)</f>
        <v>14000</v>
      </c>
      <c r="F22" s="16">
        <f t="shared" ca="1" si="0"/>
        <v>2100</v>
      </c>
      <c r="G22" s="16">
        <f t="shared" si="1"/>
        <v>2100</v>
      </c>
      <c r="H22" s="16">
        <f t="shared" ca="1" si="2"/>
        <v>18200</v>
      </c>
      <c r="I22" s="16">
        <f t="shared" ca="1" si="3"/>
        <v>2366</v>
      </c>
      <c r="J22" s="16">
        <f t="shared" ca="1" si="4"/>
        <v>15834</v>
      </c>
      <c r="K22" s="10" t="s">
        <v>9</v>
      </c>
      <c r="L22" s="10" t="str">
        <f>LOOKUP(M22,Справочники!$B$2:$B$35,Справочники!$A$2:$A$35)</f>
        <v>Редакторский отдел</v>
      </c>
      <c r="M22" s="7" t="s">
        <v>54</v>
      </c>
      <c r="N22" s="6" t="s">
        <v>25</v>
      </c>
      <c r="O22" s="11">
        <v>40998</v>
      </c>
      <c r="P22" s="10">
        <f t="shared" ca="1" si="5"/>
        <v>10</v>
      </c>
      <c r="Q22" s="11">
        <v>30213</v>
      </c>
      <c r="R22" s="10">
        <f t="shared" ca="1" si="6"/>
        <v>40</v>
      </c>
      <c r="S22" s="10" t="str">
        <f>LOOKUP(L22,Справочники!$F$2:$F$10,Справочники!$H$2:$H$10)</f>
        <v>+7(8332)64-32-01</v>
      </c>
    </row>
    <row r="23" spans="1:19" ht="15" x14ac:dyDescent="0.25">
      <c r="A23" s="10">
        <v>115</v>
      </c>
      <c r="B23" s="12" t="s">
        <v>107</v>
      </c>
      <c r="C23" s="12" t="s">
        <v>108</v>
      </c>
      <c r="D23" s="12" t="s">
        <v>76</v>
      </c>
      <c r="E23" s="16">
        <f>LOOKUP(M23,Справочники!$B$2:$B$35,Справочники!$C$2:$C$35)</f>
        <v>12000</v>
      </c>
      <c r="F23" s="16">
        <f t="shared" ca="1" si="0"/>
        <v>1800</v>
      </c>
      <c r="G23" s="16">
        <f t="shared" si="1"/>
        <v>1800</v>
      </c>
      <c r="H23" s="16">
        <f t="shared" ca="1" si="2"/>
        <v>15600</v>
      </c>
      <c r="I23" s="16">
        <f t="shared" ca="1" si="3"/>
        <v>2028</v>
      </c>
      <c r="J23" s="16">
        <f t="shared" ca="1" si="4"/>
        <v>13572</v>
      </c>
      <c r="K23" s="10" t="s">
        <v>9</v>
      </c>
      <c r="L23" s="10" t="str">
        <f>LOOKUP(M23,Справочники!$B$2:$B$35,Справочники!$A$2:$A$35)</f>
        <v>Технологический отдел</v>
      </c>
      <c r="M23" s="6" t="s">
        <v>31</v>
      </c>
      <c r="N23" s="6" t="s">
        <v>12</v>
      </c>
      <c r="O23" s="11">
        <v>35096</v>
      </c>
      <c r="P23" s="10">
        <f t="shared" ca="1" si="5"/>
        <v>26</v>
      </c>
      <c r="Q23" s="11">
        <v>26553</v>
      </c>
      <c r="R23" s="10">
        <f t="shared" ca="1" si="6"/>
        <v>50</v>
      </c>
      <c r="S23" s="10" t="str">
        <f>LOOKUP(L23,Справочники!$F$2:$F$10,Справочники!$H$2:$H$10)</f>
        <v>+7(8332)64-32-18</v>
      </c>
    </row>
    <row r="24" spans="1:19" ht="15" x14ac:dyDescent="0.25">
      <c r="A24" s="10">
        <v>141</v>
      </c>
      <c r="B24" s="12" t="s">
        <v>163</v>
      </c>
      <c r="C24" s="12" t="s">
        <v>164</v>
      </c>
      <c r="D24" s="12" t="s">
        <v>93</v>
      </c>
      <c r="E24" s="16">
        <f>LOOKUP(M24,Справочники!$B$2:$B$35,Справочники!$C$2:$C$35)</f>
        <v>18000</v>
      </c>
      <c r="F24" s="16">
        <f t="shared" ca="1" si="0"/>
        <v>2700</v>
      </c>
      <c r="G24" s="16">
        <f t="shared" si="1"/>
        <v>2700</v>
      </c>
      <c r="H24" s="16">
        <f t="shared" ca="1" si="2"/>
        <v>23400</v>
      </c>
      <c r="I24" s="16">
        <f t="shared" ca="1" si="3"/>
        <v>3042</v>
      </c>
      <c r="J24" s="16">
        <f t="shared" ca="1" si="4"/>
        <v>20358</v>
      </c>
      <c r="K24" s="10" t="s">
        <v>17</v>
      </c>
      <c r="L24" s="10" t="str">
        <f>LOOKUP(M24,Справочники!$B$2:$B$35,Справочники!$A$2:$A$35)</f>
        <v>Отдел худ. оформления</v>
      </c>
      <c r="M24" s="6" t="s">
        <v>44</v>
      </c>
      <c r="N24" s="6" t="s">
        <v>14</v>
      </c>
      <c r="O24" s="11">
        <v>35290</v>
      </c>
      <c r="P24" s="10">
        <f t="shared" ca="1" si="5"/>
        <v>26</v>
      </c>
      <c r="Q24" s="11">
        <v>27405</v>
      </c>
      <c r="R24" s="10">
        <f t="shared" ca="1" si="6"/>
        <v>47</v>
      </c>
      <c r="S24" s="10" t="str">
        <f>LOOKUP(L24,Справочники!$F$2:$F$10,Справочники!$H$2:$H$10)</f>
        <v>+7(8332)64-32-01</v>
      </c>
    </row>
    <row r="25" spans="1:19" ht="15" x14ac:dyDescent="0.25">
      <c r="A25" s="10">
        <v>131</v>
      </c>
      <c r="B25" s="12" t="s">
        <v>140</v>
      </c>
      <c r="C25" s="12" t="s">
        <v>141</v>
      </c>
      <c r="D25" s="12" t="s">
        <v>142</v>
      </c>
      <c r="E25" s="16">
        <f>LOOKUP(M25,Справочники!$B$2:$B$35,Справочники!$C$2:$C$35)</f>
        <v>22000</v>
      </c>
      <c r="F25" s="16">
        <f t="shared" ca="1" si="0"/>
        <v>3300</v>
      </c>
      <c r="G25" s="16">
        <f t="shared" si="1"/>
        <v>3300</v>
      </c>
      <c r="H25" s="16">
        <f t="shared" ca="1" si="2"/>
        <v>28600</v>
      </c>
      <c r="I25" s="16">
        <f t="shared" ca="1" si="3"/>
        <v>3718</v>
      </c>
      <c r="J25" s="16">
        <f t="shared" ca="1" si="4"/>
        <v>24882</v>
      </c>
      <c r="K25" s="10" t="s">
        <v>17</v>
      </c>
      <c r="L25" s="10" t="str">
        <f>LOOKUP(M25,Справочники!$B$2:$B$35,Справочники!$A$2:$A$35)</f>
        <v>Рекламный отдел</v>
      </c>
      <c r="M25" s="6" t="s">
        <v>27</v>
      </c>
      <c r="N25" s="6" t="s">
        <v>14</v>
      </c>
      <c r="O25" s="11">
        <v>39459</v>
      </c>
      <c r="P25" s="10">
        <f t="shared" ca="1" si="5"/>
        <v>14</v>
      </c>
      <c r="Q25" s="11">
        <v>27953</v>
      </c>
      <c r="R25" s="10">
        <f t="shared" ca="1" si="6"/>
        <v>46</v>
      </c>
      <c r="S25" s="10" t="str">
        <f>LOOKUP(L25,Справочники!$F$2:$F$10,Справочники!$H$2:$H$10)</f>
        <v>+7(8332)64-32-01</v>
      </c>
    </row>
    <row r="26" spans="1:19" ht="15" x14ac:dyDescent="0.25">
      <c r="A26" s="10">
        <v>153</v>
      </c>
      <c r="B26" s="12" t="s">
        <v>187</v>
      </c>
      <c r="C26" s="12" t="s">
        <v>158</v>
      </c>
      <c r="D26" s="12" t="s">
        <v>111</v>
      </c>
      <c r="E26" s="16">
        <f>LOOKUP(M26,Справочники!$B$2:$B$35,Справочники!$C$2:$C$35)</f>
        <v>16000</v>
      </c>
      <c r="F26" s="16">
        <f t="shared" ca="1" si="0"/>
        <v>2400</v>
      </c>
      <c r="G26" s="16">
        <f t="shared" si="1"/>
        <v>2400</v>
      </c>
      <c r="H26" s="16">
        <f t="shared" ca="1" si="2"/>
        <v>20800</v>
      </c>
      <c r="I26" s="16">
        <f t="shared" ca="1" si="3"/>
        <v>2704</v>
      </c>
      <c r="J26" s="16">
        <f t="shared" ca="1" si="4"/>
        <v>18096</v>
      </c>
      <c r="K26" s="10" t="s">
        <v>9</v>
      </c>
      <c r="L26" s="10" t="str">
        <f>LOOKUP(M26,Справочники!$B$2:$B$35,Справочники!$A$2:$A$35)</f>
        <v>Редакторский отдел</v>
      </c>
      <c r="M26" s="6" t="s">
        <v>52</v>
      </c>
      <c r="N26" s="6" t="s">
        <v>14</v>
      </c>
      <c r="O26" s="11">
        <v>36220</v>
      </c>
      <c r="P26" s="10">
        <f t="shared" ca="1" si="5"/>
        <v>23</v>
      </c>
      <c r="Q26" s="11">
        <v>26580</v>
      </c>
      <c r="R26" s="10">
        <f t="shared" ca="1" si="6"/>
        <v>50</v>
      </c>
      <c r="S26" s="10" t="str">
        <f>LOOKUP(L26,Справочники!$F$2:$F$10,Справочники!$H$2:$H$10)</f>
        <v>+7(8332)64-32-01</v>
      </c>
    </row>
    <row r="27" spans="1:19" ht="15" x14ac:dyDescent="0.25">
      <c r="A27" s="10">
        <v>154</v>
      </c>
      <c r="B27" s="12" t="s">
        <v>188</v>
      </c>
      <c r="C27" s="12" t="s">
        <v>189</v>
      </c>
      <c r="D27" s="12" t="s">
        <v>162</v>
      </c>
      <c r="E27" s="16">
        <f>LOOKUP(M27,Справочники!$B$2:$B$35,Справочники!$C$2:$C$35)</f>
        <v>14000</v>
      </c>
      <c r="F27" s="16">
        <f t="shared" ca="1" si="0"/>
        <v>2100</v>
      </c>
      <c r="G27" s="16">
        <f t="shared" si="1"/>
        <v>2100</v>
      </c>
      <c r="H27" s="16">
        <f t="shared" ca="1" si="2"/>
        <v>18200</v>
      </c>
      <c r="I27" s="16">
        <f t="shared" ca="1" si="3"/>
        <v>2366</v>
      </c>
      <c r="J27" s="16">
        <f t="shared" ca="1" si="4"/>
        <v>15834</v>
      </c>
      <c r="K27" s="10" t="s">
        <v>9</v>
      </c>
      <c r="L27" s="10" t="str">
        <f>LOOKUP(M27,Справочники!$B$2:$B$35,Справочники!$A$2:$A$35)</f>
        <v>Редакторский отдел</v>
      </c>
      <c r="M27" s="7" t="s">
        <v>54</v>
      </c>
      <c r="N27" s="6" t="s">
        <v>14</v>
      </c>
      <c r="O27" s="11">
        <v>35258</v>
      </c>
      <c r="P27" s="10">
        <f t="shared" ca="1" si="5"/>
        <v>26</v>
      </c>
      <c r="Q27" s="11">
        <v>21600</v>
      </c>
      <c r="R27" s="10">
        <f t="shared" ca="1" si="6"/>
        <v>63</v>
      </c>
      <c r="S27" s="10" t="str">
        <f>LOOKUP(L27,Справочники!$F$2:$F$10,Справочники!$H$2:$H$10)</f>
        <v>+7(8332)64-32-01</v>
      </c>
    </row>
    <row r="28" spans="1:19" ht="15" x14ac:dyDescent="0.25">
      <c r="A28" s="10">
        <v>155</v>
      </c>
      <c r="B28" s="12" t="s">
        <v>190</v>
      </c>
      <c r="C28" s="12" t="s">
        <v>191</v>
      </c>
      <c r="D28" s="12" t="s">
        <v>192</v>
      </c>
      <c r="E28" s="16">
        <f>LOOKUP(M28,Справочники!$B$2:$B$35,Справочники!$C$2:$C$35)</f>
        <v>14000</v>
      </c>
      <c r="F28" s="16">
        <f t="shared" ca="1" si="0"/>
        <v>2100</v>
      </c>
      <c r="G28" s="16">
        <f t="shared" si="1"/>
        <v>2100</v>
      </c>
      <c r="H28" s="16">
        <f t="shared" ca="1" si="2"/>
        <v>18200</v>
      </c>
      <c r="I28" s="16">
        <f t="shared" ca="1" si="3"/>
        <v>2366</v>
      </c>
      <c r="J28" s="16">
        <f t="shared" ca="1" si="4"/>
        <v>15834</v>
      </c>
      <c r="K28" s="10" t="s">
        <v>9</v>
      </c>
      <c r="L28" s="10" t="str">
        <f>LOOKUP(M28,Справочники!$B$2:$B$35,Справочники!$A$2:$A$35)</f>
        <v>Редакторский отдел</v>
      </c>
      <c r="M28" s="7" t="s">
        <v>55</v>
      </c>
      <c r="N28" s="6" t="s">
        <v>14</v>
      </c>
      <c r="O28" s="11">
        <v>35442</v>
      </c>
      <c r="P28" s="10">
        <f t="shared" ca="1" si="5"/>
        <v>25</v>
      </c>
      <c r="Q28" s="11">
        <v>24134</v>
      </c>
      <c r="R28" s="10">
        <f t="shared" ca="1" si="6"/>
        <v>56</v>
      </c>
      <c r="S28" s="10" t="str">
        <f>LOOKUP(L28,Справочники!$F$2:$F$10,Справочники!$H$2:$H$10)</f>
        <v>+7(8332)64-32-01</v>
      </c>
    </row>
    <row r="29" spans="1:19" ht="15" x14ac:dyDescent="0.25">
      <c r="A29" s="10">
        <v>135</v>
      </c>
      <c r="B29" s="12" t="s">
        <v>149</v>
      </c>
      <c r="C29" s="12" t="s">
        <v>75</v>
      </c>
      <c r="D29" s="12" t="s">
        <v>96</v>
      </c>
      <c r="E29" s="16">
        <f>LOOKUP(M29,Справочники!$B$2:$B$35,Справочники!$C$2:$C$35)</f>
        <v>20000</v>
      </c>
      <c r="F29" s="16">
        <f t="shared" ca="1" si="0"/>
        <v>3000</v>
      </c>
      <c r="G29" s="16">
        <f t="shared" si="1"/>
        <v>3000</v>
      </c>
      <c r="H29" s="16">
        <f t="shared" ca="1" si="2"/>
        <v>26000</v>
      </c>
      <c r="I29" s="16">
        <f t="shared" ca="1" si="3"/>
        <v>3380</v>
      </c>
      <c r="J29" s="16">
        <f t="shared" ca="1" si="4"/>
        <v>22620</v>
      </c>
      <c r="K29" s="10" t="s">
        <v>9</v>
      </c>
      <c r="L29" s="10" t="str">
        <f>LOOKUP(M29,Справочники!$B$2:$B$35,Справочники!$A$2:$A$35)</f>
        <v>Технологический отдел</v>
      </c>
      <c r="M29" s="6" t="s">
        <v>38</v>
      </c>
      <c r="N29" s="6" t="s">
        <v>25</v>
      </c>
      <c r="O29" s="11">
        <v>35290</v>
      </c>
      <c r="P29" s="10">
        <f t="shared" ca="1" si="5"/>
        <v>26</v>
      </c>
      <c r="Q29" s="11">
        <v>23891</v>
      </c>
      <c r="R29" s="10">
        <f t="shared" ca="1" si="6"/>
        <v>57</v>
      </c>
      <c r="S29" s="10" t="str">
        <f>LOOKUP(L29,Справочники!$F$2:$F$10,Справочники!$H$2:$H$10)</f>
        <v>+7(8332)64-32-18</v>
      </c>
    </row>
    <row r="30" spans="1:19" ht="15" x14ac:dyDescent="0.25">
      <c r="A30" s="10">
        <v>128</v>
      </c>
      <c r="B30" s="12" t="s">
        <v>133</v>
      </c>
      <c r="C30" s="12" t="s">
        <v>90</v>
      </c>
      <c r="D30" s="12" t="s">
        <v>132</v>
      </c>
      <c r="E30" s="16">
        <f>LOOKUP(M30,Справочники!$B$2:$B$35,Справочники!$C$2:$C$35)</f>
        <v>18000</v>
      </c>
      <c r="F30" s="16">
        <f t="shared" ca="1" si="0"/>
        <v>2700</v>
      </c>
      <c r="G30" s="16">
        <f t="shared" si="1"/>
        <v>2700</v>
      </c>
      <c r="H30" s="16">
        <f t="shared" ca="1" si="2"/>
        <v>23400</v>
      </c>
      <c r="I30" s="16">
        <f t="shared" ca="1" si="3"/>
        <v>3042</v>
      </c>
      <c r="J30" s="16">
        <f t="shared" ca="1" si="4"/>
        <v>20358</v>
      </c>
      <c r="K30" s="10" t="s">
        <v>17</v>
      </c>
      <c r="L30" s="10" t="str">
        <f>LOOKUP(M30,Справочники!$B$2:$B$35,Справочники!$A$2:$A$35)</f>
        <v>Рекламный отдел</v>
      </c>
      <c r="M30" s="6" t="s">
        <v>39</v>
      </c>
      <c r="N30" s="6" t="s">
        <v>12</v>
      </c>
      <c r="O30" s="11">
        <v>42260</v>
      </c>
      <c r="P30" s="10">
        <f t="shared" ca="1" si="5"/>
        <v>7</v>
      </c>
      <c r="Q30" s="11">
        <v>32292</v>
      </c>
      <c r="R30" s="10">
        <f t="shared" ca="1" si="6"/>
        <v>34</v>
      </c>
      <c r="S30" s="10" t="str">
        <f>LOOKUP(L30,Справочники!$F$2:$F$10,Справочники!$H$2:$H$10)</f>
        <v>+7(8332)64-32-01</v>
      </c>
    </row>
    <row r="31" spans="1:19" ht="15" x14ac:dyDescent="0.25">
      <c r="A31" s="10">
        <v>106</v>
      </c>
      <c r="B31" s="12" t="s">
        <v>83</v>
      </c>
      <c r="C31" s="12" t="s">
        <v>84</v>
      </c>
      <c r="D31" s="12" t="s">
        <v>85</v>
      </c>
      <c r="E31" s="16">
        <f>LOOKUP(M31,Справочники!$B$2:$B$35,Справочники!$C$2:$C$35)</f>
        <v>12000</v>
      </c>
      <c r="F31" s="16">
        <f t="shared" ca="1" si="0"/>
        <v>1800</v>
      </c>
      <c r="G31" s="16">
        <f t="shared" si="1"/>
        <v>1800</v>
      </c>
      <c r="H31" s="16">
        <f t="shared" ca="1" si="2"/>
        <v>15600</v>
      </c>
      <c r="I31" s="16">
        <f t="shared" ca="1" si="3"/>
        <v>2028</v>
      </c>
      <c r="J31" s="16">
        <f t="shared" ca="1" si="4"/>
        <v>13572</v>
      </c>
      <c r="K31" s="10" t="s">
        <v>17</v>
      </c>
      <c r="L31" s="10" t="str">
        <f>LOOKUP(M31,Справочники!$B$2:$B$35,Справочники!$A$2:$A$35)</f>
        <v>Бухгалтерия</v>
      </c>
      <c r="M31" s="6" t="s">
        <v>11</v>
      </c>
      <c r="N31" s="6" t="s">
        <v>25</v>
      </c>
      <c r="O31" s="11">
        <v>42626</v>
      </c>
      <c r="P31" s="10">
        <f t="shared" ca="1" si="5"/>
        <v>6</v>
      </c>
      <c r="Q31" s="11">
        <v>31062</v>
      </c>
      <c r="R31" s="10">
        <f t="shared" ca="1" si="6"/>
        <v>37</v>
      </c>
      <c r="S31" s="10" t="str">
        <f>LOOKUP(L31,Справочники!$F$2:$F$10,Справочники!$H$2:$H$10)</f>
        <v>+7(8332)64-32-01</v>
      </c>
    </row>
    <row r="32" spans="1:19" ht="15" x14ac:dyDescent="0.25">
      <c r="A32" s="10">
        <v>104</v>
      </c>
      <c r="B32" s="12" t="s">
        <v>77</v>
      </c>
      <c r="C32" s="12" t="s">
        <v>78</v>
      </c>
      <c r="D32" s="12" t="s">
        <v>79</v>
      </c>
      <c r="E32" s="16">
        <f>LOOKUP(M32,Справочники!$B$2:$B$35,Справочники!$C$2:$C$35)</f>
        <v>15000</v>
      </c>
      <c r="F32" s="16">
        <f t="shared" ca="1" si="0"/>
        <v>2250</v>
      </c>
      <c r="G32" s="16">
        <f t="shared" si="1"/>
        <v>2250</v>
      </c>
      <c r="H32" s="16">
        <f t="shared" ca="1" si="2"/>
        <v>19500</v>
      </c>
      <c r="I32" s="16">
        <f t="shared" ca="1" si="3"/>
        <v>2535</v>
      </c>
      <c r="J32" s="16">
        <f t="shared" ca="1" si="4"/>
        <v>16965</v>
      </c>
      <c r="K32" s="10" t="s">
        <v>9</v>
      </c>
      <c r="L32" s="10" t="str">
        <f>LOOKUP(M32,Справочники!$B$2:$B$35,Справочники!$A$2:$A$35)</f>
        <v>Бухгалтерия</v>
      </c>
      <c r="M32" s="6" t="s">
        <v>16</v>
      </c>
      <c r="N32" s="6" t="s">
        <v>14</v>
      </c>
      <c r="O32" s="11">
        <v>41530</v>
      </c>
      <c r="P32" s="10">
        <f t="shared" ca="1" si="5"/>
        <v>9</v>
      </c>
      <c r="Q32" s="11">
        <v>25346</v>
      </c>
      <c r="R32" s="10">
        <f t="shared" ca="1" si="6"/>
        <v>53</v>
      </c>
      <c r="S32" s="10" t="str">
        <f>LOOKUP(L32,Справочники!$F$2:$F$10,Справочники!$H$2:$H$10)</f>
        <v>+7(8332)64-32-01</v>
      </c>
    </row>
    <row r="33" spans="1:19" ht="15" x14ac:dyDescent="0.25">
      <c r="A33" s="10">
        <v>116</v>
      </c>
      <c r="B33" s="12" t="s">
        <v>109</v>
      </c>
      <c r="C33" s="12" t="s">
        <v>110</v>
      </c>
      <c r="D33" s="12" t="s">
        <v>111</v>
      </c>
      <c r="E33" s="16">
        <f>LOOKUP(M33,Справочники!$B$2:$B$35,Справочники!$C$2:$C$35)</f>
        <v>15000</v>
      </c>
      <c r="F33" s="16">
        <f t="shared" ca="1" si="0"/>
        <v>2250</v>
      </c>
      <c r="G33" s="16">
        <f t="shared" si="1"/>
        <v>2250</v>
      </c>
      <c r="H33" s="16">
        <f t="shared" ca="1" si="2"/>
        <v>19500</v>
      </c>
      <c r="I33" s="16">
        <f t="shared" ca="1" si="3"/>
        <v>2535</v>
      </c>
      <c r="J33" s="16">
        <f t="shared" ca="1" si="4"/>
        <v>16965</v>
      </c>
      <c r="K33" s="10" t="s">
        <v>9</v>
      </c>
      <c r="L33" s="10" t="str">
        <f>LOOKUP(M33,Справочники!$B$2:$B$35,Справочники!$A$2:$A$35)</f>
        <v>Технологический отдел</v>
      </c>
      <c r="M33" s="6" t="s">
        <v>32</v>
      </c>
      <c r="N33" s="6" t="s">
        <v>12</v>
      </c>
      <c r="O33" s="11">
        <v>35292</v>
      </c>
      <c r="P33" s="10">
        <f t="shared" ca="1" si="5"/>
        <v>26</v>
      </c>
      <c r="Q33" s="11">
        <v>25810</v>
      </c>
      <c r="R33" s="10">
        <f t="shared" ca="1" si="6"/>
        <v>52</v>
      </c>
      <c r="S33" s="10" t="str">
        <f>LOOKUP(L33,Справочники!$F$2:$F$10,Справочники!$H$2:$H$10)</f>
        <v>+7(8332)64-32-18</v>
      </c>
    </row>
    <row r="34" spans="1:19" ht="15" x14ac:dyDescent="0.25">
      <c r="A34" s="10">
        <v>112</v>
      </c>
      <c r="B34" s="12" t="s">
        <v>99</v>
      </c>
      <c r="C34" s="12" t="s">
        <v>100</v>
      </c>
      <c r="D34" s="12" t="s">
        <v>101</v>
      </c>
      <c r="E34" s="16">
        <f>LOOKUP(M34,Справочники!$B$2:$B$35,Справочники!$C$2:$C$35)</f>
        <v>22000</v>
      </c>
      <c r="F34" s="16">
        <f t="shared" ca="1" si="0"/>
        <v>3300</v>
      </c>
      <c r="G34" s="16">
        <f t="shared" si="1"/>
        <v>3300</v>
      </c>
      <c r="H34" s="16">
        <f t="shared" ca="1" si="2"/>
        <v>28600</v>
      </c>
      <c r="I34" s="16">
        <f t="shared" ca="1" si="3"/>
        <v>3718</v>
      </c>
      <c r="J34" s="16">
        <f t="shared" ca="1" si="4"/>
        <v>24882</v>
      </c>
      <c r="K34" s="10" t="s">
        <v>17</v>
      </c>
      <c r="L34" s="10" t="str">
        <f>LOOKUP(M34,Справочники!$B$2:$B$35,Справочники!$A$2:$A$35)</f>
        <v>Рекламный отдел</v>
      </c>
      <c r="M34" s="6" t="s">
        <v>27</v>
      </c>
      <c r="N34" s="6" t="s">
        <v>14</v>
      </c>
      <c r="O34" s="11">
        <v>40966</v>
      </c>
      <c r="P34" s="10">
        <f t="shared" ca="1" si="5"/>
        <v>10</v>
      </c>
      <c r="Q34" s="11">
        <v>31390</v>
      </c>
      <c r="R34" s="10">
        <f t="shared" ca="1" si="6"/>
        <v>36</v>
      </c>
      <c r="S34" s="10" t="str">
        <f>LOOKUP(L34,Справочники!$F$2:$F$10,Справочники!$H$2:$H$10)</f>
        <v>+7(8332)64-32-01</v>
      </c>
    </row>
    <row r="35" spans="1:19" ht="15" x14ac:dyDescent="0.25">
      <c r="A35" s="10">
        <v>145</v>
      </c>
      <c r="B35" s="12" t="s">
        <v>172</v>
      </c>
      <c r="C35" s="12" t="s">
        <v>131</v>
      </c>
      <c r="D35" s="12" t="s">
        <v>145</v>
      </c>
      <c r="E35" s="16">
        <f>LOOKUP(M35,Справочники!$B$2:$B$35,Справочники!$C$2:$C$35)</f>
        <v>22000</v>
      </c>
      <c r="F35" s="16">
        <f t="shared" ca="1" si="0"/>
        <v>3300</v>
      </c>
      <c r="G35" s="16">
        <f t="shared" si="1"/>
        <v>3300</v>
      </c>
      <c r="H35" s="16">
        <f t="shared" ca="1" si="2"/>
        <v>28600</v>
      </c>
      <c r="I35" s="16">
        <f t="shared" ca="1" si="3"/>
        <v>3718</v>
      </c>
      <c r="J35" s="16">
        <f t="shared" ca="1" si="4"/>
        <v>24882</v>
      </c>
      <c r="K35" s="10" t="s">
        <v>17</v>
      </c>
      <c r="L35" s="10" t="str">
        <f>LOOKUP(M35,Справочники!$B$2:$B$35,Справочники!$A$2:$A$35)</f>
        <v>Склад</v>
      </c>
      <c r="M35" s="6" t="s">
        <v>48</v>
      </c>
      <c r="N35" s="6" t="s">
        <v>25</v>
      </c>
      <c r="O35" s="11">
        <v>34788</v>
      </c>
      <c r="P35" s="10">
        <f t="shared" ca="1" si="5"/>
        <v>27</v>
      </c>
      <c r="Q35" s="11">
        <v>25204</v>
      </c>
      <c r="R35" s="10">
        <f t="shared" ca="1" si="6"/>
        <v>53</v>
      </c>
      <c r="S35" s="10" t="str">
        <f>LOOKUP(L35,Справочники!$F$2:$F$10,Справочники!$H$2:$H$10)</f>
        <v>+7(8332)64-32-23</v>
      </c>
    </row>
    <row r="36" spans="1:19" ht="15" x14ac:dyDescent="0.25">
      <c r="A36" s="10">
        <v>117</v>
      </c>
      <c r="B36" s="12" t="s">
        <v>112</v>
      </c>
      <c r="C36" s="12" t="s">
        <v>72</v>
      </c>
      <c r="D36" s="12" t="s">
        <v>88</v>
      </c>
      <c r="E36" s="16">
        <f>LOOKUP(M36,Справочники!$B$2:$B$35,Справочники!$C$2:$C$35)</f>
        <v>12000</v>
      </c>
      <c r="F36" s="16">
        <f t="shared" ref="F36:F67" ca="1" si="7">IF(P36&gt;=5, E36*$F$2, )</f>
        <v>1800</v>
      </c>
      <c r="G36" s="16">
        <f t="shared" ref="G36:G67" si="8">E36*$G$2</f>
        <v>1800</v>
      </c>
      <c r="H36" s="16">
        <f t="shared" ref="H36:H67" ca="1" si="9">E36+F36+G36</f>
        <v>15600</v>
      </c>
      <c r="I36" s="16">
        <f t="shared" ref="I36:I67" ca="1" si="10">H36*$I$2</f>
        <v>2028</v>
      </c>
      <c r="J36" s="16">
        <f t="shared" ref="J36:J67" ca="1" si="11">H36-I36</f>
        <v>13572</v>
      </c>
      <c r="K36" s="10" t="s">
        <v>9</v>
      </c>
      <c r="L36" s="10" t="str">
        <f>LOOKUP(M36,Справочники!$B$2:$B$35,Справочники!$A$2:$A$35)</f>
        <v>Технологический отдел</v>
      </c>
      <c r="M36" s="6" t="s">
        <v>31</v>
      </c>
      <c r="N36" s="6" t="s">
        <v>33</v>
      </c>
      <c r="O36" s="11">
        <v>35445</v>
      </c>
      <c r="P36" s="10">
        <f t="shared" ref="P36:P67" ca="1" si="12">DATEDIF(O36, TODAY(),"Y")</f>
        <v>25</v>
      </c>
      <c r="Q36" s="11">
        <v>26821</v>
      </c>
      <c r="R36" s="10">
        <f t="shared" ref="R36:R67" ca="1" si="13">DATEDIF(Q36, TODAY(),"Y")</f>
        <v>49</v>
      </c>
      <c r="S36" s="10" t="str">
        <f>LOOKUP(L36,Справочники!$F$2:$F$10,Справочники!$H$2:$H$10)</f>
        <v>+7(8332)64-32-18</v>
      </c>
    </row>
    <row r="37" spans="1:19" ht="15" x14ac:dyDescent="0.25">
      <c r="A37" s="10">
        <v>156</v>
      </c>
      <c r="B37" s="12" t="s">
        <v>193</v>
      </c>
      <c r="C37" s="12" t="s">
        <v>108</v>
      </c>
      <c r="D37" s="12" t="s">
        <v>194</v>
      </c>
      <c r="E37" s="16">
        <f>LOOKUP(M37,Справочники!$B$2:$B$35,Справочники!$C$2:$C$35)</f>
        <v>14000</v>
      </c>
      <c r="F37" s="16">
        <f t="shared" ca="1" si="7"/>
        <v>2100</v>
      </c>
      <c r="G37" s="16">
        <f t="shared" si="8"/>
        <v>2100</v>
      </c>
      <c r="H37" s="16">
        <f t="shared" ca="1" si="9"/>
        <v>18200</v>
      </c>
      <c r="I37" s="16">
        <f t="shared" ca="1" si="10"/>
        <v>2366</v>
      </c>
      <c r="J37" s="16">
        <f t="shared" ca="1" si="11"/>
        <v>15834</v>
      </c>
      <c r="K37" s="10" t="s">
        <v>9</v>
      </c>
      <c r="L37" s="10" t="str">
        <f>LOOKUP(M37,Справочники!$B$2:$B$35,Справочники!$A$2:$A$35)</f>
        <v>Редакторский отдел</v>
      </c>
      <c r="M37" s="7" t="s">
        <v>55</v>
      </c>
      <c r="N37" s="6" t="s">
        <v>25</v>
      </c>
      <c r="O37" s="11">
        <v>35460</v>
      </c>
      <c r="P37" s="10">
        <f t="shared" ca="1" si="12"/>
        <v>25</v>
      </c>
      <c r="Q37" s="11">
        <v>21194</v>
      </c>
      <c r="R37" s="10">
        <f t="shared" ca="1" si="13"/>
        <v>64</v>
      </c>
      <c r="S37" s="10" t="str">
        <f>LOOKUP(L37,Справочники!$F$2:$F$10,Справочники!$H$2:$H$10)</f>
        <v>+7(8332)64-32-01</v>
      </c>
    </row>
    <row r="38" spans="1:19" ht="15" x14ac:dyDescent="0.25">
      <c r="A38" s="10">
        <v>118</v>
      </c>
      <c r="B38" s="12" t="s">
        <v>113</v>
      </c>
      <c r="C38" s="12" t="s">
        <v>114</v>
      </c>
      <c r="D38" s="12" t="s">
        <v>115</v>
      </c>
      <c r="E38" s="16">
        <f>LOOKUP(M38,Справочники!$B$2:$B$35,Справочники!$C$2:$C$35)</f>
        <v>12000</v>
      </c>
      <c r="F38" s="16">
        <f t="shared" ca="1" si="7"/>
        <v>1800</v>
      </c>
      <c r="G38" s="16">
        <f t="shared" si="8"/>
        <v>1800</v>
      </c>
      <c r="H38" s="16">
        <f t="shared" ca="1" si="9"/>
        <v>15600</v>
      </c>
      <c r="I38" s="16">
        <f t="shared" ca="1" si="10"/>
        <v>2028</v>
      </c>
      <c r="J38" s="16">
        <f t="shared" ca="1" si="11"/>
        <v>13572</v>
      </c>
      <c r="K38" s="10" t="s">
        <v>9</v>
      </c>
      <c r="L38" s="10" t="str">
        <f>LOOKUP(M38,Справочники!$B$2:$B$35,Справочники!$A$2:$A$35)</f>
        <v>Технологический отдел</v>
      </c>
      <c r="M38" s="6" t="s">
        <v>34</v>
      </c>
      <c r="N38" s="6" t="s">
        <v>12</v>
      </c>
      <c r="O38" s="11">
        <v>36303</v>
      </c>
      <c r="P38" s="10">
        <f t="shared" ca="1" si="12"/>
        <v>23</v>
      </c>
      <c r="Q38" s="11">
        <v>25641</v>
      </c>
      <c r="R38" s="10">
        <f t="shared" ca="1" si="13"/>
        <v>52</v>
      </c>
      <c r="S38" s="10" t="str">
        <f>LOOKUP(L38,Справочники!$F$2:$F$10,Справочники!$H$2:$H$10)</f>
        <v>+7(8332)64-32-18</v>
      </c>
    </row>
    <row r="39" spans="1:19" ht="15" x14ac:dyDescent="0.25">
      <c r="A39" s="10">
        <v>157</v>
      </c>
      <c r="B39" s="12" t="s">
        <v>195</v>
      </c>
      <c r="C39" s="12" t="s">
        <v>196</v>
      </c>
      <c r="D39" s="12" t="s">
        <v>197</v>
      </c>
      <c r="E39" s="16">
        <f>LOOKUP(M39,Справочники!$B$2:$B$35,Справочники!$C$2:$C$35)</f>
        <v>12000</v>
      </c>
      <c r="F39" s="16">
        <f t="shared" ca="1" si="7"/>
        <v>1800</v>
      </c>
      <c r="G39" s="16">
        <f t="shared" si="8"/>
        <v>1800</v>
      </c>
      <c r="H39" s="16">
        <f t="shared" ca="1" si="9"/>
        <v>15600</v>
      </c>
      <c r="I39" s="16">
        <f t="shared" ca="1" si="10"/>
        <v>2028</v>
      </c>
      <c r="J39" s="16">
        <f t="shared" ca="1" si="11"/>
        <v>13572</v>
      </c>
      <c r="K39" s="10" t="s">
        <v>9</v>
      </c>
      <c r="L39" s="10" t="str">
        <f>LOOKUP(M39,Справочники!$B$2:$B$35,Справочники!$A$2:$A$35)</f>
        <v>Технологический отдел</v>
      </c>
      <c r="M39" s="6" t="s">
        <v>31</v>
      </c>
      <c r="N39" s="6" t="s">
        <v>12</v>
      </c>
      <c r="O39" s="11">
        <v>39887</v>
      </c>
      <c r="P39" s="10">
        <f t="shared" ca="1" si="12"/>
        <v>13</v>
      </c>
      <c r="Q39" s="11">
        <v>30205</v>
      </c>
      <c r="R39" s="10">
        <f t="shared" ca="1" si="13"/>
        <v>40</v>
      </c>
      <c r="S39" s="10" t="str">
        <f>LOOKUP(L39,Справочники!$F$2:$F$10,Справочники!$H$2:$H$10)</f>
        <v>+7(8332)64-32-18</v>
      </c>
    </row>
    <row r="40" spans="1:19" ht="15" x14ac:dyDescent="0.25">
      <c r="A40" s="10">
        <v>146</v>
      </c>
      <c r="B40" s="12" t="s">
        <v>173</v>
      </c>
      <c r="C40" s="12" t="s">
        <v>129</v>
      </c>
      <c r="D40" s="12" t="s">
        <v>174</v>
      </c>
      <c r="E40" s="16">
        <f>LOOKUP(M40,Справочники!$B$2:$B$35,Справочники!$C$2:$C$35)</f>
        <v>15000</v>
      </c>
      <c r="F40" s="16">
        <f t="shared" ca="1" si="7"/>
        <v>2250</v>
      </c>
      <c r="G40" s="16">
        <f t="shared" si="8"/>
        <v>2250</v>
      </c>
      <c r="H40" s="16">
        <f t="shared" ca="1" si="9"/>
        <v>19500</v>
      </c>
      <c r="I40" s="16">
        <f t="shared" ca="1" si="10"/>
        <v>2535</v>
      </c>
      <c r="J40" s="16">
        <f t="shared" ca="1" si="11"/>
        <v>16965</v>
      </c>
      <c r="K40" s="10" t="s">
        <v>17</v>
      </c>
      <c r="L40" s="10" t="str">
        <f>LOOKUP(M40,Справочники!$B$2:$B$35,Справочники!$A$2:$A$35)</f>
        <v>Склад</v>
      </c>
      <c r="M40" s="6" t="s">
        <v>46</v>
      </c>
      <c r="N40" s="6" t="s">
        <v>33</v>
      </c>
      <c r="O40" s="11">
        <v>35032</v>
      </c>
      <c r="P40" s="10">
        <f t="shared" ca="1" si="12"/>
        <v>26</v>
      </c>
      <c r="Q40" s="11">
        <v>26821</v>
      </c>
      <c r="R40" s="10">
        <f t="shared" ca="1" si="13"/>
        <v>49</v>
      </c>
      <c r="S40" s="10" t="str">
        <f>LOOKUP(L40,Справочники!$F$2:$F$10,Справочники!$H$2:$H$10)</f>
        <v>+7(8332)64-32-23</v>
      </c>
    </row>
    <row r="41" spans="1:19" ht="15" x14ac:dyDescent="0.25">
      <c r="A41" s="10">
        <v>126</v>
      </c>
      <c r="B41" s="12" t="s">
        <v>128</v>
      </c>
      <c r="C41" s="12" t="s">
        <v>129</v>
      </c>
      <c r="D41" s="12" t="s">
        <v>101</v>
      </c>
      <c r="E41" s="16">
        <f>LOOKUP(M41,Справочники!$B$2:$B$35,Справочники!$C$2:$C$35)</f>
        <v>22000</v>
      </c>
      <c r="F41" s="16">
        <f t="shared" ca="1" si="7"/>
        <v>3300</v>
      </c>
      <c r="G41" s="16">
        <f t="shared" si="8"/>
        <v>3300</v>
      </c>
      <c r="H41" s="16">
        <f t="shared" ca="1" si="9"/>
        <v>28600</v>
      </c>
      <c r="I41" s="16">
        <f t="shared" ca="1" si="10"/>
        <v>3718</v>
      </c>
      <c r="J41" s="16">
        <f t="shared" ca="1" si="11"/>
        <v>24882</v>
      </c>
      <c r="K41" s="10" t="s">
        <v>17</v>
      </c>
      <c r="L41" s="10" t="str">
        <f>LOOKUP(M41,Справочники!$B$2:$B$35,Справочники!$A$2:$A$35)</f>
        <v>Рекламный отдел</v>
      </c>
      <c r="M41" s="6" t="s">
        <v>27</v>
      </c>
      <c r="N41" s="6" t="s">
        <v>14</v>
      </c>
      <c r="O41" s="11">
        <v>40321</v>
      </c>
      <c r="P41" s="10">
        <f t="shared" ca="1" si="12"/>
        <v>12</v>
      </c>
      <c r="Q41" s="11">
        <v>30232</v>
      </c>
      <c r="R41" s="10">
        <f t="shared" ca="1" si="13"/>
        <v>40</v>
      </c>
      <c r="S41" s="10" t="str">
        <f>LOOKUP(L41,Справочники!$F$2:$F$10,Справочники!$H$2:$H$10)</f>
        <v>+7(8332)64-32-01</v>
      </c>
    </row>
    <row r="42" spans="1:19" ht="15" x14ac:dyDescent="0.25">
      <c r="A42" s="10">
        <v>136</v>
      </c>
      <c r="B42" s="12" t="s">
        <v>150</v>
      </c>
      <c r="C42" s="12" t="s">
        <v>151</v>
      </c>
      <c r="D42" s="12" t="s">
        <v>152</v>
      </c>
      <c r="E42" s="16">
        <f>LOOKUP(M42,Справочники!$B$2:$B$35,Справочники!$C$2:$C$35)</f>
        <v>22000</v>
      </c>
      <c r="F42" s="16">
        <f t="shared" ca="1" si="7"/>
        <v>3300</v>
      </c>
      <c r="G42" s="16">
        <f t="shared" si="8"/>
        <v>3300</v>
      </c>
      <c r="H42" s="16">
        <f t="shared" ca="1" si="9"/>
        <v>28600</v>
      </c>
      <c r="I42" s="16">
        <f t="shared" ca="1" si="10"/>
        <v>3718</v>
      </c>
      <c r="J42" s="16">
        <f t="shared" ca="1" si="11"/>
        <v>24882</v>
      </c>
      <c r="K42" s="10" t="s">
        <v>9</v>
      </c>
      <c r="L42" s="10" t="str">
        <f>LOOKUP(M42,Справочники!$B$2:$B$35,Справочники!$A$2:$A$35)</f>
        <v>Рекламный отдел</v>
      </c>
      <c r="M42" s="6" t="s">
        <v>27</v>
      </c>
      <c r="N42" s="6" t="s">
        <v>25</v>
      </c>
      <c r="O42" s="11">
        <v>39479</v>
      </c>
      <c r="P42" s="10">
        <f t="shared" ca="1" si="12"/>
        <v>14</v>
      </c>
      <c r="Q42" s="11">
        <v>27737</v>
      </c>
      <c r="R42" s="10">
        <f t="shared" ca="1" si="13"/>
        <v>46</v>
      </c>
      <c r="S42" s="10" t="str">
        <f>LOOKUP(L42,Справочники!$F$2:$F$10,Справочники!$H$2:$H$10)</f>
        <v>+7(8332)64-32-01</v>
      </c>
    </row>
    <row r="43" spans="1:19" ht="15" x14ac:dyDescent="0.25">
      <c r="A43" s="10">
        <v>158</v>
      </c>
      <c r="B43" s="12" t="s">
        <v>198</v>
      </c>
      <c r="C43" s="12" t="s">
        <v>199</v>
      </c>
      <c r="D43" s="12" t="s">
        <v>159</v>
      </c>
      <c r="E43" s="16">
        <f>LOOKUP(M43,Справочники!$B$2:$B$35,Справочники!$C$2:$C$35)</f>
        <v>14000</v>
      </c>
      <c r="F43" s="16">
        <f t="shared" ca="1" si="7"/>
        <v>2100</v>
      </c>
      <c r="G43" s="16">
        <f t="shared" si="8"/>
        <v>2100</v>
      </c>
      <c r="H43" s="16">
        <f t="shared" ca="1" si="9"/>
        <v>18200</v>
      </c>
      <c r="I43" s="16">
        <f t="shared" ca="1" si="10"/>
        <v>2366</v>
      </c>
      <c r="J43" s="16">
        <f t="shared" ca="1" si="11"/>
        <v>15834</v>
      </c>
      <c r="K43" s="10" t="s">
        <v>9</v>
      </c>
      <c r="L43" s="10" t="str">
        <f>LOOKUP(M43,Справочники!$B$2:$B$35,Справочники!$A$2:$A$35)</f>
        <v>Редакторский отдел</v>
      </c>
      <c r="M43" s="7" t="s">
        <v>54</v>
      </c>
      <c r="N43" s="6" t="s">
        <v>14</v>
      </c>
      <c r="O43" s="11">
        <v>35122</v>
      </c>
      <c r="P43" s="10">
        <f t="shared" ca="1" si="12"/>
        <v>26</v>
      </c>
      <c r="Q43" s="11">
        <v>23253</v>
      </c>
      <c r="R43" s="10">
        <f t="shared" ca="1" si="13"/>
        <v>59</v>
      </c>
      <c r="S43" s="10" t="str">
        <f>LOOKUP(L43,Справочники!$F$2:$F$10,Справочники!$H$2:$H$10)</f>
        <v>+7(8332)64-32-01</v>
      </c>
    </row>
    <row r="44" spans="1:19" ht="15" x14ac:dyDescent="0.25">
      <c r="A44" s="10">
        <v>111</v>
      </c>
      <c r="B44" s="12" t="s">
        <v>97</v>
      </c>
      <c r="C44" s="12" t="s">
        <v>98</v>
      </c>
      <c r="D44" s="12" t="s">
        <v>76</v>
      </c>
      <c r="E44" s="16">
        <f>LOOKUP(M44,Справочники!$B$2:$B$35,Справочники!$C$2:$C$35)</f>
        <v>15000</v>
      </c>
      <c r="F44" s="16">
        <f t="shared" ca="1" si="7"/>
        <v>2250</v>
      </c>
      <c r="G44" s="16">
        <f t="shared" si="8"/>
        <v>2250</v>
      </c>
      <c r="H44" s="16">
        <f t="shared" ca="1" si="9"/>
        <v>19500</v>
      </c>
      <c r="I44" s="16">
        <f t="shared" ca="1" si="10"/>
        <v>2535</v>
      </c>
      <c r="J44" s="16">
        <f t="shared" ca="1" si="11"/>
        <v>16965</v>
      </c>
      <c r="K44" s="10" t="s">
        <v>9</v>
      </c>
      <c r="L44" s="10" t="str">
        <f>LOOKUP(M44,Справочники!$B$2:$B$35,Справочники!$A$2:$A$35)</f>
        <v>Управление</v>
      </c>
      <c r="M44" s="6" t="s">
        <v>24</v>
      </c>
      <c r="N44" s="6" t="s">
        <v>25</v>
      </c>
      <c r="O44" s="11">
        <v>42960</v>
      </c>
      <c r="P44" s="10">
        <f t="shared" ca="1" si="12"/>
        <v>5</v>
      </c>
      <c r="Q44" s="11">
        <v>33207</v>
      </c>
      <c r="R44" s="10">
        <f t="shared" ca="1" si="13"/>
        <v>31</v>
      </c>
      <c r="S44" s="10" t="str">
        <f>LOOKUP(L44,Справочники!$F$2:$F$10,Справочники!$H$2:$H$10)</f>
        <v>+7(8332)64-32-18</v>
      </c>
    </row>
    <row r="45" spans="1:19" ht="15" x14ac:dyDescent="0.25">
      <c r="A45" s="10">
        <v>119</v>
      </c>
      <c r="B45" s="12" t="s">
        <v>116</v>
      </c>
      <c r="C45" s="12" t="s">
        <v>117</v>
      </c>
      <c r="D45" s="12" t="s">
        <v>70</v>
      </c>
      <c r="E45" s="16">
        <f>LOOKUP(M45,Справочники!$B$2:$B$35,Справочники!$C$2:$C$35)</f>
        <v>17000</v>
      </c>
      <c r="F45" s="16">
        <f t="shared" ca="1" si="7"/>
        <v>2550</v>
      </c>
      <c r="G45" s="16">
        <f t="shared" si="8"/>
        <v>2550</v>
      </c>
      <c r="H45" s="16">
        <f t="shared" ca="1" si="9"/>
        <v>22100</v>
      </c>
      <c r="I45" s="16">
        <f t="shared" ca="1" si="10"/>
        <v>2873</v>
      </c>
      <c r="J45" s="16">
        <f t="shared" ca="1" si="11"/>
        <v>19227</v>
      </c>
      <c r="K45" s="10" t="s">
        <v>9</v>
      </c>
      <c r="L45" s="10" t="str">
        <f>LOOKUP(M45,Справочники!$B$2:$B$35,Справочники!$A$2:$A$35)</f>
        <v>Технологический отдел</v>
      </c>
      <c r="M45" s="6" t="s">
        <v>35</v>
      </c>
      <c r="N45" s="6" t="s">
        <v>14</v>
      </c>
      <c r="O45" s="11">
        <v>39550</v>
      </c>
      <c r="P45" s="10">
        <f t="shared" ca="1" si="12"/>
        <v>14</v>
      </c>
      <c r="Q45" s="11">
        <v>28420</v>
      </c>
      <c r="R45" s="10">
        <f t="shared" ca="1" si="13"/>
        <v>45</v>
      </c>
      <c r="S45" s="10" t="str">
        <f>LOOKUP(L45,Справочники!$F$2:$F$10,Справочники!$H$2:$H$10)</f>
        <v>+7(8332)64-32-18</v>
      </c>
    </row>
    <row r="46" spans="1:19" ht="15" x14ac:dyDescent="0.25">
      <c r="A46" s="10">
        <v>162</v>
      </c>
      <c r="B46" s="12" t="s">
        <v>206</v>
      </c>
      <c r="C46" s="12" t="s">
        <v>100</v>
      </c>
      <c r="D46" s="12" t="s">
        <v>207</v>
      </c>
      <c r="E46" s="16">
        <f>LOOKUP(M46,Справочники!$B$2:$B$35,Справочники!$C$2:$C$35)</f>
        <v>12000</v>
      </c>
      <c r="F46" s="16">
        <f t="shared" ca="1" si="7"/>
        <v>1800</v>
      </c>
      <c r="G46" s="16">
        <f t="shared" si="8"/>
        <v>1800</v>
      </c>
      <c r="H46" s="16">
        <f t="shared" ca="1" si="9"/>
        <v>15600</v>
      </c>
      <c r="I46" s="16">
        <f t="shared" ca="1" si="10"/>
        <v>2028</v>
      </c>
      <c r="J46" s="16">
        <f t="shared" ca="1" si="11"/>
        <v>13572</v>
      </c>
      <c r="K46" s="10" t="s">
        <v>17</v>
      </c>
      <c r="L46" s="10" t="str">
        <f>LOOKUP(M46,Справочники!$B$2:$B$35,Справочники!$A$2:$A$35)</f>
        <v>Транспортный отдел</v>
      </c>
      <c r="M46" s="6" t="s">
        <v>50</v>
      </c>
      <c r="N46" s="6" t="s">
        <v>12</v>
      </c>
      <c r="O46" s="11">
        <v>32023</v>
      </c>
      <c r="P46" s="10">
        <f t="shared" ca="1" si="12"/>
        <v>35</v>
      </c>
      <c r="Q46" s="11">
        <v>22893</v>
      </c>
      <c r="R46" s="10">
        <f t="shared" ca="1" si="13"/>
        <v>60</v>
      </c>
      <c r="S46" s="10" t="str">
        <f>LOOKUP(L46,Справочники!$F$2:$F$10,Справочники!$H$2:$H$10)</f>
        <v>+7(8332)64-32-18</v>
      </c>
    </row>
    <row r="47" spans="1:19" ht="15" x14ac:dyDescent="0.25">
      <c r="A47" s="10">
        <v>120</v>
      </c>
      <c r="B47" s="12" t="s">
        <v>118</v>
      </c>
      <c r="C47" s="12" t="s">
        <v>98</v>
      </c>
      <c r="D47" s="12" t="s">
        <v>119</v>
      </c>
      <c r="E47" s="16">
        <f>LOOKUP(M47,Справочники!$B$2:$B$35,Справочники!$C$2:$C$35)</f>
        <v>14000</v>
      </c>
      <c r="F47" s="16">
        <f t="shared" ca="1" si="7"/>
        <v>2100</v>
      </c>
      <c r="G47" s="16">
        <f t="shared" si="8"/>
        <v>2100</v>
      </c>
      <c r="H47" s="16">
        <f t="shared" ca="1" si="9"/>
        <v>18200</v>
      </c>
      <c r="I47" s="16">
        <f t="shared" ca="1" si="10"/>
        <v>2366</v>
      </c>
      <c r="J47" s="16">
        <f t="shared" ca="1" si="11"/>
        <v>15834</v>
      </c>
      <c r="K47" s="10" t="s">
        <v>9</v>
      </c>
      <c r="L47" s="10" t="str">
        <f>LOOKUP(M47,Справочники!$B$2:$B$35,Справочники!$A$2:$A$35)</f>
        <v>Технологический отдел</v>
      </c>
      <c r="M47" s="6" t="s">
        <v>36</v>
      </c>
      <c r="N47" s="6" t="s">
        <v>12</v>
      </c>
      <c r="O47" s="11">
        <v>35442</v>
      </c>
      <c r="P47" s="10">
        <f t="shared" ca="1" si="12"/>
        <v>25</v>
      </c>
      <c r="Q47" s="11">
        <v>24134</v>
      </c>
      <c r="R47" s="10">
        <f t="shared" ca="1" si="13"/>
        <v>56</v>
      </c>
      <c r="S47" s="10" t="str">
        <f>LOOKUP(L47,Справочники!$F$2:$F$10,Справочники!$H$2:$H$10)</f>
        <v>+7(8332)64-32-18</v>
      </c>
    </row>
    <row r="48" spans="1:19" ht="15" x14ac:dyDescent="0.25">
      <c r="A48" s="10">
        <v>140</v>
      </c>
      <c r="B48" s="12" t="s">
        <v>160</v>
      </c>
      <c r="C48" s="12" t="s">
        <v>161</v>
      </c>
      <c r="D48" s="12" t="s">
        <v>162</v>
      </c>
      <c r="E48" s="16">
        <f>LOOKUP(M48,Справочники!$B$2:$B$35,Справочники!$C$2:$C$35)</f>
        <v>15000</v>
      </c>
      <c r="F48" s="16">
        <f t="shared" ca="1" si="7"/>
        <v>2250</v>
      </c>
      <c r="G48" s="16">
        <f t="shared" si="8"/>
        <v>2250</v>
      </c>
      <c r="H48" s="16">
        <f t="shared" ca="1" si="9"/>
        <v>19500</v>
      </c>
      <c r="I48" s="16">
        <f t="shared" ca="1" si="10"/>
        <v>2535</v>
      </c>
      <c r="J48" s="16">
        <f t="shared" ca="1" si="11"/>
        <v>16965</v>
      </c>
      <c r="K48" s="10" t="s">
        <v>9</v>
      </c>
      <c r="L48" s="10" t="str">
        <f>LOOKUP(M48,Справочники!$B$2:$B$35,Справочники!$A$2:$A$35)</f>
        <v>Рекламный отдел</v>
      </c>
      <c r="M48" s="6" t="s">
        <v>40</v>
      </c>
      <c r="N48" s="6" t="s">
        <v>25</v>
      </c>
      <c r="O48" s="11">
        <v>39641</v>
      </c>
      <c r="P48" s="10">
        <f t="shared" ca="1" si="12"/>
        <v>14</v>
      </c>
      <c r="Q48" s="11">
        <v>29284</v>
      </c>
      <c r="R48" s="10">
        <f t="shared" ca="1" si="13"/>
        <v>42</v>
      </c>
      <c r="S48" s="10" t="str">
        <f>LOOKUP(L48,Справочники!$F$2:$F$10,Справочники!$H$2:$H$10)</f>
        <v>+7(8332)64-32-01</v>
      </c>
    </row>
    <row r="49" spans="1:19" ht="15" x14ac:dyDescent="0.25">
      <c r="A49" s="10">
        <v>121</v>
      </c>
      <c r="B49" s="12" t="s">
        <v>120</v>
      </c>
      <c r="C49" s="12" t="s">
        <v>75</v>
      </c>
      <c r="D49" s="12" t="s">
        <v>79</v>
      </c>
      <c r="E49" s="16">
        <f>LOOKUP(M49,Справочники!$B$2:$B$35,Справочники!$C$2:$C$35)</f>
        <v>14000</v>
      </c>
      <c r="F49" s="16">
        <f t="shared" ca="1" si="7"/>
        <v>2100</v>
      </c>
      <c r="G49" s="16">
        <f t="shared" si="8"/>
        <v>2100</v>
      </c>
      <c r="H49" s="16">
        <f t="shared" ca="1" si="9"/>
        <v>18200</v>
      </c>
      <c r="I49" s="16">
        <f t="shared" ca="1" si="10"/>
        <v>2366</v>
      </c>
      <c r="J49" s="16">
        <f t="shared" ca="1" si="11"/>
        <v>15834</v>
      </c>
      <c r="K49" s="10" t="s">
        <v>9</v>
      </c>
      <c r="L49" s="10" t="str">
        <f>LOOKUP(M49,Справочники!$B$2:$B$35,Справочники!$A$2:$A$35)</f>
        <v>Технологический отдел</v>
      </c>
      <c r="M49" s="6" t="s">
        <v>36</v>
      </c>
      <c r="N49" s="6" t="s">
        <v>12</v>
      </c>
      <c r="O49" s="11">
        <v>39845</v>
      </c>
      <c r="P49" s="10">
        <f t="shared" ca="1" si="12"/>
        <v>13</v>
      </c>
      <c r="Q49" s="11">
        <v>31391</v>
      </c>
      <c r="R49" s="10">
        <f t="shared" ca="1" si="13"/>
        <v>36</v>
      </c>
      <c r="S49" s="10" t="str">
        <f>LOOKUP(L49,Справочники!$F$2:$F$10,Справочники!$H$2:$H$10)</f>
        <v>+7(8332)64-32-18</v>
      </c>
    </row>
    <row r="50" spans="1:19" ht="15" x14ac:dyDescent="0.25">
      <c r="A50" s="10">
        <v>163</v>
      </c>
      <c r="B50" s="12" t="s">
        <v>208</v>
      </c>
      <c r="C50" s="12" t="s">
        <v>209</v>
      </c>
      <c r="D50" s="12" t="s">
        <v>93</v>
      </c>
      <c r="E50" s="16">
        <f>LOOKUP(M50,Справочники!$B$2:$B$35,Справочники!$C$2:$C$35)</f>
        <v>20000</v>
      </c>
      <c r="F50" s="16">
        <f t="shared" ca="1" si="7"/>
        <v>3000</v>
      </c>
      <c r="G50" s="16">
        <f t="shared" si="8"/>
        <v>3000</v>
      </c>
      <c r="H50" s="16">
        <f t="shared" ca="1" si="9"/>
        <v>26000</v>
      </c>
      <c r="I50" s="16">
        <f t="shared" ca="1" si="10"/>
        <v>3380</v>
      </c>
      <c r="J50" s="16">
        <f t="shared" ca="1" si="11"/>
        <v>22620</v>
      </c>
      <c r="K50" s="10" t="s">
        <v>17</v>
      </c>
      <c r="L50" s="10" t="str">
        <f>LOOKUP(M50,Справочники!$B$2:$B$35,Справочники!$A$2:$A$35)</f>
        <v>Редакторский отдел</v>
      </c>
      <c r="M50" s="7" t="s">
        <v>56</v>
      </c>
      <c r="N50" s="6" t="s">
        <v>14</v>
      </c>
      <c r="O50" s="11">
        <v>35153</v>
      </c>
      <c r="P50" s="10">
        <f t="shared" ca="1" si="12"/>
        <v>26</v>
      </c>
      <c r="Q50" s="11">
        <v>24814</v>
      </c>
      <c r="R50" s="10">
        <f t="shared" ca="1" si="13"/>
        <v>54</v>
      </c>
      <c r="S50" s="10" t="str">
        <f>LOOKUP(L50,Справочники!$F$2:$F$10,Справочники!$H$2:$H$10)</f>
        <v>+7(8332)64-32-01</v>
      </c>
    </row>
    <row r="51" spans="1:19" ht="15" x14ac:dyDescent="0.25">
      <c r="A51" s="10">
        <v>147</v>
      </c>
      <c r="B51" s="12" t="s">
        <v>175</v>
      </c>
      <c r="C51" s="12" t="s">
        <v>176</v>
      </c>
      <c r="D51" s="12" t="s">
        <v>177</v>
      </c>
      <c r="E51" s="16">
        <f>LOOKUP(M51,Справочники!$B$2:$B$35,Справочники!$C$2:$C$35)</f>
        <v>11000</v>
      </c>
      <c r="F51" s="16">
        <f t="shared" ca="1" si="7"/>
        <v>1650</v>
      </c>
      <c r="G51" s="16">
        <f t="shared" si="8"/>
        <v>1650</v>
      </c>
      <c r="H51" s="16">
        <f t="shared" ca="1" si="9"/>
        <v>14300</v>
      </c>
      <c r="I51" s="16">
        <f t="shared" ca="1" si="10"/>
        <v>1859</v>
      </c>
      <c r="J51" s="16">
        <f t="shared" ca="1" si="11"/>
        <v>12441</v>
      </c>
      <c r="K51" s="10" t="s">
        <v>17</v>
      </c>
      <c r="L51" s="10" t="str">
        <f>LOOKUP(M51,Справочники!$B$2:$B$35,Справочники!$A$2:$A$35)</f>
        <v>Склад</v>
      </c>
      <c r="M51" s="6" t="s">
        <v>47</v>
      </c>
      <c r="N51" s="6" t="s">
        <v>33</v>
      </c>
      <c r="O51" s="11">
        <v>42399</v>
      </c>
      <c r="P51" s="10">
        <f t="shared" ca="1" si="12"/>
        <v>6</v>
      </c>
      <c r="Q51" s="11">
        <v>33858</v>
      </c>
      <c r="R51" s="10">
        <f t="shared" ca="1" si="13"/>
        <v>30</v>
      </c>
      <c r="S51" s="10" t="str">
        <f>LOOKUP(L51,Справочники!$F$2:$F$10,Справочники!$H$2:$H$10)</f>
        <v>+7(8332)64-32-23</v>
      </c>
    </row>
    <row r="52" spans="1:19" ht="15" x14ac:dyDescent="0.25">
      <c r="A52" s="10">
        <v>122</v>
      </c>
      <c r="B52" s="12" t="s">
        <v>121</v>
      </c>
      <c r="C52" s="12" t="s">
        <v>122</v>
      </c>
      <c r="D52" s="12" t="s">
        <v>96</v>
      </c>
      <c r="E52" s="16">
        <f>LOOKUP(M52,Справочники!$B$2:$B$35,Справочники!$C$2:$C$35)</f>
        <v>14000</v>
      </c>
      <c r="F52" s="16">
        <f t="shared" ca="1" si="7"/>
        <v>2100</v>
      </c>
      <c r="G52" s="16">
        <f t="shared" si="8"/>
        <v>2100</v>
      </c>
      <c r="H52" s="16">
        <f t="shared" ca="1" si="9"/>
        <v>18200</v>
      </c>
      <c r="I52" s="16">
        <f t="shared" ca="1" si="10"/>
        <v>2366</v>
      </c>
      <c r="J52" s="16">
        <f t="shared" ca="1" si="11"/>
        <v>15834</v>
      </c>
      <c r="K52" s="10" t="s">
        <v>9</v>
      </c>
      <c r="L52" s="10" t="str">
        <f>LOOKUP(M52,Справочники!$B$2:$B$35,Справочники!$A$2:$A$35)</f>
        <v>Технологический отдел</v>
      </c>
      <c r="M52" s="6" t="s">
        <v>37</v>
      </c>
      <c r="N52" s="6" t="s">
        <v>12</v>
      </c>
      <c r="O52" s="11">
        <v>36427</v>
      </c>
      <c r="P52" s="10">
        <f t="shared" ca="1" si="12"/>
        <v>23</v>
      </c>
      <c r="Q52" s="11">
        <v>24846</v>
      </c>
      <c r="R52" s="10">
        <f t="shared" ca="1" si="13"/>
        <v>54</v>
      </c>
      <c r="S52" s="10" t="str">
        <f>LOOKUP(L52,Справочники!$F$2:$F$10,Справочники!$H$2:$H$10)</f>
        <v>+7(8332)64-32-18</v>
      </c>
    </row>
    <row r="53" spans="1:19" ht="15" x14ac:dyDescent="0.25">
      <c r="A53" s="10">
        <v>159</v>
      </c>
      <c r="B53" s="12" t="s">
        <v>200</v>
      </c>
      <c r="C53" s="12" t="s">
        <v>158</v>
      </c>
      <c r="D53" s="12" t="s">
        <v>201</v>
      </c>
      <c r="E53" s="16">
        <f>LOOKUP(M53,Справочники!$B$2:$B$35,Справочники!$C$2:$C$35)</f>
        <v>14000</v>
      </c>
      <c r="F53" s="16">
        <f t="shared" ca="1" si="7"/>
        <v>2100</v>
      </c>
      <c r="G53" s="16">
        <f t="shared" si="8"/>
        <v>2100</v>
      </c>
      <c r="H53" s="16">
        <f t="shared" ca="1" si="9"/>
        <v>18200</v>
      </c>
      <c r="I53" s="16">
        <f t="shared" ca="1" si="10"/>
        <v>2366</v>
      </c>
      <c r="J53" s="16">
        <f t="shared" ca="1" si="11"/>
        <v>15834</v>
      </c>
      <c r="K53" s="10" t="s">
        <v>9</v>
      </c>
      <c r="L53" s="10" t="str">
        <f>LOOKUP(M53,Справочники!$B$2:$B$35,Справочники!$A$2:$A$35)</f>
        <v>Редакторский отдел</v>
      </c>
      <c r="M53" s="7" t="s">
        <v>55</v>
      </c>
      <c r="N53" s="6" t="s">
        <v>14</v>
      </c>
      <c r="O53" s="11">
        <v>35032</v>
      </c>
      <c r="P53" s="10">
        <f t="shared" ca="1" si="12"/>
        <v>26</v>
      </c>
      <c r="Q53" s="11">
        <v>22065</v>
      </c>
      <c r="R53" s="10">
        <f t="shared" ca="1" si="13"/>
        <v>62</v>
      </c>
      <c r="S53" s="10" t="str">
        <f>LOOKUP(L53,Справочники!$F$2:$F$10,Справочники!$H$2:$H$10)</f>
        <v>+7(8332)64-32-01</v>
      </c>
    </row>
    <row r="54" spans="1:19" ht="15" x14ac:dyDescent="0.25">
      <c r="A54" s="10">
        <v>149</v>
      </c>
      <c r="B54" s="12" t="s">
        <v>180</v>
      </c>
      <c r="C54" s="12" t="s">
        <v>181</v>
      </c>
      <c r="D54" s="12" t="s">
        <v>132</v>
      </c>
      <c r="E54" s="16">
        <f>LOOKUP(M54,Справочники!$B$2:$B$35,Справочники!$C$2:$C$35)</f>
        <v>12000</v>
      </c>
      <c r="F54" s="16">
        <f t="shared" ca="1" si="7"/>
        <v>1800</v>
      </c>
      <c r="G54" s="16">
        <f t="shared" si="8"/>
        <v>1800</v>
      </c>
      <c r="H54" s="16">
        <f t="shared" ca="1" si="9"/>
        <v>15600</v>
      </c>
      <c r="I54" s="16">
        <f t="shared" ca="1" si="10"/>
        <v>2028</v>
      </c>
      <c r="J54" s="16">
        <f t="shared" ca="1" si="11"/>
        <v>13572</v>
      </c>
      <c r="K54" s="10" t="s">
        <v>17</v>
      </c>
      <c r="L54" s="10" t="str">
        <f>LOOKUP(M54,Справочники!$B$2:$B$35,Справочники!$A$2:$A$35)</f>
        <v>Транспортный отдел</v>
      </c>
      <c r="M54" s="6" t="s">
        <v>50</v>
      </c>
      <c r="N54" s="6" t="s">
        <v>33</v>
      </c>
      <c r="O54" s="11">
        <v>34759</v>
      </c>
      <c r="P54" s="10">
        <f t="shared" ca="1" si="12"/>
        <v>27</v>
      </c>
      <c r="Q54" s="11">
        <v>25186</v>
      </c>
      <c r="R54" s="10">
        <f t="shared" ca="1" si="13"/>
        <v>53</v>
      </c>
      <c r="S54" s="10" t="str">
        <f>LOOKUP(L54,Справочники!$F$2:$F$10,Справочники!$H$2:$H$10)</f>
        <v>+7(8332)64-32-18</v>
      </c>
    </row>
    <row r="55" spans="1:19" ht="15" x14ac:dyDescent="0.25">
      <c r="A55" s="10">
        <v>164</v>
      </c>
      <c r="B55" s="12" t="s">
        <v>210</v>
      </c>
      <c r="C55" s="12" t="s">
        <v>211</v>
      </c>
      <c r="D55" s="12" t="s">
        <v>148</v>
      </c>
      <c r="E55" s="16">
        <f>LOOKUP(M55,Справочники!$B$2:$B$35,Справочники!$C$2:$C$35)</f>
        <v>12000</v>
      </c>
      <c r="F55" s="16">
        <f t="shared" ca="1" si="7"/>
        <v>0</v>
      </c>
      <c r="G55" s="16">
        <f t="shared" si="8"/>
        <v>1800</v>
      </c>
      <c r="H55" s="16">
        <f t="shared" ca="1" si="9"/>
        <v>13800</v>
      </c>
      <c r="I55" s="16">
        <f t="shared" ca="1" si="10"/>
        <v>1794</v>
      </c>
      <c r="J55" s="16">
        <f t="shared" ca="1" si="11"/>
        <v>12006</v>
      </c>
      <c r="K55" s="10" t="s">
        <v>9</v>
      </c>
      <c r="L55" s="10" t="str">
        <f>LOOKUP(M55,Справочники!$B$2:$B$35,Справочники!$A$2:$A$35)</f>
        <v>Транспортный отдел</v>
      </c>
      <c r="M55" s="6" t="s">
        <v>57</v>
      </c>
      <c r="N55" s="6" t="s">
        <v>33</v>
      </c>
      <c r="O55" s="11">
        <v>43438</v>
      </c>
      <c r="P55" s="10">
        <f t="shared" ca="1" si="12"/>
        <v>3</v>
      </c>
      <c r="Q55" s="11">
        <v>34714</v>
      </c>
      <c r="R55" s="10">
        <f t="shared" ca="1" si="13"/>
        <v>27</v>
      </c>
      <c r="S55" s="10" t="str">
        <f>LOOKUP(L55,Справочники!$F$2:$F$10,Справочники!$H$2:$H$10)</f>
        <v>+7(8332)64-32-18</v>
      </c>
    </row>
    <row r="56" spans="1:19" ht="15" x14ac:dyDescent="0.25">
      <c r="A56" s="10">
        <v>129</v>
      </c>
      <c r="B56" s="12" t="s">
        <v>134</v>
      </c>
      <c r="C56" s="12" t="s">
        <v>135</v>
      </c>
      <c r="D56" s="12" t="s">
        <v>136</v>
      </c>
      <c r="E56" s="16">
        <f>LOOKUP(M56,Справочники!$B$2:$B$35,Справочники!$C$2:$C$35)</f>
        <v>15000</v>
      </c>
      <c r="F56" s="16">
        <f t="shared" ca="1" si="7"/>
        <v>2250</v>
      </c>
      <c r="G56" s="16">
        <f t="shared" si="8"/>
        <v>2250</v>
      </c>
      <c r="H56" s="16">
        <f t="shared" ca="1" si="9"/>
        <v>19500</v>
      </c>
      <c r="I56" s="16">
        <f t="shared" ca="1" si="10"/>
        <v>2535</v>
      </c>
      <c r="J56" s="16">
        <f t="shared" ca="1" si="11"/>
        <v>16965</v>
      </c>
      <c r="K56" s="10" t="s">
        <v>17</v>
      </c>
      <c r="L56" s="10" t="str">
        <f>LOOKUP(M56,Справочники!$B$2:$B$35,Справочники!$A$2:$A$35)</f>
        <v>Рекламный отдел</v>
      </c>
      <c r="M56" s="6" t="s">
        <v>40</v>
      </c>
      <c r="N56" s="6" t="s">
        <v>14</v>
      </c>
      <c r="O56" s="11">
        <v>41972</v>
      </c>
      <c r="P56" s="10">
        <f t="shared" ca="1" si="12"/>
        <v>7</v>
      </c>
      <c r="Q56" s="11">
        <v>33851</v>
      </c>
      <c r="R56" s="10">
        <f t="shared" ca="1" si="13"/>
        <v>30</v>
      </c>
      <c r="S56" s="10" t="str">
        <f>LOOKUP(L56,Справочники!$F$2:$F$10,Справочники!$H$2:$H$10)</f>
        <v>+7(8332)64-32-01</v>
      </c>
    </row>
    <row r="57" spans="1:19" ht="15" x14ac:dyDescent="0.25">
      <c r="A57" s="10">
        <v>110</v>
      </c>
      <c r="B57" s="12" t="s">
        <v>94</v>
      </c>
      <c r="C57" s="12" t="s">
        <v>95</v>
      </c>
      <c r="D57" s="12" t="s">
        <v>96</v>
      </c>
      <c r="E57" s="16">
        <f>LOOKUP(M57,Справочники!$B$2:$B$35,Справочники!$C$2:$C$35)</f>
        <v>30000</v>
      </c>
      <c r="F57" s="16">
        <f t="shared" ca="1" si="7"/>
        <v>4500</v>
      </c>
      <c r="G57" s="16">
        <f t="shared" si="8"/>
        <v>4500</v>
      </c>
      <c r="H57" s="16">
        <f t="shared" ca="1" si="9"/>
        <v>39000</v>
      </c>
      <c r="I57" s="16">
        <f t="shared" ca="1" si="10"/>
        <v>5070</v>
      </c>
      <c r="J57" s="16">
        <f t="shared" ca="1" si="11"/>
        <v>33930</v>
      </c>
      <c r="K57" s="10" t="s">
        <v>9</v>
      </c>
      <c r="L57" s="10" t="str">
        <f>LOOKUP(M57,Справочники!$B$2:$B$35,Справочники!$A$2:$A$35)</f>
        <v>Управление</v>
      </c>
      <c r="M57" s="6" t="s">
        <v>23</v>
      </c>
      <c r="N57" s="6" t="s">
        <v>14</v>
      </c>
      <c r="O57" s="11">
        <v>34436</v>
      </c>
      <c r="P57" s="10">
        <f t="shared" ca="1" si="12"/>
        <v>28</v>
      </c>
      <c r="Q57" s="11">
        <v>26821</v>
      </c>
      <c r="R57" s="10">
        <f t="shared" ca="1" si="13"/>
        <v>49</v>
      </c>
      <c r="S57" s="10" t="str">
        <f>LOOKUP(L57,Справочники!$F$2:$F$10,Справочники!$H$2:$H$10)</f>
        <v>+7(8332)64-32-18</v>
      </c>
    </row>
    <row r="58" spans="1:19" ht="15" x14ac:dyDescent="0.25">
      <c r="A58" s="10">
        <v>148</v>
      </c>
      <c r="B58" s="12" t="s">
        <v>178</v>
      </c>
      <c r="C58" s="12" t="s">
        <v>179</v>
      </c>
      <c r="D58" s="12" t="s">
        <v>101</v>
      </c>
      <c r="E58" s="16">
        <f>LOOKUP(M58,Справочники!$B$2:$B$35,Справочники!$C$2:$C$35)</f>
        <v>22000</v>
      </c>
      <c r="F58" s="16">
        <f t="shared" ca="1" si="7"/>
        <v>0</v>
      </c>
      <c r="G58" s="16">
        <f t="shared" si="8"/>
        <v>3300</v>
      </c>
      <c r="H58" s="16">
        <f t="shared" ca="1" si="9"/>
        <v>25300</v>
      </c>
      <c r="I58" s="16">
        <f t="shared" ca="1" si="10"/>
        <v>3289</v>
      </c>
      <c r="J58" s="16">
        <f t="shared" ca="1" si="11"/>
        <v>22011</v>
      </c>
      <c r="K58" s="10" t="s">
        <v>17</v>
      </c>
      <c r="L58" s="10" t="str">
        <f>LOOKUP(M58,Справочники!$B$2:$B$35,Справочники!$A$2:$A$35)</f>
        <v>Рекламный отдел</v>
      </c>
      <c r="M58" s="6" t="s">
        <v>27</v>
      </c>
      <c r="N58" s="6" t="s">
        <v>14</v>
      </c>
      <c r="O58" s="11">
        <v>43539</v>
      </c>
      <c r="P58" s="10">
        <f t="shared" ca="1" si="12"/>
        <v>3</v>
      </c>
      <c r="Q58" s="11">
        <v>27737</v>
      </c>
      <c r="R58" s="10">
        <f t="shared" ca="1" si="13"/>
        <v>46</v>
      </c>
      <c r="S58" s="10" t="str">
        <f>LOOKUP(L58,Справочники!$F$2:$F$10,Справочники!$H$2:$H$10)</f>
        <v>+7(8332)64-32-01</v>
      </c>
    </row>
    <row r="59" spans="1:19" ht="15" x14ac:dyDescent="0.25">
      <c r="A59" s="10">
        <v>160</v>
      </c>
      <c r="B59" s="12" t="s">
        <v>202</v>
      </c>
      <c r="C59" s="12" t="s">
        <v>203</v>
      </c>
      <c r="D59" s="12" t="s">
        <v>127</v>
      </c>
      <c r="E59" s="16">
        <f>LOOKUP(M59,Справочники!$B$2:$B$35,Справочники!$C$2:$C$35)</f>
        <v>14000</v>
      </c>
      <c r="F59" s="16">
        <f t="shared" ca="1" si="7"/>
        <v>2100</v>
      </c>
      <c r="G59" s="16">
        <f t="shared" si="8"/>
        <v>2100</v>
      </c>
      <c r="H59" s="16">
        <f t="shared" ca="1" si="9"/>
        <v>18200</v>
      </c>
      <c r="I59" s="16">
        <f t="shared" ca="1" si="10"/>
        <v>2366</v>
      </c>
      <c r="J59" s="16">
        <f t="shared" ca="1" si="11"/>
        <v>15834</v>
      </c>
      <c r="K59" s="10" t="s">
        <v>9</v>
      </c>
      <c r="L59" s="10" t="str">
        <f>LOOKUP(M59,Справочники!$B$2:$B$35,Справочники!$A$2:$A$35)</f>
        <v>Редакторский отдел</v>
      </c>
      <c r="M59" s="7" t="s">
        <v>55</v>
      </c>
      <c r="N59" s="6" t="s">
        <v>14</v>
      </c>
      <c r="O59" s="11">
        <v>42991</v>
      </c>
      <c r="P59" s="10">
        <f t="shared" ca="1" si="12"/>
        <v>5</v>
      </c>
      <c r="Q59" s="11">
        <v>32936</v>
      </c>
      <c r="R59" s="10">
        <f t="shared" ca="1" si="13"/>
        <v>32</v>
      </c>
      <c r="S59" s="10" t="str">
        <f>LOOKUP(L59,Справочники!$F$2:$F$10,Справочники!$H$2:$H$10)</f>
        <v>+7(8332)64-32-01</v>
      </c>
    </row>
    <row r="60" spans="1:19" ht="15" x14ac:dyDescent="0.25">
      <c r="A60" s="10">
        <v>137</v>
      </c>
      <c r="B60" s="12" t="s">
        <v>153</v>
      </c>
      <c r="C60" s="12" t="s">
        <v>114</v>
      </c>
      <c r="D60" s="12" t="s">
        <v>154</v>
      </c>
      <c r="E60" s="16">
        <f>LOOKUP(M60,Справочники!$B$2:$B$35,Справочники!$C$2:$C$35)</f>
        <v>15000</v>
      </c>
      <c r="F60" s="16">
        <f t="shared" ca="1" si="7"/>
        <v>2250</v>
      </c>
      <c r="G60" s="16">
        <f t="shared" si="8"/>
        <v>2250</v>
      </c>
      <c r="H60" s="16">
        <f t="shared" ca="1" si="9"/>
        <v>19500</v>
      </c>
      <c r="I60" s="16">
        <f t="shared" ca="1" si="10"/>
        <v>2535</v>
      </c>
      <c r="J60" s="16">
        <f t="shared" ca="1" si="11"/>
        <v>16965</v>
      </c>
      <c r="K60" s="10" t="s">
        <v>9</v>
      </c>
      <c r="L60" s="10" t="str">
        <f>LOOKUP(M60,Справочники!$B$2:$B$35,Справочники!$A$2:$A$35)</f>
        <v>Управление</v>
      </c>
      <c r="M60" s="6" t="s">
        <v>20</v>
      </c>
      <c r="N60" s="6" t="s">
        <v>25</v>
      </c>
      <c r="O60" s="11">
        <v>42271</v>
      </c>
      <c r="P60" s="10">
        <f t="shared" ca="1" si="12"/>
        <v>7</v>
      </c>
      <c r="Q60" s="11">
        <v>33851</v>
      </c>
      <c r="R60" s="10">
        <f t="shared" ca="1" si="13"/>
        <v>30</v>
      </c>
      <c r="S60" s="10" t="str">
        <f>LOOKUP(L60,Справочники!$F$2:$F$10,Справочники!$H$2:$H$10)</f>
        <v>+7(8332)64-32-18</v>
      </c>
    </row>
    <row r="61" spans="1:19" ht="15" x14ac:dyDescent="0.25">
      <c r="A61" s="10">
        <v>123</v>
      </c>
      <c r="B61" s="12" t="s">
        <v>123</v>
      </c>
      <c r="C61" s="12" t="s">
        <v>114</v>
      </c>
      <c r="D61" s="12" t="s">
        <v>103</v>
      </c>
      <c r="E61" s="16">
        <f>LOOKUP(M61,Справочники!$B$2:$B$35,Справочники!$C$2:$C$35)</f>
        <v>12000</v>
      </c>
      <c r="F61" s="16">
        <f t="shared" ca="1" si="7"/>
        <v>1800</v>
      </c>
      <c r="G61" s="16">
        <f t="shared" si="8"/>
        <v>1800</v>
      </c>
      <c r="H61" s="16">
        <f t="shared" ca="1" si="9"/>
        <v>15600</v>
      </c>
      <c r="I61" s="16">
        <f t="shared" ca="1" si="10"/>
        <v>2028</v>
      </c>
      <c r="J61" s="16">
        <f t="shared" ca="1" si="11"/>
        <v>13572</v>
      </c>
      <c r="K61" s="10" t="s">
        <v>9</v>
      </c>
      <c r="L61" s="10" t="str">
        <f>LOOKUP(M61,Справочники!$B$2:$B$35,Справочники!$A$2:$A$35)</f>
        <v>Технологический отдел</v>
      </c>
      <c r="M61" s="6" t="s">
        <v>34</v>
      </c>
      <c r="N61" s="6" t="s">
        <v>14</v>
      </c>
      <c r="O61" s="11">
        <v>35290</v>
      </c>
      <c r="P61" s="10">
        <f t="shared" ca="1" si="12"/>
        <v>26</v>
      </c>
      <c r="Q61" s="11">
        <v>22280</v>
      </c>
      <c r="R61" s="10">
        <f t="shared" ca="1" si="13"/>
        <v>61</v>
      </c>
      <c r="S61" s="10" t="str">
        <f>LOOKUP(L61,Справочники!$F$2:$F$10,Справочники!$H$2:$H$10)</f>
        <v>+7(8332)64-32-18</v>
      </c>
    </row>
    <row r="62" spans="1:19" ht="15" x14ac:dyDescent="0.25">
      <c r="A62" s="10">
        <v>113</v>
      </c>
      <c r="B62" s="12" t="s">
        <v>102</v>
      </c>
      <c r="C62" s="12" t="s">
        <v>98</v>
      </c>
      <c r="D62" s="12" t="s">
        <v>103</v>
      </c>
      <c r="E62" s="16">
        <f>LOOKUP(M62,Справочники!$B$2:$B$35,Справочники!$C$2:$C$35)</f>
        <v>18000</v>
      </c>
      <c r="F62" s="16">
        <f t="shared" ca="1" si="7"/>
        <v>2700</v>
      </c>
      <c r="G62" s="16">
        <f t="shared" si="8"/>
        <v>2700</v>
      </c>
      <c r="H62" s="16">
        <f t="shared" ca="1" si="9"/>
        <v>23400</v>
      </c>
      <c r="I62" s="16">
        <f t="shared" ca="1" si="10"/>
        <v>3042</v>
      </c>
      <c r="J62" s="16">
        <f t="shared" ca="1" si="11"/>
        <v>20358</v>
      </c>
      <c r="K62" s="10" t="s">
        <v>9</v>
      </c>
      <c r="L62" s="10" t="str">
        <f>LOOKUP(M62,Справочники!$B$2:$B$35,Справочники!$A$2:$A$35)</f>
        <v>Рекламный отдел</v>
      </c>
      <c r="M62" s="6" t="s">
        <v>28</v>
      </c>
      <c r="N62" s="6" t="s">
        <v>14</v>
      </c>
      <c r="O62" s="11">
        <v>34788</v>
      </c>
      <c r="P62" s="10">
        <f t="shared" ca="1" si="12"/>
        <v>27</v>
      </c>
      <c r="Q62" s="11">
        <v>25186</v>
      </c>
      <c r="R62" s="10">
        <f t="shared" ca="1" si="13"/>
        <v>53</v>
      </c>
      <c r="S62" s="10" t="str">
        <f>LOOKUP(L62,Справочники!$F$2:$F$10,Справочники!$H$2:$H$10)</f>
        <v>+7(8332)64-32-01</v>
      </c>
    </row>
    <row r="63" spans="1:19" ht="15" x14ac:dyDescent="0.25">
      <c r="A63" s="10">
        <v>133</v>
      </c>
      <c r="B63" s="12" t="s">
        <v>144</v>
      </c>
      <c r="C63" s="12" t="s">
        <v>84</v>
      </c>
      <c r="D63" s="12" t="s">
        <v>145</v>
      </c>
      <c r="E63" s="16">
        <f>LOOKUP(M63,Справочники!$B$2:$B$35,Справочники!$C$2:$C$35)</f>
        <v>15000</v>
      </c>
      <c r="F63" s="16">
        <f t="shared" ca="1" si="7"/>
        <v>2250</v>
      </c>
      <c r="G63" s="16">
        <f t="shared" si="8"/>
        <v>2250</v>
      </c>
      <c r="H63" s="16">
        <f t="shared" ca="1" si="9"/>
        <v>19500</v>
      </c>
      <c r="I63" s="16">
        <f t="shared" ca="1" si="10"/>
        <v>2535</v>
      </c>
      <c r="J63" s="16">
        <f t="shared" ca="1" si="11"/>
        <v>16965</v>
      </c>
      <c r="K63" s="10" t="s">
        <v>17</v>
      </c>
      <c r="L63" s="10" t="str">
        <f>LOOKUP(M63,Справочники!$B$2:$B$35,Справочники!$A$2:$A$35)</f>
        <v>Рекламный отдел</v>
      </c>
      <c r="M63" s="6" t="s">
        <v>40</v>
      </c>
      <c r="N63" s="6" t="s">
        <v>14</v>
      </c>
      <c r="O63" s="11">
        <v>41782</v>
      </c>
      <c r="P63" s="10">
        <f t="shared" ca="1" si="12"/>
        <v>8</v>
      </c>
      <c r="Q63" s="11">
        <v>33871</v>
      </c>
      <c r="R63" s="10">
        <f t="shared" ca="1" si="13"/>
        <v>30</v>
      </c>
      <c r="S63" s="10" t="str">
        <f>LOOKUP(L63,Справочники!$F$2:$F$10,Справочники!$H$2:$H$10)</f>
        <v>+7(8332)64-32-01</v>
      </c>
    </row>
    <row r="64" spans="1:19" ht="15" x14ac:dyDescent="0.25">
      <c r="A64" s="10">
        <v>138</v>
      </c>
      <c r="B64" s="12" t="s">
        <v>155</v>
      </c>
      <c r="C64" s="12" t="s">
        <v>108</v>
      </c>
      <c r="D64" s="12" t="s">
        <v>156</v>
      </c>
      <c r="E64" s="16">
        <f>LOOKUP(M64,Справочники!$B$2:$B$35,Справочники!$C$2:$C$35)</f>
        <v>18000</v>
      </c>
      <c r="F64" s="16">
        <f t="shared" ca="1" si="7"/>
        <v>2700</v>
      </c>
      <c r="G64" s="16">
        <f t="shared" si="8"/>
        <v>2700</v>
      </c>
      <c r="H64" s="16">
        <f t="shared" ca="1" si="9"/>
        <v>23400</v>
      </c>
      <c r="I64" s="16">
        <f t="shared" ca="1" si="10"/>
        <v>3042</v>
      </c>
      <c r="J64" s="16">
        <f t="shared" ca="1" si="11"/>
        <v>20358</v>
      </c>
      <c r="K64" s="10" t="s">
        <v>9</v>
      </c>
      <c r="L64" s="10" t="str">
        <f>LOOKUP(M64,Справочники!$B$2:$B$35,Справочники!$A$2:$A$35)</f>
        <v>Отдел худ. оформления</v>
      </c>
      <c r="M64" s="6" t="s">
        <v>44</v>
      </c>
      <c r="N64" s="6" t="s">
        <v>14</v>
      </c>
      <c r="O64" s="11">
        <v>34380</v>
      </c>
      <c r="P64" s="10">
        <f t="shared" ca="1" si="12"/>
        <v>28</v>
      </c>
      <c r="Q64" s="11">
        <v>23757</v>
      </c>
      <c r="R64" s="10">
        <f t="shared" ca="1" si="13"/>
        <v>57</v>
      </c>
      <c r="S64" s="10" t="str">
        <f>LOOKUP(L64,Справочники!$F$2:$F$10,Справочники!$H$2:$H$10)</f>
        <v>+7(8332)64-32-01</v>
      </c>
    </row>
    <row r="65" spans="1:19" ht="15" x14ac:dyDescent="0.25">
      <c r="A65" s="10">
        <v>127</v>
      </c>
      <c r="B65" s="12" t="s">
        <v>130</v>
      </c>
      <c r="C65" s="12" t="s">
        <v>131</v>
      </c>
      <c r="D65" s="12" t="s">
        <v>132</v>
      </c>
      <c r="E65" s="16">
        <f>LOOKUP(M65,Справочники!$B$2:$B$35,Справочники!$C$2:$C$35)</f>
        <v>20000</v>
      </c>
      <c r="F65" s="16">
        <f t="shared" ca="1" si="7"/>
        <v>3000</v>
      </c>
      <c r="G65" s="16">
        <f t="shared" si="8"/>
        <v>3000</v>
      </c>
      <c r="H65" s="16">
        <f t="shared" ca="1" si="9"/>
        <v>26000</v>
      </c>
      <c r="I65" s="16">
        <f t="shared" ca="1" si="10"/>
        <v>3380</v>
      </c>
      <c r="J65" s="16">
        <f t="shared" ca="1" si="11"/>
        <v>22620</v>
      </c>
      <c r="K65" s="10" t="s">
        <v>17</v>
      </c>
      <c r="L65" s="10" t="str">
        <f>LOOKUP(M65,Справочники!$B$2:$B$35,Справочники!$A$2:$A$35)</f>
        <v>Технологический отдел</v>
      </c>
      <c r="M65" s="6" t="s">
        <v>38</v>
      </c>
      <c r="N65" s="6" t="s">
        <v>14</v>
      </c>
      <c r="O65" s="11">
        <v>40810</v>
      </c>
      <c r="P65" s="10">
        <f t="shared" ca="1" si="12"/>
        <v>11</v>
      </c>
      <c r="Q65" s="11">
        <v>31390</v>
      </c>
      <c r="R65" s="10">
        <f t="shared" ca="1" si="13"/>
        <v>36</v>
      </c>
      <c r="S65" s="10" t="str">
        <f>LOOKUP(L65,Справочники!$F$2:$F$10,Справочники!$H$2:$H$10)</f>
        <v>+7(8332)64-32-18</v>
      </c>
    </row>
    <row r="66" spans="1:19" ht="15" x14ac:dyDescent="0.25">
      <c r="A66" s="10">
        <v>124</v>
      </c>
      <c r="B66" s="12" t="s">
        <v>124</v>
      </c>
      <c r="C66" s="12" t="s">
        <v>125</v>
      </c>
      <c r="D66" s="12" t="s">
        <v>96</v>
      </c>
      <c r="E66" s="16">
        <f>LOOKUP(M66,Справочники!$B$2:$B$35,Справочники!$C$2:$C$35)</f>
        <v>15000</v>
      </c>
      <c r="F66" s="16">
        <f t="shared" ca="1" si="7"/>
        <v>2250</v>
      </c>
      <c r="G66" s="16">
        <f t="shared" si="8"/>
        <v>2250</v>
      </c>
      <c r="H66" s="16">
        <f t="shared" ca="1" si="9"/>
        <v>19500</v>
      </c>
      <c r="I66" s="16">
        <f t="shared" ca="1" si="10"/>
        <v>2535</v>
      </c>
      <c r="J66" s="16">
        <f t="shared" ca="1" si="11"/>
        <v>16965</v>
      </c>
      <c r="K66" s="10" t="s">
        <v>9</v>
      </c>
      <c r="L66" s="10" t="str">
        <f>LOOKUP(M66,Справочники!$B$2:$B$35,Справочники!$A$2:$A$35)</f>
        <v>Технологический отдел</v>
      </c>
      <c r="M66" s="6" t="s">
        <v>32</v>
      </c>
      <c r="N66" s="6" t="s">
        <v>33</v>
      </c>
      <c r="O66" s="11">
        <v>35451</v>
      </c>
      <c r="P66" s="10">
        <f t="shared" ca="1" si="12"/>
        <v>25</v>
      </c>
      <c r="Q66" s="11">
        <v>27551</v>
      </c>
      <c r="R66" s="10">
        <f t="shared" ca="1" si="13"/>
        <v>47</v>
      </c>
      <c r="S66" s="10" t="str">
        <f>LOOKUP(L66,Справочники!$F$2:$F$10,Справочники!$H$2:$H$10)</f>
        <v>+7(8332)64-32-18</v>
      </c>
    </row>
    <row r="67" spans="1:19" ht="15" x14ac:dyDescent="0.25">
      <c r="A67" s="10">
        <v>125</v>
      </c>
      <c r="B67" s="12" t="s">
        <v>126</v>
      </c>
      <c r="C67" s="12" t="s">
        <v>98</v>
      </c>
      <c r="D67" s="12" t="s">
        <v>127</v>
      </c>
      <c r="E67" s="16">
        <f>LOOKUP(M67,Справочники!$B$2:$B$35,Справочники!$C$2:$C$35)</f>
        <v>12000</v>
      </c>
      <c r="F67" s="16">
        <f t="shared" ca="1" si="7"/>
        <v>1800</v>
      </c>
      <c r="G67" s="16">
        <f t="shared" si="8"/>
        <v>1800</v>
      </c>
      <c r="H67" s="16">
        <f t="shared" ca="1" si="9"/>
        <v>15600</v>
      </c>
      <c r="I67" s="16">
        <f t="shared" ca="1" si="10"/>
        <v>2028</v>
      </c>
      <c r="J67" s="16">
        <f t="shared" ca="1" si="11"/>
        <v>13572</v>
      </c>
      <c r="K67" s="10" t="s">
        <v>9</v>
      </c>
      <c r="L67" s="10" t="str">
        <f>LOOKUP(M67,Справочники!$B$2:$B$35,Справочники!$A$2:$A$35)</f>
        <v>Технологический отдел</v>
      </c>
      <c r="M67" s="6" t="s">
        <v>34</v>
      </c>
      <c r="N67" s="6" t="s">
        <v>33</v>
      </c>
      <c r="O67" s="11">
        <v>35290</v>
      </c>
      <c r="P67" s="10">
        <f t="shared" ca="1" si="12"/>
        <v>26</v>
      </c>
      <c r="Q67" s="11">
        <v>22065</v>
      </c>
      <c r="R67" s="10">
        <f t="shared" ca="1" si="13"/>
        <v>62</v>
      </c>
      <c r="S67" s="10" t="str">
        <f>LOOKUP(L67,Справочники!$F$2:$F$10,Справочники!$H$2:$H$10)</f>
        <v>+7(8332)64-32-18</v>
      </c>
    </row>
    <row r="68" spans="1:19" x14ac:dyDescent="0.2">
      <c r="I68" s="27">
        <f ca="1">SUM(I4:I67)</f>
        <v>174960.5</v>
      </c>
      <c r="J68" s="27">
        <f ca="1">SUM(J4:J67)</f>
        <v>1170889.5</v>
      </c>
    </row>
    <row r="69" spans="1:19" x14ac:dyDescent="0.2">
      <c r="D69" s="29" t="s">
        <v>230</v>
      </c>
    </row>
    <row r="72" spans="1:19" x14ac:dyDescent="0.2">
      <c r="B72" s="30">
        <f ca="1">MAX(J4:J67)</f>
        <v>39585</v>
      </c>
      <c r="C72" s="28" t="s">
        <v>224</v>
      </c>
    </row>
    <row r="73" spans="1:19" x14ac:dyDescent="0.2">
      <c r="B73" s="30">
        <f ca="1">MIN(I4:I67)</f>
        <v>1644.5</v>
      </c>
      <c r="C73" s="28" t="s">
        <v>225</v>
      </c>
    </row>
    <row r="74" spans="1:19" x14ac:dyDescent="0.2">
      <c r="B74" s="30">
        <f>AVERAGE(E4:E67)</f>
        <v>16296.875</v>
      </c>
      <c r="C74" s="28" t="s">
        <v>226</v>
      </c>
    </row>
    <row r="75" spans="1:19" x14ac:dyDescent="0.2">
      <c r="B75" s="12">
        <f ca="1">COUNTIF(F4:F67, "&gt;0")</f>
        <v>60</v>
      </c>
      <c r="C75" s="28" t="s">
        <v>227</v>
      </c>
    </row>
    <row r="76" spans="1:19" x14ac:dyDescent="0.2">
      <c r="B76" s="30">
        <f ca="1">SUMIF(F4:F67, "&gt;0", I4:I67)</f>
        <v>164944</v>
      </c>
      <c r="C76" s="28" t="s">
        <v>228</v>
      </c>
    </row>
    <row r="77" spans="1:19" x14ac:dyDescent="0.2">
      <c r="B77" s="30">
        <f ca="1">SUMIFS( E4:E67, F4:F67, "=0", E4:E67, "&gt;15000")</f>
        <v>44000</v>
      </c>
      <c r="C77" s="28" t="s">
        <v>229</v>
      </c>
    </row>
  </sheetData>
  <sheetProtection sheet="1" objects="1" scenarios="1"/>
  <mergeCells count="3">
    <mergeCell ref="A1:D1"/>
    <mergeCell ref="E1:H1"/>
    <mergeCell ref="I1:J1"/>
  </mergeCells>
  <conditionalFormatting sqref="J4:J67">
    <cfRule type="cellIs" dxfId="11" priority="1" operator="lessThan">
      <formula>15000</formula>
    </cfRule>
    <cfRule type="cellIs" dxfId="10" priority="3" operator="greaterThan">
      <formula>25000</formula>
    </cfRule>
    <cfRule type="cellIs" dxfId="9" priority="4" operator="between">
      <formula>15000</formula>
      <formula>25000</formula>
    </cfRule>
  </conditionalFormatting>
  <conditionalFormatting sqref="J7:J67">
    <cfRule type="cellIs" dxfId="8" priority="2" operator="lessThan">
      <formula>15000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7EAD-9BAE-43FB-91A9-C93516FA6CD0}">
  <dimension ref="A1:S77"/>
  <sheetViews>
    <sheetView zoomScaleNormal="100" workbookViewId="0">
      <pane ySplit="3" topLeftCell="A4" activePane="bottomLeft" state="frozen"/>
      <selection pane="bottomLeft" activeCell="L4" sqref="L4"/>
    </sheetView>
  </sheetViews>
  <sheetFormatPr defaultRowHeight="12.75" x14ac:dyDescent="0.2"/>
  <cols>
    <col min="1" max="1" width="11.42578125" style="4" customWidth="1"/>
    <col min="2" max="2" width="27.85546875" style="13" customWidth="1"/>
    <col min="3" max="3" width="18" style="13" customWidth="1"/>
    <col min="4" max="4" width="21.140625" style="13" customWidth="1"/>
    <col min="5" max="5" width="10.7109375" style="18" bestFit="1" customWidth="1"/>
    <col min="6" max="6" width="10.85546875" style="4" customWidth="1"/>
    <col min="7" max="7" width="16.42578125" style="4" customWidth="1"/>
    <col min="8" max="8" width="12.28515625" style="4" customWidth="1"/>
    <col min="9" max="9" width="13.7109375" style="4" customWidth="1"/>
    <col min="10" max="10" width="15.140625" style="4" customWidth="1"/>
    <col min="11" max="11" width="4.5703125" style="5" hidden="1" customWidth="1"/>
    <col min="12" max="12" width="22.140625" style="5" bestFit="1" customWidth="1"/>
    <col min="13" max="13" width="24.140625" style="4" bestFit="1" customWidth="1"/>
    <col min="14" max="14" width="20" style="4" hidden="1" customWidth="1"/>
    <col min="15" max="15" width="11.85546875" style="4" hidden="1" customWidth="1"/>
    <col min="16" max="16" width="12" style="4" customWidth="1"/>
    <col min="17" max="17" width="10.42578125" style="4" hidden="1" customWidth="1"/>
    <col min="18" max="18" width="14.28515625" style="4" customWidth="1"/>
    <col min="19" max="19" width="18.28515625" style="4" hidden="1" customWidth="1"/>
    <col min="20" max="258" width="9.140625" style="4"/>
    <col min="259" max="259" width="4.42578125" style="4" bestFit="1" customWidth="1"/>
    <col min="260" max="260" width="13.85546875" style="4" bestFit="1" customWidth="1"/>
    <col min="261" max="261" width="11.28515625" style="4" bestFit="1" customWidth="1"/>
    <col min="262" max="262" width="14.5703125" style="4" bestFit="1" customWidth="1"/>
    <col min="263" max="263" width="4.5703125" style="4" bestFit="1" customWidth="1"/>
    <col min="264" max="264" width="22.140625" style="4" bestFit="1" customWidth="1"/>
    <col min="265" max="265" width="24.140625" style="4" bestFit="1" customWidth="1"/>
    <col min="266" max="266" width="10.7109375" style="4" bestFit="1" customWidth="1"/>
    <col min="267" max="267" width="20" style="4" bestFit="1" customWidth="1"/>
    <col min="268" max="268" width="11.85546875" style="4" bestFit="1" customWidth="1"/>
    <col min="269" max="269" width="10.42578125" style="4" bestFit="1" customWidth="1"/>
    <col min="270" max="270" width="42.28515625" style="4" bestFit="1" customWidth="1"/>
    <col min="271" max="271" width="13.5703125" style="4" bestFit="1" customWidth="1"/>
    <col min="272" max="272" width="7.7109375" style="4" bestFit="1" customWidth="1"/>
    <col min="273" max="273" width="10.7109375" style="4" bestFit="1" customWidth="1"/>
    <col min="274" max="274" width="9.28515625" style="4" bestFit="1" customWidth="1"/>
    <col min="275" max="275" width="8.7109375" style="4" bestFit="1" customWidth="1"/>
    <col min="276" max="514" width="9.140625" style="4"/>
    <col min="515" max="515" width="4.42578125" style="4" bestFit="1" customWidth="1"/>
    <col min="516" max="516" width="13.85546875" style="4" bestFit="1" customWidth="1"/>
    <col min="517" max="517" width="11.28515625" style="4" bestFit="1" customWidth="1"/>
    <col min="518" max="518" width="14.5703125" style="4" bestFit="1" customWidth="1"/>
    <col min="519" max="519" width="4.5703125" style="4" bestFit="1" customWidth="1"/>
    <col min="520" max="520" width="22.140625" style="4" bestFit="1" customWidth="1"/>
    <col min="521" max="521" width="24.140625" style="4" bestFit="1" customWidth="1"/>
    <col min="522" max="522" width="10.7109375" style="4" bestFit="1" customWidth="1"/>
    <col min="523" max="523" width="20" style="4" bestFit="1" customWidth="1"/>
    <col min="524" max="524" width="11.85546875" style="4" bestFit="1" customWidth="1"/>
    <col min="525" max="525" width="10.42578125" style="4" bestFit="1" customWidth="1"/>
    <col min="526" max="526" width="42.28515625" style="4" bestFit="1" customWidth="1"/>
    <col min="527" max="527" width="13.5703125" style="4" bestFit="1" customWidth="1"/>
    <col min="528" max="528" width="7.7109375" style="4" bestFit="1" customWidth="1"/>
    <col min="529" max="529" width="10.7109375" style="4" bestFit="1" customWidth="1"/>
    <col min="530" max="530" width="9.28515625" style="4" bestFit="1" customWidth="1"/>
    <col min="531" max="531" width="8.7109375" style="4" bestFit="1" customWidth="1"/>
    <col min="532" max="770" width="9.140625" style="4"/>
    <col min="771" max="771" width="4.42578125" style="4" bestFit="1" customWidth="1"/>
    <col min="772" max="772" width="13.85546875" style="4" bestFit="1" customWidth="1"/>
    <col min="773" max="773" width="11.28515625" style="4" bestFit="1" customWidth="1"/>
    <col min="774" max="774" width="14.5703125" style="4" bestFit="1" customWidth="1"/>
    <col min="775" max="775" width="4.5703125" style="4" bestFit="1" customWidth="1"/>
    <col min="776" max="776" width="22.140625" style="4" bestFit="1" customWidth="1"/>
    <col min="777" max="777" width="24.140625" style="4" bestFit="1" customWidth="1"/>
    <col min="778" max="778" width="10.7109375" style="4" bestFit="1" customWidth="1"/>
    <col min="779" max="779" width="20" style="4" bestFit="1" customWidth="1"/>
    <col min="780" max="780" width="11.85546875" style="4" bestFit="1" customWidth="1"/>
    <col min="781" max="781" width="10.42578125" style="4" bestFit="1" customWidth="1"/>
    <col min="782" max="782" width="42.28515625" style="4" bestFit="1" customWidth="1"/>
    <col min="783" max="783" width="13.5703125" style="4" bestFit="1" customWidth="1"/>
    <col min="784" max="784" width="7.7109375" style="4" bestFit="1" customWidth="1"/>
    <col min="785" max="785" width="10.7109375" style="4" bestFit="1" customWidth="1"/>
    <col min="786" max="786" width="9.28515625" style="4" bestFit="1" customWidth="1"/>
    <col min="787" max="787" width="8.7109375" style="4" bestFit="1" customWidth="1"/>
    <col min="788" max="1026" width="9.140625" style="4"/>
    <col min="1027" max="1027" width="4.42578125" style="4" bestFit="1" customWidth="1"/>
    <col min="1028" max="1028" width="13.85546875" style="4" bestFit="1" customWidth="1"/>
    <col min="1029" max="1029" width="11.28515625" style="4" bestFit="1" customWidth="1"/>
    <col min="1030" max="1030" width="14.5703125" style="4" bestFit="1" customWidth="1"/>
    <col min="1031" max="1031" width="4.5703125" style="4" bestFit="1" customWidth="1"/>
    <col min="1032" max="1032" width="22.140625" style="4" bestFit="1" customWidth="1"/>
    <col min="1033" max="1033" width="24.140625" style="4" bestFit="1" customWidth="1"/>
    <col min="1034" max="1034" width="10.7109375" style="4" bestFit="1" customWidth="1"/>
    <col min="1035" max="1035" width="20" style="4" bestFit="1" customWidth="1"/>
    <col min="1036" max="1036" width="11.85546875" style="4" bestFit="1" customWidth="1"/>
    <col min="1037" max="1037" width="10.42578125" style="4" bestFit="1" customWidth="1"/>
    <col min="1038" max="1038" width="42.28515625" style="4" bestFit="1" customWidth="1"/>
    <col min="1039" max="1039" width="13.5703125" style="4" bestFit="1" customWidth="1"/>
    <col min="1040" max="1040" width="7.7109375" style="4" bestFit="1" customWidth="1"/>
    <col min="1041" max="1041" width="10.7109375" style="4" bestFit="1" customWidth="1"/>
    <col min="1042" max="1042" width="9.28515625" style="4" bestFit="1" customWidth="1"/>
    <col min="1043" max="1043" width="8.7109375" style="4" bestFit="1" customWidth="1"/>
    <col min="1044" max="1282" width="9.140625" style="4"/>
    <col min="1283" max="1283" width="4.42578125" style="4" bestFit="1" customWidth="1"/>
    <col min="1284" max="1284" width="13.85546875" style="4" bestFit="1" customWidth="1"/>
    <col min="1285" max="1285" width="11.28515625" style="4" bestFit="1" customWidth="1"/>
    <col min="1286" max="1286" width="14.5703125" style="4" bestFit="1" customWidth="1"/>
    <col min="1287" max="1287" width="4.5703125" style="4" bestFit="1" customWidth="1"/>
    <col min="1288" max="1288" width="22.140625" style="4" bestFit="1" customWidth="1"/>
    <col min="1289" max="1289" width="24.140625" style="4" bestFit="1" customWidth="1"/>
    <col min="1290" max="1290" width="10.7109375" style="4" bestFit="1" customWidth="1"/>
    <col min="1291" max="1291" width="20" style="4" bestFit="1" customWidth="1"/>
    <col min="1292" max="1292" width="11.85546875" style="4" bestFit="1" customWidth="1"/>
    <col min="1293" max="1293" width="10.42578125" style="4" bestFit="1" customWidth="1"/>
    <col min="1294" max="1294" width="42.28515625" style="4" bestFit="1" customWidth="1"/>
    <col min="1295" max="1295" width="13.5703125" style="4" bestFit="1" customWidth="1"/>
    <col min="1296" max="1296" width="7.7109375" style="4" bestFit="1" customWidth="1"/>
    <col min="1297" max="1297" width="10.7109375" style="4" bestFit="1" customWidth="1"/>
    <col min="1298" max="1298" width="9.28515625" style="4" bestFit="1" customWidth="1"/>
    <col min="1299" max="1299" width="8.7109375" style="4" bestFit="1" customWidth="1"/>
    <col min="1300" max="1538" width="9.140625" style="4"/>
    <col min="1539" max="1539" width="4.42578125" style="4" bestFit="1" customWidth="1"/>
    <col min="1540" max="1540" width="13.85546875" style="4" bestFit="1" customWidth="1"/>
    <col min="1541" max="1541" width="11.28515625" style="4" bestFit="1" customWidth="1"/>
    <col min="1542" max="1542" width="14.5703125" style="4" bestFit="1" customWidth="1"/>
    <col min="1543" max="1543" width="4.5703125" style="4" bestFit="1" customWidth="1"/>
    <col min="1544" max="1544" width="22.140625" style="4" bestFit="1" customWidth="1"/>
    <col min="1545" max="1545" width="24.140625" style="4" bestFit="1" customWidth="1"/>
    <col min="1546" max="1546" width="10.7109375" style="4" bestFit="1" customWidth="1"/>
    <col min="1547" max="1547" width="20" style="4" bestFit="1" customWidth="1"/>
    <col min="1548" max="1548" width="11.85546875" style="4" bestFit="1" customWidth="1"/>
    <col min="1549" max="1549" width="10.42578125" style="4" bestFit="1" customWidth="1"/>
    <col min="1550" max="1550" width="42.28515625" style="4" bestFit="1" customWidth="1"/>
    <col min="1551" max="1551" width="13.5703125" style="4" bestFit="1" customWidth="1"/>
    <col min="1552" max="1552" width="7.7109375" style="4" bestFit="1" customWidth="1"/>
    <col min="1553" max="1553" width="10.7109375" style="4" bestFit="1" customWidth="1"/>
    <col min="1554" max="1554" width="9.28515625" style="4" bestFit="1" customWidth="1"/>
    <col min="1555" max="1555" width="8.7109375" style="4" bestFit="1" customWidth="1"/>
    <col min="1556" max="1794" width="9.140625" style="4"/>
    <col min="1795" max="1795" width="4.42578125" style="4" bestFit="1" customWidth="1"/>
    <col min="1796" max="1796" width="13.85546875" style="4" bestFit="1" customWidth="1"/>
    <col min="1797" max="1797" width="11.28515625" style="4" bestFit="1" customWidth="1"/>
    <col min="1798" max="1798" width="14.5703125" style="4" bestFit="1" customWidth="1"/>
    <col min="1799" max="1799" width="4.5703125" style="4" bestFit="1" customWidth="1"/>
    <col min="1800" max="1800" width="22.140625" style="4" bestFit="1" customWidth="1"/>
    <col min="1801" max="1801" width="24.140625" style="4" bestFit="1" customWidth="1"/>
    <col min="1802" max="1802" width="10.7109375" style="4" bestFit="1" customWidth="1"/>
    <col min="1803" max="1803" width="20" style="4" bestFit="1" customWidth="1"/>
    <col min="1804" max="1804" width="11.85546875" style="4" bestFit="1" customWidth="1"/>
    <col min="1805" max="1805" width="10.42578125" style="4" bestFit="1" customWidth="1"/>
    <col min="1806" max="1806" width="42.28515625" style="4" bestFit="1" customWidth="1"/>
    <col min="1807" max="1807" width="13.5703125" style="4" bestFit="1" customWidth="1"/>
    <col min="1808" max="1808" width="7.7109375" style="4" bestFit="1" customWidth="1"/>
    <col min="1809" max="1809" width="10.7109375" style="4" bestFit="1" customWidth="1"/>
    <col min="1810" max="1810" width="9.28515625" style="4" bestFit="1" customWidth="1"/>
    <col min="1811" max="1811" width="8.7109375" style="4" bestFit="1" customWidth="1"/>
    <col min="1812" max="2050" width="9.140625" style="4"/>
    <col min="2051" max="2051" width="4.42578125" style="4" bestFit="1" customWidth="1"/>
    <col min="2052" max="2052" width="13.85546875" style="4" bestFit="1" customWidth="1"/>
    <col min="2053" max="2053" width="11.28515625" style="4" bestFit="1" customWidth="1"/>
    <col min="2054" max="2054" width="14.5703125" style="4" bestFit="1" customWidth="1"/>
    <col min="2055" max="2055" width="4.5703125" style="4" bestFit="1" customWidth="1"/>
    <col min="2056" max="2056" width="22.140625" style="4" bestFit="1" customWidth="1"/>
    <col min="2057" max="2057" width="24.140625" style="4" bestFit="1" customWidth="1"/>
    <col min="2058" max="2058" width="10.7109375" style="4" bestFit="1" customWidth="1"/>
    <col min="2059" max="2059" width="20" style="4" bestFit="1" customWidth="1"/>
    <col min="2060" max="2060" width="11.85546875" style="4" bestFit="1" customWidth="1"/>
    <col min="2061" max="2061" width="10.42578125" style="4" bestFit="1" customWidth="1"/>
    <col min="2062" max="2062" width="42.28515625" style="4" bestFit="1" customWidth="1"/>
    <col min="2063" max="2063" width="13.5703125" style="4" bestFit="1" customWidth="1"/>
    <col min="2064" max="2064" width="7.7109375" style="4" bestFit="1" customWidth="1"/>
    <col min="2065" max="2065" width="10.7109375" style="4" bestFit="1" customWidth="1"/>
    <col min="2066" max="2066" width="9.28515625" style="4" bestFit="1" customWidth="1"/>
    <col min="2067" max="2067" width="8.7109375" style="4" bestFit="1" customWidth="1"/>
    <col min="2068" max="2306" width="9.140625" style="4"/>
    <col min="2307" max="2307" width="4.42578125" style="4" bestFit="1" customWidth="1"/>
    <col min="2308" max="2308" width="13.85546875" style="4" bestFit="1" customWidth="1"/>
    <col min="2309" max="2309" width="11.28515625" style="4" bestFit="1" customWidth="1"/>
    <col min="2310" max="2310" width="14.5703125" style="4" bestFit="1" customWidth="1"/>
    <col min="2311" max="2311" width="4.5703125" style="4" bestFit="1" customWidth="1"/>
    <col min="2312" max="2312" width="22.140625" style="4" bestFit="1" customWidth="1"/>
    <col min="2313" max="2313" width="24.140625" style="4" bestFit="1" customWidth="1"/>
    <col min="2314" max="2314" width="10.7109375" style="4" bestFit="1" customWidth="1"/>
    <col min="2315" max="2315" width="20" style="4" bestFit="1" customWidth="1"/>
    <col min="2316" max="2316" width="11.85546875" style="4" bestFit="1" customWidth="1"/>
    <col min="2317" max="2317" width="10.42578125" style="4" bestFit="1" customWidth="1"/>
    <col min="2318" max="2318" width="42.28515625" style="4" bestFit="1" customWidth="1"/>
    <col min="2319" max="2319" width="13.5703125" style="4" bestFit="1" customWidth="1"/>
    <col min="2320" max="2320" width="7.7109375" style="4" bestFit="1" customWidth="1"/>
    <col min="2321" max="2321" width="10.7109375" style="4" bestFit="1" customWidth="1"/>
    <col min="2322" max="2322" width="9.28515625" style="4" bestFit="1" customWidth="1"/>
    <col min="2323" max="2323" width="8.7109375" style="4" bestFit="1" customWidth="1"/>
    <col min="2324" max="2562" width="9.140625" style="4"/>
    <col min="2563" max="2563" width="4.42578125" style="4" bestFit="1" customWidth="1"/>
    <col min="2564" max="2564" width="13.85546875" style="4" bestFit="1" customWidth="1"/>
    <col min="2565" max="2565" width="11.28515625" style="4" bestFit="1" customWidth="1"/>
    <col min="2566" max="2566" width="14.5703125" style="4" bestFit="1" customWidth="1"/>
    <col min="2567" max="2567" width="4.5703125" style="4" bestFit="1" customWidth="1"/>
    <col min="2568" max="2568" width="22.140625" style="4" bestFit="1" customWidth="1"/>
    <col min="2569" max="2569" width="24.140625" style="4" bestFit="1" customWidth="1"/>
    <col min="2570" max="2570" width="10.7109375" style="4" bestFit="1" customWidth="1"/>
    <col min="2571" max="2571" width="20" style="4" bestFit="1" customWidth="1"/>
    <col min="2572" max="2572" width="11.85546875" style="4" bestFit="1" customWidth="1"/>
    <col min="2573" max="2573" width="10.42578125" style="4" bestFit="1" customWidth="1"/>
    <col min="2574" max="2574" width="42.28515625" style="4" bestFit="1" customWidth="1"/>
    <col min="2575" max="2575" width="13.5703125" style="4" bestFit="1" customWidth="1"/>
    <col min="2576" max="2576" width="7.7109375" style="4" bestFit="1" customWidth="1"/>
    <col min="2577" max="2577" width="10.7109375" style="4" bestFit="1" customWidth="1"/>
    <col min="2578" max="2578" width="9.28515625" style="4" bestFit="1" customWidth="1"/>
    <col min="2579" max="2579" width="8.7109375" style="4" bestFit="1" customWidth="1"/>
    <col min="2580" max="2818" width="9.140625" style="4"/>
    <col min="2819" max="2819" width="4.42578125" style="4" bestFit="1" customWidth="1"/>
    <col min="2820" max="2820" width="13.85546875" style="4" bestFit="1" customWidth="1"/>
    <col min="2821" max="2821" width="11.28515625" style="4" bestFit="1" customWidth="1"/>
    <col min="2822" max="2822" width="14.5703125" style="4" bestFit="1" customWidth="1"/>
    <col min="2823" max="2823" width="4.5703125" style="4" bestFit="1" customWidth="1"/>
    <col min="2824" max="2824" width="22.140625" style="4" bestFit="1" customWidth="1"/>
    <col min="2825" max="2825" width="24.140625" style="4" bestFit="1" customWidth="1"/>
    <col min="2826" max="2826" width="10.7109375" style="4" bestFit="1" customWidth="1"/>
    <col min="2827" max="2827" width="20" style="4" bestFit="1" customWidth="1"/>
    <col min="2828" max="2828" width="11.85546875" style="4" bestFit="1" customWidth="1"/>
    <col min="2829" max="2829" width="10.42578125" style="4" bestFit="1" customWidth="1"/>
    <col min="2830" max="2830" width="42.28515625" style="4" bestFit="1" customWidth="1"/>
    <col min="2831" max="2831" width="13.5703125" style="4" bestFit="1" customWidth="1"/>
    <col min="2832" max="2832" width="7.7109375" style="4" bestFit="1" customWidth="1"/>
    <col min="2833" max="2833" width="10.7109375" style="4" bestFit="1" customWidth="1"/>
    <col min="2834" max="2834" width="9.28515625" style="4" bestFit="1" customWidth="1"/>
    <col min="2835" max="2835" width="8.7109375" style="4" bestFit="1" customWidth="1"/>
    <col min="2836" max="3074" width="9.140625" style="4"/>
    <col min="3075" max="3075" width="4.42578125" style="4" bestFit="1" customWidth="1"/>
    <col min="3076" max="3076" width="13.85546875" style="4" bestFit="1" customWidth="1"/>
    <col min="3077" max="3077" width="11.28515625" style="4" bestFit="1" customWidth="1"/>
    <col min="3078" max="3078" width="14.5703125" style="4" bestFit="1" customWidth="1"/>
    <col min="3079" max="3079" width="4.5703125" style="4" bestFit="1" customWidth="1"/>
    <col min="3080" max="3080" width="22.140625" style="4" bestFit="1" customWidth="1"/>
    <col min="3081" max="3081" width="24.140625" style="4" bestFit="1" customWidth="1"/>
    <col min="3082" max="3082" width="10.7109375" style="4" bestFit="1" customWidth="1"/>
    <col min="3083" max="3083" width="20" style="4" bestFit="1" customWidth="1"/>
    <col min="3084" max="3084" width="11.85546875" style="4" bestFit="1" customWidth="1"/>
    <col min="3085" max="3085" width="10.42578125" style="4" bestFit="1" customWidth="1"/>
    <col min="3086" max="3086" width="42.28515625" style="4" bestFit="1" customWidth="1"/>
    <col min="3087" max="3087" width="13.5703125" style="4" bestFit="1" customWidth="1"/>
    <col min="3088" max="3088" width="7.7109375" style="4" bestFit="1" customWidth="1"/>
    <col min="3089" max="3089" width="10.7109375" style="4" bestFit="1" customWidth="1"/>
    <col min="3090" max="3090" width="9.28515625" style="4" bestFit="1" customWidth="1"/>
    <col min="3091" max="3091" width="8.7109375" style="4" bestFit="1" customWidth="1"/>
    <col min="3092" max="3330" width="9.140625" style="4"/>
    <col min="3331" max="3331" width="4.42578125" style="4" bestFit="1" customWidth="1"/>
    <col min="3332" max="3332" width="13.85546875" style="4" bestFit="1" customWidth="1"/>
    <col min="3333" max="3333" width="11.28515625" style="4" bestFit="1" customWidth="1"/>
    <col min="3334" max="3334" width="14.5703125" style="4" bestFit="1" customWidth="1"/>
    <col min="3335" max="3335" width="4.5703125" style="4" bestFit="1" customWidth="1"/>
    <col min="3336" max="3336" width="22.140625" style="4" bestFit="1" customWidth="1"/>
    <col min="3337" max="3337" width="24.140625" style="4" bestFit="1" customWidth="1"/>
    <col min="3338" max="3338" width="10.7109375" style="4" bestFit="1" customWidth="1"/>
    <col min="3339" max="3339" width="20" style="4" bestFit="1" customWidth="1"/>
    <col min="3340" max="3340" width="11.85546875" style="4" bestFit="1" customWidth="1"/>
    <col min="3341" max="3341" width="10.42578125" style="4" bestFit="1" customWidth="1"/>
    <col min="3342" max="3342" width="42.28515625" style="4" bestFit="1" customWidth="1"/>
    <col min="3343" max="3343" width="13.5703125" style="4" bestFit="1" customWidth="1"/>
    <col min="3344" max="3344" width="7.7109375" style="4" bestFit="1" customWidth="1"/>
    <col min="3345" max="3345" width="10.7109375" style="4" bestFit="1" customWidth="1"/>
    <col min="3346" max="3346" width="9.28515625" style="4" bestFit="1" customWidth="1"/>
    <col min="3347" max="3347" width="8.7109375" style="4" bestFit="1" customWidth="1"/>
    <col min="3348" max="3586" width="9.140625" style="4"/>
    <col min="3587" max="3587" width="4.42578125" style="4" bestFit="1" customWidth="1"/>
    <col min="3588" max="3588" width="13.85546875" style="4" bestFit="1" customWidth="1"/>
    <col min="3589" max="3589" width="11.28515625" style="4" bestFit="1" customWidth="1"/>
    <col min="3590" max="3590" width="14.5703125" style="4" bestFit="1" customWidth="1"/>
    <col min="3591" max="3591" width="4.5703125" style="4" bestFit="1" customWidth="1"/>
    <col min="3592" max="3592" width="22.140625" style="4" bestFit="1" customWidth="1"/>
    <col min="3593" max="3593" width="24.140625" style="4" bestFit="1" customWidth="1"/>
    <col min="3594" max="3594" width="10.7109375" style="4" bestFit="1" customWidth="1"/>
    <col min="3595" max="3595" width="20" style="4" bestFit="1" customWidth="1"/>
    <col min="3596" max="3596" width="11.85546875" style="4" bestFit="1" customWidth="1"/>
    <col min="3597" max="3597" width="10.42578125" style="4" bestFit="1" customWidth="1"/>
    <col min="3598" max="3598" width="42.28515625" style="4" bestFit="1" customWidth="1"/>
    <col min="3599" max="3599" width="13.5703125" style="4" bestFit="1" customWidth="1"/>
    <col min="3600" max="3600" width="7.7109375" style="4" bestFit="1" customWidth="1"/>
    <col min="3601" max="3601" width="10.7109375" style="4" bestFit="1" customWidth="1"/>
    <col min="3602" max="3602" width="9.28515625" style="4" bestFit="1" customWidth="1"/>
    <col min="3603" max="3603" width="8.7109375" style="4" bestFit="1" customWidth="1"/>
    <col min="3604" max="3842" width="9.140625" style="4"/>
    <col min="3843" max="3843" width="4.42578125" style="4" bestFit="1" customWidth="1"/>
    <col min="3844" max="3844" width="13.85546875" style="4" bestFit="1" customWidth="1"/>
    <col min="3845" max="3845" width="11.28515625" style="4" bestFit="1" customWidth="1"/>
    <col min="3846" max="3846" width="14.5703125" style="4" bestFit="1" customWidth="1"/>
    <col min="3847" max="3847" width="4.5703125" style="4" bestFit="1" customWidth="1"/>
    <col min="3848" max="3848" width="22.140625" style="4" bestFit="1" customWidth="1"/>
    <col min="3849" max="3849" width="24.140625" style="4" bestFit="1" customWidth="1"/>
    <col min="3850" max="3850" width="10.7109375" style="4" bestFit="1" customWidth="1"/>
    <col min="3851" max="3851" width="20" style="4" bestFit="1" customWidth="1"/>
    <col min="3852" max="3852" width="11.85546875" style="4" bestFit="1" customWidth="1"/>
    <col min="3853" max="3853" width="10.42578125" style="4" bestFit="1" customWidth="1"/>
    <col min="3854" max="3854" width="42.28515625" style="4" bestFit="1" customWidth="1"/>
    <col min="3855" max="3855" width="13.5703125" style="4" bestFit="1" customWidth="1"/>
    <col min="3856" max="3856" width="7.7109375" style="4" bestFit="1" customWidth="1"/>
    <col min="3857" max="3857" width="10.7109375" style="4" bestFit="1" customWidth="1"/>
    <col min="3858" max="3858" width="9.28515625" style="4" bestFit="1" customWidth="1"/>
    <col min="3859" max="3859" width="8.7109375" style="4" bestFit="1" customWidth="1"/>
    <col min="3860" max="4098" width="9.140625" style="4"/>
    <col min="4099" max="4099" width="4.42578125" style="4" bestFit="1" customWidth="1"/>
    <col min="4100" max="4100" width="13.85546875" style="4" bestFit="1" customWidth="1"/>
    <col min="4101" max="4101" width="11.28515625" style="4" bestFit="1" customWidth="1"/>
    <col min="4102" max="4102" width="14.5703125" style="4" bestFit="1" customWidth="1"/>
    <col min="4103" max="4103" width="4.5703125" style="4" bestFit="1" customWidth="1"/>
    <col min="4104" max="4104" width="22.140625" style="4" bestFit="1" customWidth="1"/>
    <col min="4105" max="4105" width="24.140625" style="4" bestFit="1" customWidth="1"/>
    <col min="4106" max="4106" width="10.7109375" style="4" bestFit="1" customWidth="1"/>
    <col min="4107" max="4107" width="20" style="4" bestFit="1" customWidth="1"/>
    <col min="4108" max="4108" width="11.85546875" style="4" bestFit="1" customWidth="1"/>
    <col min="4109" max="4109" width="10.42578125" style="4" bestFit="1" customWidth="1"/>
    <col min="4110" max="4110" width="42.28515625" style="4" bestFit="1" customWidth="1"/>
    <col min="4111" max="4111" width="13.5703125" style="4" bestFit="1" customWidth="1"/>
    <col min="4112" max="4112" width="7.7109375" style="4" bestFit="1" customWidth="1"/>
    <col min="4113" max="4113" width="10.7109375" style="4" bestFit="1" customWidth="1"/>
    <col min="4114" max="4114" width="9.28515625" style="4" bestFit="1" customWidth="1"/>
    <col min="4115" max="4115" width="8.7109375" style="4" bestFit="1" customWidth="1"/>
    <col min="4116" max="4354" width="9.140625" style="4"/>
    <col min="4355" max="4355" width="4.42578125" style="4" bestFit="1" customWidth="1"/>
    <col min="4356" max="4356" width="13.85546875" style="4" bestFit="1" customWidth="1"/>
    <col min="4357" max="4357" width="11.28515625" style="4" bestFit="1" customWidth="1"/>
    <col min="4358" max="4358" width="14.5703125" style="4" bestFit="1" customWidth="1"/>
    <col min="4359" max="4359" width="4.5703125" style="4" bestFit="1" customWidth="1"/>
    <col min="4360" max="4360" width="22.140625" style="4" bestFit="1" customWidth="1"/>
    <col min="4361" max="4361" width="24.140625" style="4" bestFit="1" customWidth="1"/>
    <col min="4362" max="4362" width="10.7109375" style="4" bestFit="1" customWidth="1"/>
    <col min="4363" max="4363" width="20" style="4" bestFit="1" customWidth="1"/>
    <col min="4364" max="4364" width="11.85546875" style="4" bestFit="1" customWidth="1"/>
    <col min="4365" max="4365" width="10.42578125" style="4" bestFit="1" customWidth="1"/>
    <col min="4366" max="4366" width="42.28515625" style="4" bestFit="1" customWidth="1"/>
    <col min="4367" max="4367" width="13.5703125" style="4" bestFit="1" customWidth="1"/>
    <col min="4368" max="4368" width="7.7109375" style="4" bestFit="1" customWidth="1"/>
    <col min="4369" max="4369" width="10.7109375" style="4" bestFit="1" customWidth="1"/>
    <col min="4370" max="4370" width="9.28515625" style="4" bestFit="1" customWidth="1"/>
    <col min="4371" max="4371" width="8.7109375" style="4" bestFit="1" customWidth="1"/>
    <col min="4372" max="4610" width="9.140625" style="4"/>
    <col min="4611" max="4611" width="4.42578125" style="4" bestFit="1" customWidth="1"/>
    <col min="4612" max="4612" width="13.85546875" style="4" bestFit="1" customWidth="1"/>
    <col min="4613" max="4613" width="11.28515625" style="4" bestFit="1" customWidth="1"/>
    <col min="4614" max="4614" width="14.5703125" style="4" bestFit="1" customWidth="1"/>
    <col min="4615" max="4615" width="4.5703125" style="4" bestFit="1" customWidth="1"/>
    <col min="4616" max="4616" width="22.140625" style="4" bestFit="1" customWidth="1"/>
    <col min="4617" max="4617" width="24.140625" style="4" bestFit="1" customWidth="1"/>
    <col min="4618" max="4618" width="10.7109375" style="4" bestFit="1" customWidth="1"/>
    <col min="4619" max="4619" width="20" style="4" bestFit="1" customWidth="1"/>
    <col min="4620" max="4620" width="11.85546875" style="4" bestFit="1" customWidth="1"/>
    <col min="4621" max="4621" width="10.42578125" style="4" bestFit="1" customWidth="1"/>
    <col min="4622" max="4622" width="42.28515625" style="4" bestFit="1" customWidth="1"/>
    <col min="4623" max="4623" width="13.5703125" style="4" bestFit="1" customWidth="1"/>
    <col min="4624" max="4624" width="7.7109375" style="4" bestFit="1" customWidth="1"/>
    <col min="4625" max="4625" width="10.7109375" style="4" bestFit="1" customWidth="1"/>
    <col min="4626" max="4626" width="9.28515625" style="4" bestFit="1" customWidth="1"/>
    <col min="4627" max="4627" width="8.7109375" style="4" bestFit="1" customWidth="1"/>
    <col min="4628" max="4866" width="9.140625" style="4"/>
    <col min="4867" max="4867" width="4.42578125" style="4" bestFit="1" customWidth="1"/>
    <col min="4868" max="4868" width="13.85546875" style="4" bestFit="1" customWidth="1"/>
    <col min="4869" max="4869" width="11.28515625" style="4" bestFit="1" customWidth="1"/>
    <col min="4870" max="4870" width="14.5703125" style="4" bestFit="1" customWidth="1"/>
    <col min="4871" max="4871" width="4.5703125" style="4" bestFit="1" customWidth="1"/>
    <col min="4872" max="4872" width="22.140625" style="4" bestFit="1" customWidth="1"/>
    <col min="4873" max="4873" width="24.140625" style="4" bestFit="1" customWidth="1"/>
    <col min="4874" max="4874" width="10.7109375" style="4" bestFit="1" customWidth="1"/>
    <col min="4875" max="4875" width="20" style="4" bestFit="1" customWidth="1"/>
    <col min="4876" max="4876" width="11.85546875" style="4" bestFit="1" customWidth="1"/>
    <col min="4877" max="4877" width="10.42578125" style="4" bestFit="1" customWidth="1"/>
    <col min="4878" max="4878" width="42.28515625" style="4" bestFit="1" customWidth="1"/>
    <col min="4879" max="4879" width="13.5703125" style="4" bestFit="1" customWidth="1"/>
    <col min="4880" max="4880" width="7.7109375" style="4" bestFit="1" customWidth="1"/>
    <col min="4881" max="4881" width="10.7109375" style="4" bestFit="1" customWidth="1"/>
    <col min="4882" max="4882" width="9.28515625" style="4" bestFit="1" customWidth="1"/>
    <col min="4883" max="4883" width="8.7109375" style="4" bestFit="1" customWidth="1"/>
    <col min="4884" max="5122" width="9.140625" style="4"/>
    <col min="5123" max="5123" width="4.42578125" style="4" bestFit="1" customWidth="1"/>
    <col min="5124" max="5124" width="13.85546875" style="4" bestFit="1" customWidth="1"/>
    <col min="5125" max="5125" width="11.28515625" style="4" bestFit="1" customWidth="1"/>
    <col min="5126" max="5126" width="14.5703125" style="4" bestFit="1" customWidth="1"/>
    <col min="5127" max="5127" width="4.5703125" style="4" bestFit="1" customWidth="1"/>
    <col min="5128" max="5128" width="22.140625" style="4" bestFit="1" customWidth="1"/>
    <col min="5129" max="5129" width="24.140625" style="4" bestFit="1" customWidth="1"/>
    <col min="5130" max="5130" width="10.7109375" style="4" bestFit="1" customWidth="1"/>
    <col min="5131" max="5131" width="20" style="4" bestFit="1" customWidth="1"/>
    <col min="5132" max="5132" width="11.85546875" style="4" bestFit="1" customWidth="1"/>
    <col min="5133" max="5133" width="10.42578125" style="4" bestFit="1" customWidth="1"/>
    <col min="5134" max="5134" width="42.28515625" style="4" bestFit="1" customWidth="1"/>
    <col min="5135" max="5135" width="13.5703125" style="4" bestFit="1" customWidth="1"/>
    <col min="5136" max="5136" width="7.7109375" style="4" bestFit="1" customWidth="1"/>
    <col min="5137" max="5137" width="10.7109375" style="4" bestFit="1" customWidth="1"/>
    <col min="5138" max="5138" width="9.28515625" style="4" bestFit="1" customWidth="1"/>
    <col min="5139" max="5139" width="8.7109375" style="4" bestFit="1" customWidth="1"/>
    <col min="5140" max="5378" width="9.140625" style="4"/>
    <col min="5379" max="5379" width="4.42578125" style="4" bestFit="1" customWidth="1"/>
    <col min="5380" max="5380" width="13.85546875" style="4" bestFit="1" customWidth="1"/>
    <col min="5381" max="5381" width="11.28515625" style="4" bestFit="1" customWidth="1"/>
    <col min="5382" max="5382" width="14.5703125" style="4" bestFit="1" customWidth="1"/>
    <col min="5383" max="5383" width="4.5703125" style="4" bestFit="1" customWidth="1"/>
    <col min="5384" max="5384" width="22.140625" style="4" bestFit="1" customWidth="1"/>
    <col min="5385" max="5385" width="24.140625" style="4" bestFit="1" customWidth="1"/>
    <col min="5386" max="5386" width="10.7109375" style="4" bestFit="1" customWidth="1"/>
    <col min="5387" max="5387" width="20" style="4" bestFit="1" customWidth="1"/>
    <col min="5388" max="5388" width="11.85546875" style="4" bestFit="1" customWidth="1"/>
    <col min="5389" max="5389" width="10.42578125" style="4" bestFit="1" customWidth="1"/>
    <col min="5390" max="5390" width="42.28515625" style="4" bestFit="1" customWidth="1"/>
    <col min="5391" max="5391" width="13.5703125" style="4" bestFit="1" customWidth="1"/>
    <col min="5392" max="5392" width="7.7109375" style="4" bestFit="1" customWidth="1"/>
    <col min="5393" max="5393" width="10.7109375" style="4" bestFit="1" customWidth="1"/>
    <col min="5394" max="5394" width="9.28515625" style="4" bestFit="1" customWidth="1"/>
    <col min="5395" max="5395" width="8.7109375" style="4" bestFit="1" customWidth="1"/>
    <col min="5396" max="5634" width="9.140625" style="4"/>
    <col min="5635" max="5635" width="4.42578125" style="4" bestFit="1" customWidth="1"/>
    <col min="5636" max="5636" width="13.85546875" style="4" bestFit="1" customWidth="1"/>
    <col min="5637" max="5637" width="11.28515625" style="4" bestFit="1" customWidth="1"/>
    <col min="5638" max="5638" width="14.5703125" style="4" bestFit="1" customWidth="1"/>
    <col min="5639" max="5639" width="4.5703125" style="4" bestFit="1" customWidth="1"/>
    <col min="5640" max="5640" width="22.140625" style="4" bestFit="1" customWidth="1"/>
    <col min="5641" max="5641" width="24.140625" style="4" bestFit="1" customWidth="1"/>
    <col min="5642" max="5642" width="10.7109375" style="4" bestFit="1" customWidth="1"/>
    <col min="5643" max="5643" width="20" style="4" bestFit="1" customWidth="1"/>
    <col min="5644" max="5644" width="11.85546875" style="4" bestFit="1" customWidth="1"/>
    <col min="5645" max="5645" width="10.42578125" style="4" bestFit="1" customWidth="1"/>
    <col min="5646" max="5646" width="42.28515625" style="4" bestFit="1" customWidth="1"/>
    <col min="5647" max="5647" width="13.5703125" style="4" bestFit="1" customWidth="1"/>
    <col min="5648" max="5648" width="7.7109375" style="4" bestFit="1" customWidth="1"/>
    <col min="5649" max="5649" width="10.7109375" style="4" bestFit="1" customWidth="1"/>
    <col min="5650" max="5650" width="9.28515625" style="4" bestFit="1" customWidth="1"/>
    <col min="5651" max="5651" width="8.7109375" style="4" bestFit="1" customWidth="1"/>
    <col min="5652" max="5890" width="9.140625" style="4"/>
    <col min="5891" max="5891" width="4.42578125" style="4" bestFit="1" customWidth="1"/>
    <col min="5892" max="5892" width="13.85546875" style="4" bestFit="1" customWidth="1"/>
    <col min="5893" max="5893" width="11.28515625" style="4" bestFit="1" customWidth="1"/>
    <col min="5894" max="5894" width="14.5703125" style="4" bestFit="1" customWidth="1"/>
    <col min="5895" max="5895" width="4.5703125" style="4" bestFit="1" customWidth="1"/>
    <col min="5896" max="5896" width="22.140625" style="4" bestFit="1" customWidth="1"/>
    <col min="5897" max="5897" width="24.140625" style="4" bestFit="1" customWidth="1"/>
    <col min="5898" max="5898" width="10.7109375" style="4" bestFit="1" customWidth="1"/>
    <col min="5899" max="5899" width="20" style="4" bestFit="1" customWidth="1"/>
    <col min="5900" max="5900" width="11.85546875" style="4" bestFit="1" customWidth="1"/>
    <col min="5901" max="5901" width="10.42578125" style="4" bestFit="1" customWidth="1"/>
    <col min="5902" max="5902" width="42.28515625" style="4" bestFit="1" customWidth="1"/>
    <col min="5903" max="5903" width="13.5703125" style="4" bestFit="1" customWidth="1"/>
    <col min="5904" max="5904" width="7.7109375" style="4" bestFit="1" customWidth="1"/>
    <col min="5905" max="5905" width="10.7109375" style="4" bestFit="1" customWidth="1"/>
    <col min="5906" max="5906" width="9.28515625" style="4" bestFit="1" customWidth="1"/>
    <col min="5907" max="5907" width="8.7109375" style="4" bestFit="1" customWidth="1"/>
    <col min="5908" max="6146" width="9.140625" style="4"/>
    <col min="6147" max="6147" width="4.42578125" style="4" bestFit="1" customWidth="1"/>
    <col min="6148" max="6148" width="13.85546875" style="4" bestFit="1" customWidth="1"/>
    <col min="6149" max="6149" width="11.28515625" style="4" bestFit="1" customWidth="1"/>
    <col min="6150" max="6150" width="14.5703125" style="4" bestFit="1" customWidth="1"/>
    <col min="6151" max="6151" width="4.5703125" style="4" bestFit="1" customWidth="1"/>
    <col min="6152" max="6152" width="22.140625" style="4" bestFit="1" customWidth="1"/>
    <col min="6153" max="6153" width="24.140625" style="4" bestFit="1" customWidth="1"/>
    <col min="6154" max="6154" width="10.7109375" style="4" bestFit="1" customWidth="1"/>
    <col min="6155" max="6155" width="20" style="4" bestFit="1" customWidth="1"/>
    <col min="6156" max="6156" width="11.85546875" style="4" bestFit="1" customWidth="1"/>
    <col min="6157" max="6157" width="10.42578125" style="4" bestFit="1" customWidth="1"/>
    <col min="6158" max="6158" width="42.28515625" style="4" bestFit="1" customWidth="1"/>
    <col min="6159" max="6159" width="13.5703125" style="4" bestFit="1" customWidth="1"/>
    <col min="6160" max="6160" width="7.7109375" style="4" bestFit="1" customWidth="1"/>
    <col min="6161" max="6161" width="10.7109375" style="4" bestFit="1" customWidth="1"/>
    <col min="6162" max="6162" width="9.28515625" style="4" bestFit="1" customWidth="1"/>
    <col min="6163" max="6163" width="8.7109375" style="4" bestFit="1" customWidth="1"/>
    <col min="6164" max="6402" width="9.140625" style="4"/>
    <col min="6403" max="6403" width="4.42578125" style="4" bestFit="1" customWidth="1"/>
    <col min="6404" max="6404" width="13.85546875" style="4" bestFit="1" customWidth="1"/>
    <col min="6405" max="6405" width="11.28515625" style="4" bestFit="1" customWidth="1"/>
    <col min="6406" max="6406" width="14.5703125" style="4" bestFit="1" customWidth="1"/>
    <col min="6407" max="6407" width="4.5703125" style="4" bestFit="1" customWidth="1"/>
    <col min="6408" max="6408" width="22.140625" style="4" bestFit="1" customWidth="1"/>
    <col min="6409" max="6409" width="24.140625" style="4" bestFit="1" customWidth="1"/>
    <col min="6410" max="6410" width="10.7109375" style="4" bestFit="1" customWidth="1"/>
    <col min="6411" max="6411" width="20" style="4" bestFit="1" customWidth="1"/>
    <col min="6412" max="6412" width="11.85546875" style="4" bestFit="1" customWidth="1"/>
    <col min="6413" max="6413" width="10.42578125" style="4" bestFit="1" customWidth="1"/>
    <col min="6414" max="6414" width="42.28515625" style="4" bestFit="1" customWidth="1"/>
    <col min="6415" max="6415" width="13.5703125" style="4" bestFit="1" customWidth="1"/>
    <col min="6416" max="6416" width="7.7109375" style="4" bestFit="1" customWidth="1"/>
    <col min="6417" max="6417" width="10.7109375" style="4" bestFit="1" customWidth="1"/>
    <col min="6418" max="6418" width="9.28515625" style="4" bestFit="1" customWidth="1"/>
    <col min="6419" max="6419" width="8.7109375" style="4" bestFit="1" customWidth="1"/>
    <col min="6420" max="6658" width="9.140625" style="4"/>
    <col min="6659" max="6659" width="4.42578125" style="4" bestFit="1" customWidth="1"/>
    <col min="6660" max="6660" width="13.85546875" style="4" bestFit="1" customWidth="1"/>
    <col min="6661" max="6661" width="11.28515625" style="4" bestFit="1" customWidth="1"/>
    <col min="6662" max="6662" width="14.5703125" style="4" bestFit="1" customWidth="1"/>
    <col min="6663" max="6663" width="4.5703125" style="4" bestFit="1" customWidth="1"/>
    <col min="6664" max="6664" width="22.140625" style="4" bestFit="1" customWidth="1"/>
    <col min="6665" max="6665" width="24.140625" style="4" bestFit="1" customWidth="1"/>
    <col min="6666" max="6666" width="10.7109375" style="4" bestFit="1" customWidth="1"/>
    <col min="6667" max="6667" width="20" style="4" bestFit="1" customWidth="1"/>
    <col min="6668" max="6668" width="11.85546875" style="4" bestFit="1" customWidth="1"/>
    <col min="6669" max="6669" width="10.42578125" style="4" bestFit="1" customWidth="1"/>
    <col min="6670" max="6670" width="42.28515625" style="4" bestFit="1" customWidth="1"/>
    <col min="6671" max="6671" width="13.5703125" style="4" bestFit="1" customWidth="1"/>
    <col min="6672" max="6672" width="7.7109375" style="4" bestFit="1" customWidth="1"/>
    <col min="6673" max="6673" width="10.7109375" style="4" bestFit="1" customWidth="1"/>
    <col min="6674" max="6674" width="9.28515625" style="4" bestFit="1" customWidth="1"/>
    <col min="6675" max="6675" width="8.7109375" style="4" bestFit="1" customWidth="1"/>
    <col min="6676" max="6914" width="9.140625" style="4"/>
    <col min="6915" max="6915" width="4.42578125" style="4" bestFit="1" customWidth="1"/>
    <col min="6916" max="6916" width="13.85546875" style="4" bestFit="1" customWidth="1"/>
    <col min="6917" max="6917" width="11.28515625" style="4" bestFit="1" customWidth="1"/>
    <col min="6918" max="6918" width="14.5703125" style="4" bestFit="1" customWidth="1"/>
    <col min="6919" max="6919" width="4.5703125" style="4" bestFit="1" customWidth="1"/>
    <col min="6920" max="6920" width="22.140625" style="4" bestFit="1" customWidth="1"/>
    <col min="6921" max="6921" width="24.140625" style="4" bestFit="1" customWidth="1"/>
    <col min="6922" max="6922" width="10.7109375" style="4" bestFit="1" customWidth="1"/>
    <col min="6923" max="6923" width="20" style="4" bestFit="1" customWidth="1"/>
    <col min="6924" max="6924" width="11.85546875" style="4" bestFit="1" customWidth="1"/>
    <col min="6925" max="6925" width="10.42578125" style="4" bestFit="1" customWidth="1"/>
    <col min="6926" max="6926" width="42.28515625" style="4" bestFit="1" customWidth="1"/>
    <col min="6927" max="6927" width="13.5703125" style="4" bestFit="1" customWidth="1"/>
    <col min="6928" max="6928" width="7.7109375" style="4" bestFit="1" customWidth="1"/>
    <col min="6929" max="6929" width="10.7109375" style="4" bestFit="1" customWidth="1"/>
    <col min="6930" max="6930" width="9.28515625" style="4" bestFit="1" customWidth="1"/>
    <col min="6931" max="6931" width="8.7109375" style="4" bestFit="1" customWidth="1"/>
    <col min="6932" max="7170" width="9.140625" style="4"/>
    <col min="7171" max="7171" width="4.42578125" style="4" bestFit="1" customWidth="1"/>
    <col min="7172" max="7172" width="13.85546875" style="4" bestFit="1" customWidth="1"/>
    <col min="7173" max="7173" width="11.28515625" style="4" bestFit="1" customWidth="1"/>
    <col min="7174" max="7174" width="14.5703125" style="4" bestFit="1" customWidth="1"/>
    <col min="7175" max="7175" width="4.5703125" style="4" bestFit="1" customWidth="1"/>
    <col min="7176" max="7176" width="22.140625" style="4" bestFit="1" customWidth="1"/>
    <col min="7177" max="7177" width="24.140625" style="4" bestFit="1" customWidth="1"/>
    <col min="7178" max="7178" width="10.7109375" style="4" bestFit="1" customWidth="1"/>
    <col min="7179" max="7179" width="20" style="4" bestFit="1" customWidth="1"/>
    <col min="7180" max="7180" width="11.85546875" style="4" bestFit="1" customWidth="1"/>
    <col min="7181" max="7181" width="10.42578125" style="4" bestFit="1" customWidth="1"/>
    <col min="7182" max="7182" width="42.28515625" style="4" bestFit="1" customWidth="1"/>
    <col min="7183" max="7183" width="13.5703125" style="4" bestFit="1" customWidth="1"/>
    <col min="7184" max="7184" width="7.7109375" style="4" bestFit="1" customWidth="1"/>
    <col min="7185" max="7185" width="10.7109375" style="4" bestFit="1" customWidth="1"/>
    <col min="7186" max="7186" width="9.28515625" style="4" bestFit="1" customWidth="1"/>
    <col min="7187" max="7187" width="8.7109375" style="4" bestFit="1" customWidth="1"/>
    <col min="7188" max="7426" width="9.140625" style="4"/>
    <col min="7427" max="7427" width="4.42578125" style="4" bestFit="1" customWidth="1"/>
    <col min="7428" max="7428" width="13.85546875" style="4" bestFit="1" customWidth="1"/>
    <col min="7429" max="7429" width="11.28515625" style="4" bestFit="1" customWidth="1"/>
    <col min="7430" max="7430" width="14.5703125" style="4" bestFit="1" customWidth="1"/>
    <col min="7431" max="7431" width="4.5703125" style="4" bestFit="1" customWidth="1"/>
    <col min="7432" max="7432" width="22.140625" style="4" bestFit="1" customWidth="1"/>
    <col min="7433" max="7433" width="24.140625" style="4" bestFit="1" customWidth="1"/>
    <col min="7434" max="7434" width="10.7109375" style="4" bestFit="1" customWidth="1"/>
    <col min="7435" max="7435" width="20" style="4" bestFit="1" customWidth="1"/>
    <col min="7436" max="7436" width="11.85546875" style="4" bestFit="1" customWidth="1"/>
    <col min="7437" max="7437" width="10.42578125" style="4" bestFit="1" customWidth="1"/>
    <col min="7438" max="7438" width="42.28515625" style="4" bestFit="1" customWidth="1"/>
    <col min="7439" max="7439" width="13.5703125" style="4" bestFit="1" customWidth="1"/>
    <col min="7440" max="7440" width="7.7109375" style="4" bestFit="1" customWidth="1"/>
    <col min="7441" max="7441" width="10.7109375" style="4" bestFit="1" customWidth="1"/>
    <col min="7442" max="7442" width="9.28515625" style="4" bestFit="1" customWidth="1"/>
    <col min="7443" max="7443" width="8.7109375" style="4" bestFit="1" customWidth="1"/>
    <col min="7444" max="7682" width="9.140625" style="4"/>
    <col min="7683" max="7683" width="4.42578125" style="4" bestFit="1" customWidth="1"/>
    <col min="7684" max="7684" width="13.85546875" style="4" bestFit="1" customWidth="1"/>
    <col min="7685" max="7685" width="11.28515625" style="4" bestFit="1" customWidth="1"/>
    <col min="7686" max="7686" width="14.5703125" style="4" bestFit="1" customWidth="1"/>
    <col min="7687" max="7687" width="4.5703125" style="4" bestFit="1" customWidth="1"/>
    <col min="7688" max="7688" width="22.140625" style="4" bestFit="1" customWidth="1"/>
    <col min="7689" max="7689" width="24.140625" style="4" bestFit="1" customWidth="1"/>
    <col min="7690" max="7690" width="10.7109375" style="4" bestFit="1" customWidth="1"/>
    <col min="7691" max="7691" width="20" style="4" bestFit="1" customWidth="1"/>
    <col min="7692" max="7692" width="11.85546875" style="4" bestFit="1" customWidth="1"/>
    <col min="7693" max="7693" width="10.42578125" style="4" bestFit="1" customWidth="1"/>
    <col min="7694" max="7694" width="42.28515625" style="4" bestFit="1" customWidth="1"/>
    <col min="7695" max="7695" width="13.5703125" style="4" bestFit="1" customWidth="1"/>
    <col min="7696" max="7696" width="7.7109375" style="4" bestFit="1" customWidth="1"/>
    <col min="7697" max="7697" width="10.7109375" style="4" bestFit="1" customWidth="1"/>
    <col min="7698" max="7698" width="9.28515625" style="4" bestFit="1" customWidth="1"/>
    <col min="7699" max="7699" width="8.7109375" style="4" bestFit="1" customWidth="1"/>
    <col min="7700" max="7938" width="9.140625" style="4"/>
    <col min="7939" max="7939" width="4.42578125" style="4" bestFit="1" customWidth="1"/>
    <col min="7940" max="7940" width="13.85546875" style="4" bestFit="1" customWidth="1"/>
    <col min="7941" max="7941" width="11.28515625" style="4" bestFit="1" customWidth="1"/>
    <col min="7942" max="7942" width="14.5703125" style="4" bestFit="1" customWidth="1"/>
    <col min="7943" max="7943" width="4.5703125" style="4" bestFit="1" customWidth="1"/>
    <col min="7944" max="7944" width="22.140625" style="4" bestFit="1" customWidth="1"/>
    <col min="7945" max="7945" width="24.140625" style="4" bestFit="1" customWidth="1"/>
    <col min="7946" max="7946" width="10.7109375" style="4" bestFit="1" customWidth="1"/>
    <col min="7947" max="7947" width="20" style="4" bestFit="1" customWidth="1"/>
    <col min="7948" max="7948" width="11.85546875" style="4" bestFit="1" customWidth="1"/>
    <col min="7949" max="7949" width="10.42578125" style="4" bestFit="1" customWidth="1"/>
    <col min="7950" max="7950" width="42.28515625" style="4" bestFit="1" customWidth="1"/>
    <col min="7951" max="7951" width="13.5703125" style="4" bestFit="1" customWidth="1"/>
    <col min="7952" max="7952" width="7.7109375" style="4" bestFit="1" customWidth="1"/>
    <col min="7953" max="7953" width="10.7109375" style="4" bestFit="1" customWidth="1"/>
    <col min="7954" max="7954" width="9.28515625" style="4" bestFit="1" customWidth="1"/>
    <col min="7955" max="7955" width="8.7109375" style="4" bestFit="1" customWidth="1"/>
    <col min="7956" max="8194" width="9.140625" style="4"/>
    <col min="8195" max="8195" width="4.42578125" style="4" bestFit="1" customWidth="1"/>
    <col min="8196" max="8196" width="13.85546875" style="4" bestFit="1" customWidth="1"/>
    <col min="8197" max="8197" width="11.28515625" style="4" bestFit="1" customWidth="1"/>
    <col min="8198" max="8198" width="14.5703125" style="4" bestFit="1" customWidth="1"/>
    <col min="8199" max="8199" width="4.5703125" style="4" bestFit="1" customWidth="1"/>
    <col min="8200" max="8200" width="22.140625" style="4" bestFit="1" customWidth="1"/>
    <col min="8201" max="8201" width="24.140625" style="4" bestFit="1" customWidth="1"/>
    <col min="8202" max="8202" width="10.7109375" style="4" bestFit="1" customWidth="1"/>
    <col min="8203" max="8203" width="20" style="4" bestFit="1" customWidth="1"/>
    <col min="8204" max="8204" width="11.85546875" style="4" bestFit="1" customWidth="1"/>
    <col min="8205" max="8205" width="10.42578125" style="4" bestFit="1" customWidth="1"/>
    <col min="8206" max="8206" width="42.28515625" style="4" bestFit="1" customWidth="1"/>
    <col min="8207" max="8207" width="13.5703125" style="4" bestFit="1" customWidth="1"/>
    <col min="8208" max="8208" width="7.7109375" style="4" bestFit="1" customWidth="1"/>
    <col min="8209" max="8209" width="10.7109375" style="4" bestFit="1" customWidth="1"/>
    <col min="8210" max="8210" width="9.28515625" style="4" bestFit="1" customWidth="1"/>
    <col min="8211" max="8211" width="8.7109375" style="4" bestFit="1" customWidth="1"/>
    <col min="8212" max="8450" width="9.140625" style="4"/>
    <col min="8451" max="8451" width="4.42578125" style="4" bestFit="1" customWidth="1"/>
    <col min="8452" max="8452" width="13.85546875" style="4" bestFit="1" customWidth="1"/>
    <col min="8453" max="8453" width="11.28515625" style="4" bestFit="1" customWidth="1"/>
    <col min="8454" max="8454" width="14.5703125" style="4" bestFit="1" customWidth="1"/>
    <col min="8455" max="8455" width="4.5703125" style="4" bestFit="1" customWidth="1"/>
    <col min="8456" max="8456" width="22.140625" style="4" bestFit="1" customWidth="1"/>
    <col min="8457" max="8457" width="24.140625" style="4" bestFit="1" customWidth="1"/>
    <col min="8458" max="8458" width="10.7109375" style="4" bestFit="1" customWidth="1"/>
    <col min="8459" max="8459" width="20" style="4" bestFit="1" customWidth="1"/>
    <col min="8460" max="8460" width="11.85546875" style="4" bestFit="1" customWidth="1"/>
    <col min="8461" max="8461" width="10.42578125" style="4" bestFit="1" customWidth="1"/>
    <col min="8462" max="8462" width="42.28515625" style="4" bestFit="1" customWidth="1"/>
    <col min="8463" max="8463" width="13.5703125" style="4" bestFit="1" customWidth="1"/>
    <col min="8464" max="8464" width="7.7109375" style="4" bestFit="1" customWidth="1"/>
    <col min="8465" max="8465" width="10.7109375" style="4" bestFit="1" customWidth="1"/>
    <col min="8466" max="8466" width="9.28515625" style="4" bestFit="1" customWidth="1"/>
    <col min="8467" max="8467" width="8.7109375" style="4" bestFit="1" customWidth="1"/>
    <col min="8468" max="8706" width="9.140625" style="4"/>
    <col min="8707" max="8707" width="4.42578125" style="4" bestFit="1" customWidth="1"/>
    <col min="8708" max="8708" width="13.85546875" style="4" bestFit="1" customWidth="1"/>
    <col min="8709" max="8709" width="11.28515625" style="4" bestFit="1" customWidth="1"/>
    <col min="8710" max="8710" width="14.5703125" style="4" bestFit="1" customWidth="1"/>
    <col min="8711" max="8711" width="4.5703125" style="4" bestFit="1" customWidth="1"/>
    <col min="8712" max="8712" width="22.140625" style="4" bestFit="1" customWidth="1"/>
    <col min="8713" max="8713" width="24.140625" style="4" bestFit="1" customWidth="1"/>
    <col min="8714" max="8714" width="10.7109375" style="4" bestFit="1" customWidth="1"/>
    <col min="8715" max="8715" width="20" style="4" bestFit="1" customWidth="1"/>
    <col min="8716" max="8716" width="11.85546875" style="4" bestFit="1" customWidth="1"/>
    <col min="8717" max="8717" width="10.42578125" style="4" bestFit="1" customWidth="1"/>
    <col min="8718" max="8718" width="42.28515625" style="4" bestFit="1" customWidth="1"/>
    <col min="8719" max="8719" width="13.5703125" style="4" bestFit="1" customWidth="1"/>
    <col min="8720" max="8720" width="7.7109375" style="4" bestFit="1" customWidth="1"/>
    <col min="8721" max="8721" width="10.7109375" style="4" bestFit="1" customWidth="1"/>
    <col min="8722" max="8722" width="9.28515625" style="4" bestFit="1" customWidth="1"/>
    <col min="8723" max="8723" width="8.7109375" style="4" bestFit="1" customWidth="1"/>
    <col min="8724" max="8962" width="9.140625" style="4"/>
    <col min="8963" max="8963" width="4.42578125" style="4" bestFit="1" customWidth="1"/>
    <col min="8964" max="8964" width="13.85546875" style="4" bestFit="1" customWidth="1"/>
    <col min="8965" max="8965" width="11.28515625" style="4" bestFit="1" customWidth="1"/>
    <col min="8966" max="8966" width="14.5703125" style="4" bestFit="1" customWidth="1"/>
    <col min="8967" max="8967" width="4.5703125" style="4" bestFit="1" customWidth="1"/>
    <col min="8968" max="8968" width="22.140625" style="4" bestFit="1" customWidth="1"/>
    <col min="8969" max="8969" width="24.140625" style="4" bestFit="1" customWidth="1"/>
    <col min="8970" max="8970" width="10.7109375" style="4" bestFit="1" customWidth="1"/>
    <col min="8971" max="8971" width="20" style="4" bestFit="1" customWidth="1"/>
    <col min="8972" max="8972" width="11.85546875" style="4" bestFit="1" customWidth="1"/>
    <col min="8973" max="8973" width="10.42578125" style="4" bestFit="1" customWidth="1"/>
    <col min="8974" max="8974" width="42.28515625" style="4" bestFit="1" customWidth="1"/>
    <col min="8975" max="8975" width="13.5703125" style="4" bestFit="1" customWidth="1"/>
    <col min="8976" max="8976" width="7.7109375" style="4" bestFit="1" customWidth="1"/>
    <col min="8977" max="8977" width="10.7109375" style="4" bestFit="1" customWidth="1"/>
    <col min="8978" max="8978" width="9.28515625" style="4" bestFit="1" customWidth="1"/>
    <col min="8979" max="8979" width="8.7109375" style="4" bestFit="1" customWidth="1"/>
    <col min="8980" max="9218" width="9.140625" style="4"/>
    <col min="9219" max="9219" width="4.42578125" style="4" bestFit="1" customWidth="1"/>
    <col min="9220" max="9220" width="13.85546875" style="4" bestFit="1" customWidth="1"/>
    <col min="9221" max="9221" width="11.28515625" style="4" bestFit="1" customWidth="1"/>
    <col min="9222" max="9222" width="14.5703125" style="4" bestFit="1" customWidth="1"/>
    <col min="9223" max="9223" width="4.5703125" style="4" bestFit="1" customWidth="1"/>
    <col min="9224" max="9224" width="22.140625" style="4" bestFit="1" customWidth="1"/>
    <col min="9225" max="9225" width="24.140625" style="4" bestFit="1" customWidth="1"/>
    <col min="9226" max="9226" width="10.7109375" style="4" bestFit="1" customWidth="1"/>
    <col min="9227" max="9227" width="20" style="4" bestFit="1" customWidth="1"/>
    <col min="9228" max="9228" width="11.85546875" style="4" bestFit="1" customWidth="1"/>
    <col min="9229" max="9229" width="10.42578125" style="4" bestFit="1" customWidth="1"/>
    <col min="9230" max="9230" width="42.28515625" style="4" bestFit="1" customWidth="1"/>
    <col min="9231" max="9231" width="13.5703125" style="4" bestFit="1" customWidth="1"/>
    <col min="9232" max="9232" width="7.7109375" style="4" bestFit="1" customWidth="1"/>
    <col min="9233" max="9233" width="10.7109375" style="4" bestFit="1" customWidth="1"/>
    <col min="9234" max="9234" width="9.28515625" style="4" bestFit="1" customWidth="1"/>
    <col min="9235" max="9235" width="8.7109375" style="4" bestFit="1" customWidth="1"/>
    <col min="9236" max="9474" width="9.140625" style="4"/>
    <col min="9475" max="9475" width="4.42578125" style="4" bestFit="1" customWidth="1"/>
    <col min="9476" max="9476" width="13.85546875" style="4" bestFit="1" customWidth="1"/>
    <col min="9477" max="9477" width="11.28515625" style="4" bestFit="1" customWidth="1"/>
    <col min="9478" max="9478" width="14.5703125" style="4" bestFit="1" customWidth="1"/>
    <col min="9479" max="9479" width="4.5703125" style="4" bestFit="1" customWidth="1"/>
    <col min="9480" max="9480" width="22.140625" style="4" bestFit="1" customWidth="1"/>
    <col min="9481" max="9481" width="24.140625" style="4" bestFit="1" customWidth="1"/>
    <col min="9482" max="9482" width="10.7109375" style="4" bestFit="1" customWidth="1"/>
    <col min="9483" max="9483" width="20" style="4" bestFit="1" customWidth="1"/>
    <col min="9484" max="9484" width="11.85546875" style="4" bestFit="1" customWidth="1"/>
    <col min="9485" max="9485" width="10.42578125" style="4" bestFit="1" customWidth="1"/>
    <col min="9486" max="9486" width="42.28515625" style="4" bestFit="1" customWidth="1"/>
    <col min="9487" max="9487" width="13.5703125" style="4" bestFit="1" customWidth="1"/>
    <col min="9488" max="9488" width="7.7109375" style="4" bestFit="1" customWidth="1"/>
    <col min="9489" max="9489" width="10.7109375" style="4" bestFit="1" customWidth="1"/>
    <col min="9490" max="9490" width="9.28515625" style="4" bestFit="1" customWidth="1"/>
    <col min="9491" max="9491" width="8.7109375" style="4" bestFit="1" customWidth="1"/>
    <col min="9492" max="9730" width="9.140625" style="4"/>
    <col min="9731" max="9731" width="4.42578125" style="4" bestFit="1" customWidth="1"/>
    <col min="9732" max="9732" width="13.85546875" style="4" bestFit="1" customWidth="1"/>
    <col min="9733" max="9733" width="11.28515625" style="4" bestFit="1" customWidth="1"/>
    <col min="9734" max="9734" width="14.5703125" style="4" bestFit="1" customWidth="1"/>
    <col min="9735" max="9735" width="4.5703125" style="4" bestFit="1" customWidth="1"/>
    <col min="9736" max="9736" width="22.140625" style="4" bestFit="1" customWidth="1"/>
    <col min="9737" max="9737" width="24.140625" style="4" bestFit="1" customWidth="1"/>
    <col min="9738" max="9738" width="10.7109375" style="4" bestFit="1" customWidth="1"/>
    <col min="9739" max="9739" width="20" style="4" bestFit="1" customWidth="1"/>
    <col min="9740" max="9740" width="11.85546875" style="4" bestFit="1" customWidth="1"/>
    <col min="9741" max="9741" width="10.42578125" style="4" bestFit="1" customWidth="1"/>
    <col min="9742" max="9742" width="42.28515625" style="4" bestFit="1" customWidth="1"/>
    <col min="9743" max="9743" width="13.5703125" style="4" bestFit="1" customWidth="1"/>
    <col min="9744" max="9744" width="7.7109375" style="4" bestFit="1" customWidth="1"/>
    <col min="9745" max="9745" width="10.7109375" style="4" bestFit="1" customWidth="1"/>
    <col min="9746" max="9746" width="9.28515625" style="4" bestFit="1" customWidth="1"/>
    <col min="9747" max="9747" width="8.7109375" style="4" bestFit="1" customWidth="1"/>
    <col min="9748" max="9986" width="9.140625" style="4"/>
    <col min="9987" max="9987" width="4.42578125" style="4" bestFit="1" customWidth="1"/>
    <col min="9988" max="9988" width="13.85546875" style="4" bestFit="1" customWidth="1"/>
    <col min="9989" max="9989" width="11.28515625" style="4" bestFit="1" customWidth="1"/>
    <col min="9990" max="9990" width="14.5703125" style="4" bestFit="1" customWidth="1"/>
    <col min="9991" max="9991" width="4.5703125" style="4" bestFit="1" customWidth="1"/>
    <col min="9992" max="9992" width="22.140625" style="4" bestFit="1" customWidth="1"/>
    <col min="9993" max="9993" width="24.140625" style="4" bestFit="1" customWidth="1"/>
    <col min="9994" max="9994" width="10.7109375" style="4" bestFit="1" customWidth="1"/>
    <col min="9995" max="9995" width="20" style="4" bestFit="1" customWidth="1"/>
    <col min="9996" max="9996" width="11.85546875" style="4" bestFit="1" customWidth="1"/>
    <col min="9997" max="9997" width="10.42578125" style="4" bestFit="1" customWidth="1"/>
    <col min="9998" max="9998" width="42.28515625" style="4" bestFit="1" customWidth="1"/>
    <col min="9999" max="9999" width="13.5703125" style="4" bestFit="1" customWidth="1"/>
    <col min="10000" max="10000" width="7.7109375" style="4" bestFit="1" customWidth="1"/>
    <col min="10001" max="10001" width="10.7109375" style="4" bestFit="1" customWidth="1"/>
    <col min="10002" max="10002" width="9.28515625" style="4" bestFit="1" customWidth="1"/>
    <col min="10003" max="10003" width="8.7109375" style="4" bestFit="1" customWidth="1"/>
    <col min="10004" max="10242" width="9.140625" style="4"/>
    <col min="10243" max="10243" width="4.42578125" style="4" bestFit="1" customWidth="1"/>
    <col min="10244" max="10244" width="13.85546875" style="4" bestFit="1" customWidth="1"/>
    <col min="10245" max="10245" width="11.28515625" style="4" bestFit="1" customWidth="1"/>
    <col min="10246" max="10246" width="14.5703125" style="4" bestFit="1" customWidth="1"/>
    <col min="10247" max="10247" width="4.5703125" style="4" bestFit="1" customWidth="1"/>
    <col min="10248" max="10248" width="22.140625" style="4" bestFit="1" customWidth="1"/>
    <col min="10249" max="10249" width="24.140625" style="4" bestFit="1" customWidth="1"/>
    <col min="10250" max="10250" width="10.7109375" style="4" bestFit="1" customWidth="1"/>
    <col min="10251" max="10251" width="20" style="4" bestFit="1" customWidth="1"/>
    <col min="10252" max="10252" width="11.85546875" style="4" bestFit="1" customWidth="1"/>
    <col min="10253" max="10253" width="10.42578125" style="4" bestFit="1" customWidth="1"/>
    <col min="10254" max="10254" width="42.28515625" style="4" bestFit="1" customWidth="1"/>
    <col min="10255" max="10255" width="13.5703125" style="4" bestFit="1" customWidth="1"/>
    <col min="10256" max="10256" width="7.7109375" style="4" bestFit="1" customWidth="1"/>
    <col min="10257" max="10257" width="10.7109375" style="4" bestFit="1" customWidth="1"/>
    <col min="10258" max="10258" width="9.28515625" style="4" bestFit="1" customWidth="1"/>
    <col min="10259" max="10259" width="8.7109375" style="4" bestFit="1" customWidth="1"/>
    <col min="10260" max="10498" width="9.140625" style="4"/>
    <col min="10499" max="10499" width="4.42578125" style="4" bestFit="1" customWidth="1"/>
    <col min="10500" max="10500" width="13.85546875" style="4" bestFit="1" customWidth="1"/>
    <col min="10501" max="10501" width="11.28515625" style="4" bestFit="1" customWidth="1"/>
    <col min="10502" max="10502" width="14.5703125" style="4" bestFit="1" customWidth="1"/>
    <col min="10503" max="10503" width="4.5703125" style="4" bestFit="1" customWidth="1"/>
    <col min="10504" max="10504" width="22.140625" style="4" bestFit="1" customWidth="1"/>
    <col min="10505" max="10505" width="24.140625" style="4" bestFit="1" customWidth="1"/>
    <col min="10506" max="10506" width="10.7109375" style="4" bestFit="1" customWidth="1"/>
    <col min="10507" max="10507" width="20" style="4" bestFit="1" customWidth="1"/>
    <col min="10508" max="10508" width="11.85546875" style="4" bestFit="1" customWidth="1"/>
    <col min="10509" max="10509" width="10.42578125" style="4" bestFit="1" customWidth="1"/>
    <col min="10510" max="10510" width="42.28515625" style="4" bestFit="1" customWidth="1"/>
    <col min="10511" max="10511" width="13.5703125" style="4" bestFit="1" customWidth="1"/>
    <col min="10512" max="10512" width="7.7109375" style="4" bestFit="1" customWidth="1"/>
    <col min="10513" max="10513" width="10.7109375" style="4" bestFit="1" customWidth="1"/>
    <col min="10514" max="10514" width="9.28515625" style="4" bestFit="1" customWidth="1"/>
    <col min="10515" max="10515" width="8.7109375" style="4" bestFit="1" customWidth="1"/>
    <col min="10516" max="10754" width="9.140625" style="4"/>
    <col min="10755" max="10755" width="4.42578125" style="4" bestFit="1" customWidth="1"/>
    <col min="10756" max="10756" width="13.85546875" style="4" bestFit="1" customWidth="1"/>
    <col min="10757" max="10757" width="11.28515625" style="4" bestFit="1" customWidth="1"/>
    <col min="10758" max="10758" width="14.5703125" style="4" bestFit="1" customWidth="1"/>
    <col min="10759" max="10759" width="4.5703125" style="4" bestFit="1" customWidth="1"/>
    <col min="10760" max="10760" width="22.140625" style="4" bestFit="1" customWidth="1"/>
    <col min="10761" max="10761" width="24.140625" style="4" bestFit="1" customWidth="1"/>
    <col min="10762" max="10762" width="10.7109375" style="4" bestFit="1" customWidth="1"/>
    <col min="10763" max="10763" width="20" style="4" bestFit="1" customWidth="1"/>
    <col min="10764" max="10764" width="11.85546875" style="4" bestFit="1" customWidth="1"/>
    <col min="10765" max="10765" width="10.42578125" style="4" bestFit="1" customWidth="1"/>
    <col min="10766" max="10766" width="42.28515625" style="4" bestFit="1" customWidth="1"/>
    <col min="10767" max="10767" width="13.5703125" style="4" bestFit="1" customWidth="1"/>
    <col min="10768" max="10768" width="7.7109375" style="4" bestFit="1" customWidth="1"/>
    <col min="10769" max="10769" width="10.7109375" style="4" bestFit="1" customWidth="1"/>
    <col min="10770" max="10770" width="9.28515625" style="4" bestFit="1" customWidth="1"/>
    <col min="10771" max="10771" width="8.7109375" style="4" bestFit="1" customWidth="1"/>
    <col min="10772" max="11010" width="9.140625" style="4"/>
    <col min="11011" max="11011" width="4.42578125" style="4" bestFit="1" customWidth="1"/>
    <col min="11012" max="11012" width="13.85546875" style="4" bestFit="1" customWidth="1"/>
    <col min="11013" max="11013" width="11.28515625" style="4" bestFit="1" customWidth="1"/>
    <col min="11014" max="11014" width="14.5703125" style="4" bestFit="1" customWidth="1"/>
    <col min="11015" max="11015" width="4.5703125" style="4" bestFit="1" customWidth="1"/>
    <col min="11016" max="11016" width="22.140625" style="4" bestFit="1" customWidth="1"/>
    <col min="11017" max="11017" width="24.140625" style="4" bestFit="1" customWidth="1"/>
    <col min="11018" max="11018" width="10.7109375" style="4" bestFit="1" customWidth="1"/>
    <col min="11019" max="11019" width="20" style="4" bestFit="1" customWidth="1"/>
    <col min="11020" max="11020" width="11.85546875" style="4" bestFit="1" customWidth="1"/>
    <col min="11021" max="11021" width="10.42578125" style="4" bestFit="1" customWidth="1"/>
    <col min="11022" max="11022" width="42.28515625" style="4" bestFit="1" customWidth="1"/>
    <col min="11023" max="11023" width="13.5703125" style="4" bestFit="1" customWidth="1"/>
    <col min="11024" max="11024" width="7.7109375" style="4" bestFit="1" customWidth="1"/>
    <col min="11025" max="11025" width="10.7109375" style="4" bestFit="1" customWidth="1"/>
    <col min="11026" max="11026" width="9.28515625" style="4" bestFit="1" customWidth="1"/>
    <col min="11027" max="11027" width="8.7109375" style="4" bestFit="1" customWidth="1"/>
    <col min="11028" max="11266" width="9.140625" style="4"/>
    <col min="11267" max="11267" width="4.42578125" style="4" bestFit="1" customWidth="1"/>
    <col min="11268" max="11268" width="13.85546875" style="4" bestFit="1" customWidth="1"/>
    <col min="11269" max="11269" width="11.28515625" style="4" bestFit="1" customWidth="1"/>
    <col min="11270" max="11270" width="14.5703125" style="4" bestFit="1" customWidth="1"/>
    <col min="11271" max="11271" width="4.5703125" style="4" bestFit="1" customWidth="1"/>
    <col min="11272" max="11272" width="22.140625" style="4" bestFit="1" customWidth="1"/>
    <col min="11273" max="11273" width="24.140625" style="4" bestFit="1" customWidth="1"/>
    <col min="11274" max="11274" width="10.7109375" style="4" bestFit="1" customWidth="1"/>
    <col min="11275" max="11275" width="20" style="4" bestFit="1" customWidth="1"/>
    <col min="11276" max="11276" width="11.85546875" style="4" bestFit="1" customWidth="1"/>
    <col min="11277" max="11277" width="10.42578125" style="4" bestFit="1" customWidth="1"/>
    <col min="11278" max="11278" width="42.28515625" style="4" bestFit="1" customWidth="1"/>
    <col min="11279" max="11279" width="13.5703125" style="4" bestFit="1" customWidth="1"/>
    <col min="11280" max="11280" width="7.7109375" style="4" bestFit="1" customWidth="1"/>
    <col min="11281" max="11281" width="10.7109375" style="4" bestFit="1" customWidth="1"/>
    <col min="11282" max="11282" width="9.28515625" style="4" bestFit="1" customWidth="1"/>
    <col min="11283" max="11283" width="8.7109375" style="4" bestFit="1" customWidth="1"/>
    <col min="11284" max="11522" width="9.140625" style="4"/>
    <col min="11523" max="11523" width="4.42578125" style="4" bestFit="1" customWidth="1"/>
    <col min="11524" max="11524" width="13.85546875" style="4" bestFit="1" customWidth="1"/>
    <col min="11525" max="11525" width="11.28515625" style="4" bestFit="1" customWidth="1"/>
    <col min="11526" max="11526" width="14.5703125" style="4" bestFit="1" customWidth="1"/>
    <col min="11527" max="11527" width="4.5703125" style="4" bestFit="1" customWidth="1"/>
    <col min="11528" max="11528" width="22.140625" style="4" bestFit="1" customWidth="1"/>
    <col min="11529" max="11529" width="24.140625" style="4" bestFit="1" customWidth="1"/>
    <col min="11530" max="11530" width="10.7109375" style="4" bestFit="1" customWidth="1"/>
    <col min="11531" max="11531" width="20" style="4" bestFit="1" customWidth="1"/>
    <col min="11532" max="11532" width="11.85546875" style="4" bestFit="1" customWidth="1"/>
    <col min="11533" max="11533" width="10.42578125" style="4" bestFit="1" customWidth="1"/>
    <col min="11534" max="11534" width="42.28515625" style="4" bestFit="1" customWidth="1"/>
    <col min="11535" max="11535" width="13.5703125" style="4" bestFit="1" customWidth="1"/>
    <col min="11536" max="11536" width="7.7109375" style="4" bestFit="1" customWidth="1"/>
    <col min="11537" max="11537" width="10.7109375" style="4" bestFit="1" customWidth="1"/>
    <col min="11538" max="11538" width="9.28515625" style="4" bestFit="1" customWidth="1"/>
    <col min="11539" max="11539" width="8.7109375" style="4" bestFit="1" customWidth="1"/>
    <col min="11540" max="11778" width="9.140625" style="4"/>
    <col min="11779" max="11779" width="4.42578125" style="4" bestFit="1" customWidth="1"/>
    <col min="11780" max="11780" width="13.85546875" style="4" bestFit="1" customWidth="1"/>
    <col min="11781" max="11781" width="11.28515625" style="4" bestFit="1" customWidth="1"/>
    <col min="11782" max="11782" width="14.5703125" style="4" bestFit="1" customWidth="1"/>
    <col min="11783" max="11783" width="4.5703125" style="4" bestFit="1" customWidth="1"/>
    <col min="11784" max="11784" width="22.140625" style="4" bestFit="1" customWidth="1"/>
    <col min="11785" max="11785" width="24.140625" style="4" bestFit="1" customWidth="1"/>
    <col min="11786" max="11786" width="10.7109375" style="4" bestFit="1" customWidth="1"/>
    <col min="11787" max="11787" width="20" style="4" bestFit="1" customWidth="1"/>
    <col min="11788" max="11788" width="11.85546875" style="4" bestFit="1" customWidth="1"/>
    <col min="11789" max="11789" width="10.42578125" style="4" bestFit="1" customWidth="1"/>
    <col min="11790" max="11790" width="42.28515625" style="4" bestFit="1" customWidth="1"/>
    <col min="11791" max="11791" width="13.5703125" style="4" bestFit="1" customWidth="1"/>
    <col min="11792" max="11792" width="7.7109375" style="4" bestFit="1" customWidth="1"/>
    <col min="11793" max="11793" width="10.7109375" style="4" bestFit="1" customWidth="1"/>
    <col min="11794" max="11794" width="9.28515625" style="4" bestFit="1" customWidth="1"/>
    <col min="11795" max="11795" width="8.7109375" style="4" bestFit="1" customWidth="1"/>
    <col min="11796" max="12034" width="9.140625" style="4"/>
    <col min="12035" max="12035" width="4.42578125" style="4" bestFit="1" customWidth="1"/>
    <col min="12036" max="12036" width="13.85546875" style="4" bestFit="1" customWidth="1"/>
    <col min="12037" max="12037" width="11.28515625" style="4" bestFit="1" customWidth="1"/>
    <col min="12038" max="12038" width="14.5703125" style="4" bestFit="1" customWidth="1"/>
    <col min="12039" max="12039" width="4.5703125" style="4" bestFit="1" customWidth="1"/>
    <col min="12040" max="12040" width="22.140625" style="4" bestFit="1" customWidth="1"/>
    <col min="12041" max="12041" width="24.140625" style="4" bestFit="1" customWidth="1"/>
    <col min="12042" max="12042" width="10.7109375" style="4" bestFit="1" customWidth="1"/>
    <col min="12043" max="12043" width="20" style="4" bestFit="1" customWidth="1"/>
    <col min="12044" max="12044" width="11.85546875" style="4" bestFit="1" customWidth="1"/>
    <col min="12045" max="12045" width="10.42578125" style="4" bestFit="1" customWidth="1"/>
    <col min="12046" max="12046" width="42.28515625" style="4" bestFit="1" customWidth="1"/>
    <col min="12047" max="12047" width="13.5703125" style="4" bestFit="1" customWidth="1"/>
    <col min="12048" max="12048" width="7.7109375" style="4" bestFit="1" customWidth="1"/>
    <col min="12049" max="12049" width="10.7109375" style="4" bestFit="1" customWidth="1"/>
    <col min="12050" max="12050" width="9.28515625" style="4" bestFit="1" customWidth="1"/>
    <col min="12051" max="12051" width="8.7109375" style="4" bestFit="1" customWidth="1"/>
    <col min="12052" max="12290" width="9.140625" style="4"/>
    <col min="12291" max="12291" width="4.42578125" style="4" bestFit="1" customWidth="1"/>
    <col min="12292" max="12292" width="13.85546875" style="4" bestFit="1" customWidth="1"/>
    <col min="12293" max="12293" width="11.28515625" style="4" bestFit="1" customWidth="1"/>
    <col min="12294" max="12294" width="14.5703125" style="4" bestFit="1" customWidth="1"/>
    <col min="12295" max="12295" width="4.5703125" style="4" bestFit="1" customWidth="1"/>
    <col min="12296" max="12296" width="22.140625" style="4" bestFit="1" customWidth="1"/>
    <col min="12297" max="12297" width="24.140625" style="4" bestFit="1" customWidth="1"/>
    <col min="12298" max="12298" width="10.7109375" style="4" bestFit="1" customWidth="1"/>
    <col min="12299" max="12299" width="20" style="4" bestFit="1" customWidth="1"/>
    <col min="12300" max="12300" width="11.85546875" style="4" bestFit="1" customWidth="1"/>
    <col min="12301" max="12301" width="10.42578125" style="4" bestFit="1" customWidth="1"/>
    <col min="12302" max="12302" width="42.28515625" style="4" bestFit="1" customWidth="1"/>
    <col min="12303" max="12303" width="13.5703125" style="4" bestFit="1" customWidth="1"/>
    <col min="12304" max="12304" width="7.7109375" style="4" bestFit="1" customWidth="1"/>
    <col min="12305" max="12305" width="10.7109375" style="4" bestFit="1" customWidth="1"/>
    <col min="12306" max="12306" width="9.28515625" style="4" bestFit="1" customWidth="1"/>
    <col min="12307" max="12307" width="8.7109375" style="4" bestFit="1" customWidth="1"/>
    <col min="12308" max="12546" width="9.140625" style="4"/>
    <col min="12547" max="12547" width="4.42578125" style="4" bestFit="1" customWidth="1"/>
    <col min="12548" max="12548" width="13.85546875" style="4" bestFit="1" customWidth="1"/>
    <col min="12549" max="12549" width="11.28515625" style="4" bestFit="1" customWidth="1"/>
    <col min="12550" max="12550" width="14.5703125" style="4" bestFit="1" customWidth="1"/>
    <col min="12551" max="12551" width="4.5703125" style="4" bestFit="1" customWidth="1"/>
    <col min="12552" max="12552" width="22.140625" style="4" bestFit="1" customWidth="1"/>
    <col min="12553" max="12553" width="24.140625" style="4" bestFit="1" customWidth="1"/>
    <col min="12554" max="12554" width="10.7109375" style="4" bestFit="1" customWidth="1"/>
    <col min="12555" max="12555" width="20" style="4" bestFit="1" customWidth="1"/>
    <col min="12556" max="12556" width="11.85546875" style="4" bestFit="1" customWidth="1"/>
    <col min="12557" max="12557" width="10.42578125" style="4" bestFit="1" customWidth="1"/>
    <col min="12558" max="12558" width="42.28515625" style="4" bestFit="1" customWidth="1"/>
    <col min="12559" max="12559" width="13.5703125" style="4" bestFit="1" customWidth="1"/>
    <col min="12560" max="12560" width="7.7109375" style="4" bestFit="1" customWidth="1"/>
    <col min="12561" max="12561" width="10.7109375" style="4" bestFit="1" customWidth="1"/>
    <col min="12562" max="12562" width="9.28515625" style="4" bestFit="1" customWidth="1"/>
    <col min="12563" max="12563" width="8.7109375" style="4" bestFit="1" customWidth="1"/>
    <col min="12564" max="12802" width="9.140625" style="4"/>
    <col min="12803" max="12803" width="4.42578125" style="4" bestFit="1" customWidth="1"/>
    <col min="12804" max="12804" width="13.85546875" style="4" bestFit="1" customWidth="1"/>
    <col min="12805" max="12805" width="11.28515625" style="4" bestFit="1" customWidth="1"/>
    <col min="12806" max="12806" width="14.5703125" style="4" bestFit="1" customWidth="1"/>
    <col min="12807" max="12807" width="4.5703125" style="4" bestFit="1" customWidth="1"/>
    <col min="12808" max="12808" width="22.140625" style="4" bestFit="1" customWidth="1"/>
    <col min="12809" max="12809" width="24.140625" style="4" bestFit="1" customWidth="1"/>
    <col min="12810" max="12810" width="10.7109375" style="4" bestFit="1" customWidth="1"/>
    <col min="12811" max="12811" width="20" style="4" bestFit="1" customWidth="1"/>
    <col min="12812" max="12812" width="11.85546875" style="4" bestFit="1" customWidth="1"/>
    <col min="12813" max="12813" width="10.42578125" style="4" bestFit="1" customWidth="1"/>
    <col min="12814" max="12814" width="42.28515625" style="4" bestFit="1" customWidth="1"/>
    <col min="12815" max="12815" width="13.5703125" style="4" bestFit="1" customWidth="1"/>
    <col min="12816" max="12816" width="7.7109375" style="4" bestFit="1" customWidth="1"/>
    <col min="12817" max="12817" width="10.7109375" style="4" bestFit="1" customWidth="1"/>
    <col min="12818" max="12818" width="9.28515625" style="4" bestFit="1" customWidth="1"/>
    <col min="12819" max="12819" width="8.7109375" style="4" bestFit="1" customWidth="1"/>
    <col min="12820" max="13058" width="9.140625" style="4"/>
    <col min="13059" max="13059" width="4.42578125" style="4" bestFit="1" customWidth="1"/>
    <col min="13060" max="13060" width="13.85546875" style="4" bestFit="1" customWidth="1"/>
    <col min="13061" max="13061" width="11.28515625" style="4" bestFit="1" customWidth="1"/>
    <col min="13062" max="13062" width="14.5703125" style="4" bestFit="1" customWidth="1"/>
    <col min="13063" max="13063" width="4.5703125" style="4" bestFit="1" customWidth="1"/>
    <col min="13064" max="13064" width="22.140625" style="4" bestFit="1" customWidth="1"/>
    <col min="13065" max="13065" width="24.140625" style="4" bestFit="1" customWidth="1"/>
    <col min="13066" max="13066" width="10.7109375" style="4" bestFit="1" customWidth="1"/>
    <col min="13067" max="13067" width="20" style="4" bestFit="1" customWidth="1"/>
    <col min="13068" max="13068" width="11.85546875" style="4" bestFit="1" customWidth="1"/>
    <col min="13069" max="13069" width="10.42578125" style="4" bestFit="1" customWidth="1"/>
    <col min="13070" max="13070" width="42.28515625" style="4" bestFit="1" customWidth="1"/>
    <col min="13071" max="13071" width="13.5703125" style="4" bestFit="1" customWidth="1"/>
    <col min="13072" max="13072" width="7.7109375" style="4" bestFit="1" customWidth="1"/>
    <col min="13073" max="13073" width="10.7109375" style="4" bestFit="1" customWidth="1"/>
    <col min="13074" max="13074" width="9.28515625" style="4" bestFit="1" customWidth="1"/>
    <col min="13075" max="13075" width="8.7109375" style="4" bestFit="1" customWidth="1"/>
    <col min="13076" max="13314" width="9.140625" style="4"/>
    <col min="13315" max="13315" width="4.42578125" style="4" bestFit="1" customWidth="1"/>
    <col min="13316" max="13316" width="13.85546875" style="4" bestFit="1" customWidth="1"/>
    <col min="13317" max="13317" width="11.28515625" style="4" bestFit="1" customWidth="1"/>
    <col min="13318" max="13318" width="14.5703125" style="4" bestFit="1" customWidth="1"/>
    <col min="13319" max="13319" width="4.5703125" style="4" bestFit="1" customWidth="1"/>
    <col min="13320" max="13320" width="22.140625" style="4" bestFit="1" customWidth="1"/>
    <col min="13321" max="13321" width="24.140625" style="4" bestFit="1" customWidth="1"/>
    <col min="13322" max="13322" width="10.7109375" style="4" bestFit="1" customWidth="1"/>
    <col min="13323" max="13323" width="20" style="4" bestFit="1" customWidth="1"/>
    <col min="13324" max="13324" width="11.85546875" style="4" bestFit="1" customWidth="1"/>
    <col min="13325" max="13325" width="10.42578125" style="4" bestFit="1" customWidth="1"/>
    <col min="13326" max="13326" width="42.28515625" style="4" bestFit="1" customWidth="1"/>
    <col min="13327" max="13327" width="13.5703125" style="4" bestFit="1" customWidth="1"/>
    <col min="13328" max="13328" width="7.7109375" style="4" bestFit="1" customWidth="1"/>
    <col min="13329" max="13329" width="10.7109375" style="4" bestFit="1" customWidth="1"/>
    <col min="13330" max="13330" width="9.28515625" style="4" bestFit="1" customWidth="1"/>
    <col min="13331" max="13331" width="8.7109375" style="4" bestFit="1" customWidth="1"/>
    <col min="13332" max="13570" width="9.140625" style="4"/>
    <col min="13571" max="13571" width="4.42578125" style="4" bestFit="1" customWidth="1"/>
    <col min="13572" max="13572" width="13.85546875" style="4" bestFit="1" customWidth="1"/>
    <col min="13573" max="13573" width="11.28515625" style="4" bestFit="1" customWidth="1"/>
    <col min="13574" max="13574" width="14.5703125" style="4" bestFit="1" customWidth="1"/>
    <col min="13575" max="13575" width="4.5703125" style="4" bestFit="1" customWidth="1"/>
    <col min="13576" max="13576" width="22.140625" style="4" bestFit="1" customWidth="1"/>
    <col min="13577" max="13577" width="24.140625" style="4" bestFit="1" customWidth="1"/>
    <col min="13578" max="13578" width="10.7109375" style="4" bestFit="1" customWidth="1"/>
    <col min="13579" max="13579" width="20" style="4" bestFit="1" customWidth="1"/>
    <col min="13580" max="13580" width="11.85546875" style="4" bestFit="1" customWidth="1"/>
    <col min="13581" max="13581" width="10.42578125" style="4" bestFit="1" customWidth="1"/>
    <col min="13582" max="13582" width="42.28515625" style="4" bestFit="1" customWidth="1"/>
    <col min="13583" max="13583" width="13.5703125" style="4" bestFit="1" customWidth="1"/>
    <col min="13584" max="13584" width="7.7109375" style="4" bestFit="1" customWidth="1"/>
    <col min="13585" max="13585" width="10.7109375" style="4" bestFit="1" customWidth="1"/>
    <col min="13586" max="13586" width="9.28515625" style="4" bestFit="1" customWidth="1"/>
    <col min="13587" max="13587" width="8.7109375" style="4" bestFit="1" customWidth="1"/>
    <col min="13588" max="13826" width="9.140625" style="4"/>
    <col min="13827" max="13827" width="4.42578125" style="4" bestFit="1" customWidth="1"/>
    <col min="13828" max="13828" width="13.85546875" style="4" bestFit="1" customWidth="1"/>
    <col min="13829" max="13829" width="11.28515625" style="4" bestFit="1" customWidth="1"/>
    <col min="13830" max="13830" width="14.5703125" style="4" bestFit="1" customWidth="1"/>
    <col min="13831" max="13831" width="4.5703125" style="4" bestFit="1" customWidth="1"/>
    <col min="13832" max="13832" width="22.140625" style="4" bestFit="1" customWidth="1"/>
    <col min="13833" max="13833" width="24.140625" style="4" bestFit="1" customWidth="1"/>
    <col min="13834" max="13834" width="10.7109375" style="4" bestFit="1" customWidth="1"/>
    <col min="13835" max="13835" width="20" style="4" bestFit="1" customWidth="1"/>
    <col min="13836" max="13836" width="11.85546875" style="4" bestFit="1" customWidth="1"/>
    <col min="13837" max="13837" width="10.42578125" style="4" bestFit="1" customWidth="1"/>
    <col min="13838" max="13838" width="42.28515625" style="4" bestFit="1" customWidth="1"/>
    <col min="13839" max="13839" width="13.5703125" style="4" bestFit="1" customWidth="1"/>
    <col min="13840" max="13840" width="7.7109375" style="4" bestFit="1" customWidth="1"/>
    <col min="13841" max="13841" width="10.7109375" style="4" bestFit="1" customWidth="1"/>
    <col min="13842" max="13842" width="9.28515625" style="4" bestFit="1" customWidth="1"/>
    <col min="13843" max="13843" width="8.7109375" style="4" bestFit="1" customWidth="1"/>
    <col min="13844" max="14082" width="9.140625" style="4"/>
    <col min="14083" max="14083" width="4.42578125" style="4" bestFit="1" customWidth="1"/>
    <col min="14084" max="14084" width="13.85546875" style="4" bestFit="1" customWidth="1"/>
    <col min="14085" max="14085" width="11.28515625" style="4" bestFit="1" customWidth="1"/>
    <col min="14086" max="14086" width="14.5703125" style="4" bestFit="1" customWidth="1"/>
    <col min="14087" max="14087" width="4.5703125" style="4" bestFit="1" customWidth="1"/>
    <col min="14088" max="14088" width="22.140625" style="4" bestFit="1" customWidth="1"/>
    <col min="14089" max="14089" width="24.140625" style="4" bestFit="1" customWidth="1"/>
    <col min="14090" max="14090" width="10.7109375" style="4" bestFit="1" customWidth="1"/>
    <col min="14091" max="14091" width="20" style="4" bestFit="1" customWidth="1"/>
    <col min="14092" max="14092" width="11.85546875" style="4" bestFit="1" customWidth="1"/>
    <col min="14093" max="14093" width="10.42578125" style="4" bestFit="1" customWidth="1"/>
    <col min="14094" max="14094" width="42.28515625" style="4" bestFit="1" customWidth="1"/>
    <col min="14095" max="14095" width="13.5703125" style="4" bestFit="1" customWidth="1"/>
    <col min="14096" max="14096" width="7.7109375" style="4" bestFit="1" customWidth="1"/>
    <col min="14097" max="14097" width="10.7109375" style="4" bestFit="1" customWidth="1"/>
    <col min="14098" max="14098" width="9.28515625" style="4" bestFit="1" customWidth="1"/>
    <col min="14099" max="14099" width="8.7109375" style="4" bestFit="1" customWidth="1"/>
    <col min="14100" max="14338" width="9.140625" style="4"/>
    <col min="14339" max="14339" width="4.42578125" style="4" bestFit="1" customWidth="1"/>
    <col min="14340" max="14340" width="13.85546875" style="4" bestFit="1" customWidth="1"/>
    <col min="14341" max="14341" width="11.28515625" style="4" bestFit="1" customWidth="1"/>
    <col min="14342" max="14342" width="14.5703125" style="4" bestFit="1" customWidth="1"/>
    <col min="14343" max="14343" width="4.5703125" style="4" bestFit="1" customWidth="1"/>
    <col min="14344" max="14344" width="22.140625" style="4" bestFit="1" customWidth="1"/>
    <col min="14345" max="14345" width="24.140625" style="4" bestFit="1" customWidth="1"/>
    <col min="14346" max="14346" width="10.7109375" style="4" bestFit="1" customWidth="1"/>
    <col min="14347" max="14347" width="20" style="4" bestFit="1" customWidth="1"/>
    <col min="14348" max="14348" width="11.85546875" style="4" bestFit="1" customWidth="1"/>
    <col min="14349" max="14349" width="10.42578125" style="4" bestFit="1" customWidth="1"/>
    <col min="14350" max="14350" width="42.28515625" style="4" bestFit="1" customWidth="1"/>
    <col min="14351" max="14351" width="13.5703125" style="4" bestFit="1" customWidth="1"/>
    <col min="14352" max="14352" width="7.7109375" style="4" bestFit="1" customWidth="1"/>
    <col min="14353" max="14353" width="10.7109375" style="4" bestFit="1" customWidth="1"/>
    <col min="14354" max="14354" width="9.28515625" style="4" bestFit="1" customWidth="1"/>
    <col min="14355" max="14355" width="8.7109375" style="4" bestFit="1" customWidth="1"/>
    <col min="14356" max="14594" width="9.140625" style="4"/>
    <col min="14595" max="14595" width="4.42578125" style="4" bestFit="1" customWidth="1"/>
    <col min="14596" max="14596" width="13.85546875" style="4" bestFit="1" customWidth="1"/>
    <col min="14597" max="14597" width="11.28515625" style="4" bestFit="1" customWidth="1"/>
    <col min="14598" max="14598" width="14.5703125" style="4" bestFit="1" customWidth="1"/>
    <col min="14599" max="14599" width="4.5703125" style="4" bestFit="1" customWidth="1"/>
    <col min="14600" max="14600" width="22.140625" style="4" bestFit="1" customWidth="1"/>
    <col min="14601" max="14601" width="24.140625" style="4" bestFit="1" customWidth="1"/>
    <col min="14602" max="14602" width="10.7109375" style="4" bestFit="1" customWidth="1"/>
    <col min="14603" max="14603" width="20" style="4" bestFit="1" customWidth="1"/>
    <col min="14604" max="14604" width="11.85546875" style="4" bestFit="1" customWidth="1"/>
    <col min="14605" max="14605" width="10.42578125" style="4" bestFit="1" customWidth="1"/>
    <col min="14606" max="14606" width="42.28515625" style="4" bestFit="1" customWidth="1"/>
    <col min="14607" max="14607" width="13.5703125" style="4" bestFit="1" customWidth="1"/>
    <col min="14608" max="14608" width="7.7109375" style="4" bestFit="1" customWidth="1"/>
    <col min="14609" max="14609" width="10.7109375" style="4" bestFit="1" customWidth="1"/>
    <col min="14610" max="14610" width="9.28515625" style="4" bestFit="1" customWidth="1"/>
    <col min="14611" max="14611" width="8.7109375" style="4" bestFit="1" customWidth="1"/>
    <col min="14612" max="14850" width="9.140625" style="4"/>
    <col min="14851" max="14851" width="4.42578125" style="4" bestFit="1" customWidth="1"/>
    <col min="14852" max="14852" width="13.85546875" style="4" bestFit="1" customWidth="1"/>
    <col min="14853" max="14853" width="11.28515625" style="4" bestFit="1" customWidth="1"/>
    <col min="14854" max="14854" width="14.5703125" style="4" bestFit="1" customWidth="1"/>
    <col min="14855" max="14855" width="4.5703125" style="4" bestFit="1" customWidth="1"/>
    <col min="14856" max="14856" width="22.140625" style="4" bestFit="1" customWidth="1"/>
    <col min="14857" max="14857" width="24.140625" style="4" bestFit="1" customWidth="1"/>
    <col min="14858" max="14858" width="10.7109375" style="4" bestFit="1" customWidth="1"/>
    <col min="14859" max="14859" width="20" style="4" bestFit="1" customWidth="1"/>
    <col min="14860" max="14860" width="11.85546875" style="4" bestFit="1" customWidth="1"/>
    <col min="14861" max="14861" width="10.42578125" style="4" bestFit="1" customWidth="1"/>
    <col min="14862" max="14862" width="42.28515625" style="4" bestFit="1" customWidth="1"/>
    <col min="14863" max="14863" width="13.5703125" style="4" bestFit="1" customWidth="1"/>
    <col min="14864" max="14864" width="7.7109375" style="4" bestFit="1" customWidth="1"/>
    <col min="14865" max="14865" width="10.7109375" style="4" bestFit="1" customWidth="1"/>
    <col min="14866" max="14866" width="9.28515625" style="4" bestFit="1" customWidth="1"/>
    <col min="14867" max="14867" width="8.7109375" style="4" bestFit="1" customWidth="1"/>
    <col min="14868" max="15106" width="9.140625" style="4"/>
    <col min="15107" max="15107" width="4.42578125" style="4" bestFit="1" customWidth="1"/>
    <col min="15108" max="15108" width="13.85546875" style="4" bestFit="1" customWidth="1"/>
    <col min="15109" max="15109" width="11.28515625" style="4" bestFit="1" customWidth="1"/>
    <col min="15110" max="15110" width="14.5703125" style="4" bestFit="1" customWidth="1"/>
    <col min="15111" max="15111" width="4.5703125" style="4" bestFit="1" customWidth="1"/>
    <col min="15112" max="15112" width="22.140625" style="4" bestFit="1" customWidth="1"/>
    <col min="15113" max="15113" width="24.140625" style="4" bestFit="1" customWidth="1"/>
    <col min="15114" max="15114" width="10.7109375" style="4" bestFit="1" customWidth="1"/>
    <col min="15115" max="15115" width="20" style="4" bestFit="1" customWidth="1"/>
    <col min="15116" max="15116" width="11.85546875" style="4" bestFit="1" customWidth="1"/>
    <col min="15117" max="15117" width="10.42578125" style="4" bestFit="1" customWidth="1"/>
    <col min="15118" max="15118" width="42.28515625" style="4" bestFit="1" customWidth="1"/>
    <col min="15119" max="15119" width="13.5703125" style="4" bestFit="1" customWidth="1"/>
    <col min="15120" max="15120" width="7.7109375" style="4" bestFit="1" customWidth="1"/>
    <col min="15121" max="15121" width="10.7109375" style="4" bestFit="1" customWidth="1"/>
    <col min="15122" max="15122" width="9.28515625" style="4" bestFit="1" customWidth="1"/>
    <col min="15123" max="15123" width="8.7109375" style="4" bestFit="1" customWidth="1"/>
    <col min="15124" max="15362" width="9.140625" style="4"/>
    <col min="15363" max="15363" width="4.42578125" style="4" bestFit="1" customWidth="1"/>
    <col min="15364" max="15364" width="13.85546875" style="4" bestFit="1" customWidth="1"/>
    <col min="15365" max="15365" width="11.28515625" style="4" bestFit="1" customWidth="1"/>
    <col min="15366" max="15366" width="14.5703125" style="4" bestFit="1" customWidth="1"/>
    <col min="15367" max="15367" width="4.5703125" style="4" bestFit="1" customWidth="1"/>
    <col min="15368" max="15368" width="22.140625" style="4" bestFit="1" customWidth="1"/>
    <col min="15369" max="15369" width="24.140625" style="4" bestFit="1" customWidth="1"/>
    <col min="15370" max="15370" width="10.7109375" style="4" bestFit="1" customWidth="1"/>
    <col min="15371" max="15371" width="20" style="4" bestFit="1" customWidth="1"/>
    <col min="15372" max="15372" width="11.85546875" style="4" bestFit="1" customWidth="1"/>
    <col min="15373" max="15373" width="10.42578125" style="4" bestFit="1" customWidth="1"/>
    <col min="15374" max="15374" width="42.28515625" style="4" bestFit="1" customWidth="1"/>
    <col min="15375" max="15375" width="13.5703125" style="4" bestFit="1" customWidth="1"/>
    <col min="15376" max="15376" width="7.7109375" style="4" bestFit="1" customWidth="1"/>
    <col min="15377" max="15377" width="10.7109375" style="4" bestFit="1" customWidth="1"/>
    <col min="15378" max="15378" width="9.28515625" style="4" bestFit="1" customWidth="1"/>
    <col min="15379" max="15379" width="8.7109375" style="4" bestFit="1" customWidth="1"/>
    <col min="15380" max="15618" width="9.140625" style="4"/>
    <col min="15619" max="15619" width="4.42578125" style="4" bestFit="1" customWidth="1"/>
    <col min="15620" max="15620" width="13.85546875" style="4" bestFit="1" customWidth="1"/>
    <col min="15621" max="15621" width="11.28515625" style="4" bestFit="1" customWidth="1"/>
    <col min="15622" max="15622" width="14.5703125" style="4" bestFit="1" customWidth="1"/>
    <col min="15623" max="15623" width="4.5703125" style="4" bestFit="1" customWidth="1"/>
    <col min="15624" max="15624" width="22.140625" style="4" bestFit="1" customWidth="1"/>
    <col min="15625" max="15625" width="24.140625" style="4" bestFit="1" customWidth="1"/>
    <col min="15626" max="15626" width="10.7109375" style="4" bestFit="1" customWidth="1"/>
    <col min="15627" max="15627" width="20" style="4" bestFit="1" customWidth="1"/>
    <col min="15628" max="15628" width="11.85546875" style="4" bestFit="1" customWidth="1"/>
    <col min="15629" max="15629" width="10.42578125" style="4" bestFit="1" customWidth="1"/>
    <col min="15630" max="15630" width="42.28515625" style="4" bestFit="1" customWidth="1"/>
    <col min="15631" max="15631" width="13.5703125" style="4" bestFit="1" customWidth="1"/>
    <col min="15632" max="15632" width="7.7109375" style="4" bestFit="1" customWidth="1"/>
    <col min="15633" max="15633" width="10.7109375" style="4" bestFit="1" customWidth="1"/>
    <col min="15634" max="15634" width="9.28515625" style="4" bestFit="1" customWidth="1"/>
    <col min="15635" max="15635" width="8.7109375" style="4" bestFit="1" customWidth="1"/>
    <col min="15636" max="15874" width="9.140625" style="4"/>
    <col min="15875" max="15875" width="4.42578125" style="4" bestFit="1" customWidth="1"/>
    <col min="15876" max="15876" width="13.85546875" style="4" bestFit="1" customWidth="1"/>
    <col min="15877" max="15877" width="11.28515625" style="4" bestFit="1" customWidth="1"/>
    <col min="15878" max="15878" width="14.5703125" style="4" bestFit="1" customWidth="1"/>
    <col min="15879" max="15879" width="4.5703125" style="4" bestFit="1" customWidth="1"/>
    <col min="15880" max="15880" width="22.140625" style="4" bestFit="1" customWidth="1"/>
    <col min="15881" max="15881" width="24.140625" style="4" bestFit="1" customWidth="1"/>
    <col min="15882" max="15882" width="10.7109375" style="4" bestFit="1" customWidth="1"/>
    <col min="15883" max="15883" width="20" style="4" bestFit="1" customWidth="1"/>
    <col min="15884" max="15884" width="11.85546875" style="4" bestFit="1" customWidth="1"/>
    <col min="15885" max="15885" width="10.42578125" style="4" bestFit="1" customWidth="1"/>
    <col min="15886" max="15886" width="42.28515625" style="4" bestFit="1" customWidth="1"/>
    <col min="15887" max="15887" width="13.5703125" style="4" bestFit="1" customWidth="1"/>
    <col min="15888" max="15888" width="7.7109375" style="4" bestFit="1" customWidth="1"/>
    <col min="15889" max="15889" width="10.7109375" style="4" bestFit="1" customWidth="1"/>
    <col min="15890" max="15890" width="9.28515625" style="4" bestFit="1" customWidth="1"/>
    <col min="15891" max="15891" width="8.7109375" style="4" bestFit="1" customWidth="1"/>
    <col min="15892" max="16130" width="9.140625" style="4"/>
    <col min="16131" max="16131" width="4.42578125" style="4" bestFit="1" customWidth="1"/>
    <col min="16132" max="16132" width="13.85546875" style="4" bestFit="1" customWidth="1"/>
    <col min="16133" max="16133" width="11.28515625" style="4" bestFit="1" customWidth="1"/>
    <col min="16134" max="16134" width="14.5703125" style="4" bestFit="1" customWidth="1"/>
    <col min="16135" max="16135" width="4.5703125" style="4" bestFit="1" customWidth="1"/>
    <col min="16136" max="16136" width="22.140625" style="4" bestFit="1" customWidth="1"/>
    <col min="16137" max="16137" width="24.140625" style="4" bestFit="1" customWidth="1"/>
    <col min="16138" max="16138" width="10.7109375" style="4" bestFit="1" customWidth="1"/>
    <col min="16139" max="16139" width="20" style="4" bestFit="1" customWidth="1"/>
    <col min="16140" max="16140" width="11.85546875" style="4" bestFit="1" customWidth="1"/>
    <col min="16141" max="16141" width="10.42578125" style="4" bestFit="1" customWidth="1"/>
    <col min="16142" max="16142" width="42.28515625" style="4" bestFit="1" customWidth="1"/>
    <col min="16143" max="16143" width="13.5703125" style="4" bestFit="1" customWidth="1"/>
    <col min="16144" max="16144" width="7.7109375" style="4" bestFit="1" customWidth="1"/>
    <col min="16145" max="16145" width="10.7109375" style="4" bestFit="1" customWidth="1"/>
    <col min="16146" max="16146" width="9.28515625" style="4" bestFit="1" customWidth="1"/>
    <col min="16147" max="16147" width="8.7109375" style="4" bestFit="1" customWidth="1"/>
    <col min="16148" max="16384" width="9.140625" style="4"/>
  </cols>
  <sheetData>
    <row r="1" spans="1:19" ht="25.5" customHeight="1" x14ac:dyDescent="0.2">
      <c r="A1" s="46" t="s">
        <v>222</v>
      </c>
      <c r="B1" s="47"/>
      <c r="C1" s="47"/>
      <c r="D1" s="48"/>
      <c r="E1" s="49"/>
      <c r="F1" s="50"/>
      <c r="G1" s="50"/>
      <c r="H1" s="51"/>
      <c r="I1" s="49" t="s">
        <v>223</v>
      </c>
      <c r="J1" s="51"/>
      <c r="K1" s="20"/>
      <c r="L1" s="24"/>
      <c r="M1" s="24"/>
      <c r="N1" s="24"/>
      <c r="O1" s="24"/>
      <c r="P1" s="25"/>
      <c r="Q1" s="26"/>
      <c r="R1" s="25"/>
      <c r="S1" s="19" t="s">
        <v>8</v>
      </c>
    </row>
    <row r="2" spans="1:19" ht="15.75" customHeight="1" x14ac:dyDescent="0.2">
      <c r="A2" s="20"/>
      <c r="B2" s="21"/>
      <c r="C2" s="21"/>
      <c r="D2" s="21"/>
      <c r="E2" s="21"/>
      <c r="F2" s="22">
        <v>0.53759009327303553</v>
      </c>
      <c r="G2" s="22">
        <v>0.15</v>
      </c>
      <c r="H2" s="21"/>
      <c r="I2" s="22">
        <v>0.13</v>
      </c>
      <c r="J2" s="21"/>
      <c r="K2" s="21"/>
      <c r="L2" s="23"/>
      <c r="M2" s="23"/>
      <c r="N2" s="23"/>
      <c r="O2" s="23"/>
      <c r="P2" s="23"/>
      <c r="Q2" s="23"/>
      <c r="R2" s="24"/>
      <c r="S2" s="19" t="s">
        <v>8</v>
      </c>
    </row>
    <row r="3" spans="1:19" ht="25.5" customHeight="1" x14ac:dyDescent="0.2">
      <c r="A3" s="1" t="s">
        <v>1</v>
      </c>
      <c r="B3" s="1" t="s">
        <v>212</v>
      </c>
      <c r="C3" s="1" t="s">
        <v>213</v>
      </c>
      <c r="D3" s="1" t="s">
        <v>214</v>
      </c>
      <c r="E3" s="15" t="s">
        <v>0</v>
      </c>
      <c r="F3" s="15" t="s">
        <v>217</v>
      </c>
      <c r="G3" s="15" t="s">
        <v>218</v>
      </c>
      <c r="H3" s="15" t="s">
        <v>220</v>
      </c>
      <c r="I3" s="15" t="s">
        <v>219</v>
      </c>
      <c r="J3" s="15" t="s">
        <v>221</v>
      </c>
      <c r="K3" s="2" t="s">
        <v>2</v>
      </c>
      <c r="L3" s="2" t="s">
        <v>3</v>
      </c>
      <c r="M3" s="2" t="s">
        <v>4</v>
      </c>
      <c r="N3" s="2" t="s">
        <v>5</v>
      </c>
      <c r="O3" s="2" t="s">
        <v>6</v>
      </c>
      <c r="P3" s="1" t="s">
        <v>215</v>
      </c>
      <c r="Q3" s="3" t="s">
        <v>7</v>
      </c>
      <c r="R3" s="1" t="s">
        <v>216</v>
      </c>
      <c r="S3" s="1" t="s">
        <v>8</v>
      </c>
    </row>
    <row r="4" spans="1:19" ht="15" x14ac:dyDescent="0.25">
      <c r="A4" s="10">
        <v>101</v>
      </c>
      <c r="B4" s="12" t="s">
        <v>68</v>
      </c>
      <c r="C4" s="12" t="s">
        <v>69</v>
      </c>
      <c r="D4" s="12" t="s">
        <v>70</v>
      </c>
      <c r="E4" s="16">
        <f>LOOKUP(M4,Справочники!$B$2:$B$35,Справочники!$C$2:$C$35)</f>
        <v>12000</v>
      </c>
      <c r="F4" s="16">
        <f t="shared" ref="F4:F35" ca="1" si="0">IF(P4&gt;=5, E4*$F$2, )</f>
        <v>6451.0811192764268</v>
      </c>
      <c r="G4" s="16">
        <f t="shared" ref="G4:G35" si="1">E4*$G$2</f>
        <v>1800</v>
      </c>
      <c r="H4" s="16">
        <f t="shared" ref="H4:H35" ca="1" si="2">E4+F4+G4</f>
        <v>20251.081119276427</v>
      </c>
      <c r="I4" s="16">
        <f t="shared" ref="I4:I35" ca="1" si="3">H4*$I$2</f>
        <v>2632.6405455059357</v>
      </c>
      <c r="J4" s="16">
        <f t="shared" ref="J4:J35" ca="1" si="4">H4-I4</f>
        <v>17618.440573770491</v>
      </c>
      <c r="K4" s="10" t="s">
        <v>9</v>
      </c>
      <c r="L4" s="10" t="str">
        <f>LOOKUP(M4,Справочники!$B$2:$B$35,Справочники!$A$2:$A$35)</f>
        <v>Бухгалтерия</v>
      </c>
      <c r="M4" s="6" t="s">
        <v>11</v>
      </c>
      <c r="N4" s="6" t="s">
        <v>14</v>
      </c>
      <c r="O4" s="11">
        <v>38944</v>
      </c>
      <c r="P4" s="10">
        <f t="shared" ref="P4:P35" ca="1" si="5">DATEDIF(O4, TODAY(),"Y")</f>
        <v>16</v>
      </c>
      <c r="Q4" s="11">
        <v>30198</v>
      </c>
      <c r="R4" s="10">
        <f t="shared" ref="R4:R35" ca="1" si="6">DATEDIF(Q4, TODAY(),"Y")</f>
        <v>40</v>
      </c>
      <c r="S4" s="10" t="str">
        <f>LOOKUP(L4,Справочники!$F$2:$F$10,Справочники!$H$2:$H$10)</f>
        <v>+7(8332)64-32-01</v>
      </c>
    </row>
    <row r="5" spans="1:19" ht="15" x14ac:dyDescent="0.25">
      <c r="A5" s="10">
        <v>105</v>
      </c>
      <c r="B5" s="12" t="s">
        <v>80</v>
      </c>
      <c r="C5" s="12" t="s">
        <v>81</v>
      </c>
      <c r="D5" s="12" t="s">
        <v>82</v>
      </c>
      <c r="E5" s="16">
        <f>LOOKUP(M5,Справочники!$B$2:$B$35,Справочники!$C$2:$C$35)</f>
        <v>17000</v>
      </c>
      <c r="F5" s="16">
        <f t="shared" ca="1" si="0"/>
        <v>9139.0315856416037</v>
      </c>
      <c r="G5" s="16">
        <f t="shared" si="1"/>
        <v>2550</v>
      </c>
      <c r="H5" s="16">
        <f t="shared" ca="1" si="2"/>
        <v>28689.031585641605</v>
      </c>
      <c r="I5" s="16">
        <f t="shared" ca="1" si="3"/>
        <v>3729.5741061334088</v>
      </c>
      <c r="J5" s="16">
        <f t="shared" ca="1" si="4"/>
        <v>24959.457479508197</v>
      </c>
      <c r="K5" s="10" t="s">
        <v>17</v>
      </c>
      <c r="L5" s="10" t="str">
        <f>LOOKUP(M5,Справочники!$B$2:$B$35,Справочники!$A$2:$A$35)</f>
        <v>Бухгалтерия</v>
      </c>
      <c r="M5" s="6" t="s">
        <v>18</v>
      </c>
      <c r="N5" s="6" t="s">
        <v>14</v>
      </c>
      <c r="O5" s="11">
        <v>41165</v>
      </c>
      <c r="P5" s="10">
        <f t="shared" ca="1" si="5"/>
        <v>10</v>
      </c>
      <c r="Q5" s="11">
        <v>31196</v>
      </c>
      <c r="R5" s="10">
        <f t="shared" ca="1" si="6"/>
        <v>37</v>
      </c>
      <c r="S5" s="10" t="str">
        <f>LOOKUP(L5,Справочники!$F$2:$F$10,Справочники!$H$2:$H$10)</f>
        <v>+7(8332)64-32-01</v>
      </c>
    </row>
    <row r="6" spans="1:19" ht="15" x14ac:dyDescent="0.25">
      <c r="A6" s="10">
        <v>130</v>
      </c>
      <c r="B6" s="12" t="s">
        <v>137</v>
      </c>
      <c r="C6" s="12" t="s">
        <v>138</v>
      </c>
      <c r="D6" s="12" t="s">
        <v>139</v>
      </c>
      <c r="E6" s="16">
        <f>LOOKUP(M6,Справочники!$B$2:$B$35,Справочники!$C$2:$C$35)</f>
        <v>15000</v>
      </c>
      <c r="F6" s="16">
        <f t="shared" ca="1" si="0"/>
        <v>8063.8513990955325</v>
      </c>
      <c r="G6" s="16">
        <f t="shared" si="1"/>
        <v>2250</v>
      </c>
      <c r="H6" s="16">
        <f t="shared" ca="1" si="2"/>
        <v>25313.851399095533</v>
      </c>
      <c r="I6" s="16">
        <f t="shared" ca="1" si="3"/>
        <v>3290.8006818824192</v>
      </c>
      <c r="J6" s="16">
        <f t="shared" ca="1" si="4"/>
        <v>22023.050717213115</v>
      </c>
      <c r="K6" s="10" t="s">
        <v>9</v>
      </c>
      <c r="L6" s="10" t="str">
        <f>LOOKUP(M6,Справочники!$B$2:$B$35,Справочники!$A$2:$A$35)</f>
        <v>Управление</v>
      </c>
      <c r="M6" s="6" t="s">
        <v>20</v>
      </c>
      <c r="N6" s="6" t="s">
        <v>25</v>
      </c>
      <c r="O6" s="11">
        <v>42765</v>
      </c>
      <c r="P6" s="10">
        <f t="shared" ca="1" si="5"/>
        <v>5</v>
      </c>
      <c r="Q6" s="11">
        <v>34714</v>
      </c>
      <c r="R6" s="10">
        <f t="shared" ca="1" si="6"/>
        <v>27</v>
      </c>
      <c r="S6" s="10" t="str">
        <f>LOOKUP(L6,Справочники!$F$2:$F$10,Справочники!$H$2:$H$10)</f>
        <v>+7(8332)64-32-18</v>
      </c>
    </row>
    <row r="7" spans="1:19" ht="15" x14ac:dyDescent="0.25">
      <c r="A7" s="10">
        <v>139</v>
      </c>
      <c r="B7" s="12" t="s">
        <v>157</v>
      </c>
      <c r="C7" s="12" t="s">
        <v>158</v>
      </c>
      <c r="D7" s="12" t="s">
        <v>159</v>
      </c>
      <c r="E7" s="16">
        <f>LOOKUP(M7,Справочники!$B$2:$B$35,Справочники!$C$2:$C$35)</f>
        <v>15000</v>
      </c>
      <c r="F7" s="16">
        <f t="shared" ca="1" si="0"/>
        <v>8063.8513990955325</v>
      </c>
      <c r="G7" s="16">
        <f t="shared" si="1"/>
        <v>2250</v>
      </c>
      <c r="H7" s="16">
        <f t="shared" ca="1" si="2"/>
        <v>25313.851399095533</v>
      </c>
      <c r="I7" s="16">
        <f t="shared" ca="1" si="3"/>
        <v>3290.8006818824192</v>
      </c>
      <c r="J7" s="16">
        <f t="shared" ca="1" si="4"/>
        <v>22023.050717213115</v>
      </c>
      <c r="K7" s="10" t="s">
        <v>9</v>
      </c>
      <c r="L7" s="10" t="str">
        <f>LOOKUP(M7,Справочники!$B$2:$B$35,Справочники!$A$2:$A$35)</f>
        <v>Управление</v>
      </c>
      <c r="M7" s="6" t="s">
        <v>20</v>
      </c>
      <c r="N7" s="6" t="s">
        <v>12</v>
      </c>
      <c r="O7" s="11">
        <v>41697</v>
      </c>
      <c r="P7" s="10">
        <f t="shared" ca="1" si="5"/>
        <v>8</v>
      </c>
      <c r="Q7" s="11">
        <v>33022</v>
      </c>
      <c r="R7" s="10">
        <f t="shared" ca="1" si="6"/>
        <v>32</v>
      </c>
      <c r="S7" s="10" t="str">
        <f>LOOKUP(L7,Справочники!$F$2:$F$10,Справочники!$H$2:$H$10)</f>
        <v>+7(8332)64-32-18</v>
      </c>
    </row>
    <row r="8" spans="1:19" ht="15" x14ac:dyDescent="0.25">
      <c r="A8" s="10">
        <v>107</v>
      </c>
      <c r="B8" s="12" t="s">
        <v>86</v>
      </c>
      <c r="C8" s="12" t="s">
        <v>87</v>
      </c>
      <c r="D8" s="12" t="s">
        <v>88</v>
      </c>
      <c r="E8" s="16">
        <f>LOOKUP(M8,Справочники!$B$2:$B$35,Справочники!$C$2:$C$35)</f>
        <v>15000</v>
      </c>
      <c r="F8" s="16">
        <f t="shared" ca="1" si="0"/>
        <v>8063.8513990955325</v>
      </c>
      <c r="G8" s="16">
        <f t="shared" si="1"/>
        <v>2250</v>
      </c>
      <c r="H8" s="16">
        <f t="shared" ca="1" si="2"/>
        <v>25313.851399095533</v>
      </c>
      <c r="I8" s="16">
        <f t="shared" ca="1" si="3"/>
        <v>3290.8006818824192</v>
      </c>
      <c r="J8" s="16">
        <f t="shared" ca="1" si="4"/>
        <v>22023.050717213115</v>
      </c>
      <c r="K8" s="10" t="s">
        <v>9</v>
      </c>
      <c r="L8" s="10" t="str">
        <f>LOOKUP(M8,Справочники!$B$2:$B$35,Справочники!$A$2:$A$35)</f>
        <v>Управление</v>
      </c>
      <c r="M8" s="6" t="s">
        <v>20</v>
      </c>
      <c r="N8" s="6" t="s">
        <v>12</v>
      </c>
      <c r="O8" s="11">
        <v>39956</v>
      </c>
      <c r="P8" s="10">
        <f t="shared" ca="1" si="5"/>
        <v>13</v>
      </c>
      <c r="Q8" s="11">
        <v>30254</v>
      </c>
      <c r="R8" s="10">
        <f t="shared" ca="1" si="6"/>
        <v>40</v>
      </c>
      <c r="S8" s="10" t="str">
        <f>LOOKUP(L8,Справочники!$F$2:$F$10,Справочники!$H$2:$H$10)</f>
        <v>+7(8332)64-32-18</v>
      </c>
    </row>
    <row r="9" spans="1:19" ht="15" x14ac:dyDescent="0.25">
      <c r="A9" s="10">
        <v>150</v>
      </c>
      <c r="B9" s="12" t="s">
        <v>182</v>
      </c>
      <c r="C9" s="12" t="s">
        <v>75</v>
      </c>
      <c r="D9" s="12" t="s">
        <v>76</v>
      </c>
      <c r="E9" s="16">
        <f>LOOKUP(M9,Справочники!$B$2:$B$35,Справочники!$C$2:$C$35)</f>
        <v>16000</v>
      </c>
      <c r="F9" s="16">
        <f t="shared" ca="1" si="0"/>
        <v>8601.441492368569</v>
      </c>
      <c r="G9" s="16">
        <f t="shared" si="1"/>
        <v>2400</v>
      </c>
      <c r="H9" s="16">
        <f t="shared" ca="1" si="2"/>
        <v>27001.441492368569</v>
      </c>
      <c r="I9" s="16">
        <f t="shared" ca="1" si="3"/>
        <v>3510.187394007914</v>
      </c>
      <c r="J9" s="16">
        <f t="shared" ca="1" si="4"/>
        <v>23491.254098360656</v>
      </c>
      <c r="K9" s="10" t="s">
        <v>9</v>
      </c>
      <c r="L9" s="10" t="str">
        <f>LOOKUP(M9,Справочники!$B$2:$B$35,Справочники!$A$2:$A$35)</f>
        <v>Редакторский отдел</v>
      </c>
      <c r="M9" s="6" t="s">
        <v>52</v>
      </c>
      <c r="N9" s="6" t="s">
        <v>14</v>
      </c>
      <c r="O9" s="11">
        <v>34714</v>
      </c>
      <c r="P9" s="10">
        <f t="shared" ca="1" si="5"/>
        <v>27</v>
      </c>
      <c r="Q9" s="11">
        <v>22250</v>
      </c>
      <c r="R9" s="10">
        <f t="shared" ca="1" si="6"/>
        <v>61</v>
      </c>
      <c r="S9" s="10" t="str">
        <f>LOOKUP(L9,Справочники!$F$2:$F$10,Справочники!$H$2:$H$10)</f>
        <v>+7(8332)64-32-01</v>
      </c>
    </row>
    <row r="10" spans="1:19" ht="15" x14ac:dyDescent="0.25">
      <c r="A10" s="10">
        <v>109</v>
      </c>
      <c r="B10" s="12" t="s">
        <v>92</v>
      </c>
      <c r="C10" s="12" t="s">
        <v>81</v>
      </c>
      <c r="D10" s="12" t="s">
        <v>93</v>
      </c>
      <c r="E10" s="16">
        <f>LOOKUP(M10,Справочники!$B$2:$B$35,Справочники!$C$2:$C$35)</f>
        <v>28000</v>
      </c>
      <c r="F10" s="16">
        <f t="shared" ca="1" si="0"/>
        <v>15052.522611644994</v>
      </c>
      <c r="G10" s="16">
        <f t="shared" si="1"/>
        <v>4200</v>
      </c>
      <c r="H10" s="16">
        <f t="shared" ca="1" si="2"/>
        <v>47252.522611644992</v>
      </c>
      <c r="I10" s="16">
        <f t="shared" ca="1" si="3"/>
        <v>6142.8279395138488</v>
      </c>
      <c r="J10" s="16">
        <f t="shared" ca="1" si="4"/>
        <v>41109.69467213114</v>
      </c>
      <c r="K10" s="10" t="s">
        <v>17</v>
      </c>
      <c r="L10" s="10" t="str">
        <f>LOOKUP(M10,Справочники!$B$2:$B$35,Справочники!$A$2:$A$35)</f>
        <v>Управление</v>
      </c>
      <c r="M10" s="6" t="s">
        <v>22</v>
      </c>
      <c r="N10" s="6" t="s">
        <v>14</v>
      </c>
      <c r="O10" s="11">
        <v>39103</v>
      </c>
      <c r="P10" s="10">
        <f t="shared" ca="1" si="5"/>
        <v>15</v>
      </c>
      <c r="Q10" s="11">
        <v>27786</v>
      </c>
      <c r="R10" s="10">
        <f t="shared" ca="1" si="6"/>
        <v>46</v>
      </c>
      <c r="S10" s="10" t="str">
        <f>LOOKUP(L10,Справочники!$F$2:$F$10,Справочники!$H$2:$H$10)</f>
        <v>+7(8332)64-32-18</v>
      </c>
    </row>
    <row r="11" spans="1:19" ht="15" x14ac:dyDescent="0.25">
      <c r="A11" s="10">
        <v>102</v>
      </c>
      <c r="B11" s="12" t="s">
        <v>71</v>
      </c>
      <c r="C11" s="12" t="s">
        <v>72</v>
      </c>
      <c r="D11" s="12" t="s">
        <v>73</v>
      </c>
      <c r="E11" s="16">
        <f>LOOKUP(M11,Справочники!$B$2:$B$35,Справочники!$C$2:$C$35)</f>
        <v>20000</v>
      </c>
      <c r="F11" s="16">
        <f t="shared" ca="1" si="0"/>
        <v>10751.801865460711</v>
      </c>
      <c r="G11" s="16">
        <f t="shared" si="1"/>
        <v>3000</v>
      </c>
      <c r="H11" s="16">
        <f t="shared" ca="1" si="2"/>
        <v>33751.801865460715</v>
      </c>
      <c r="I11" s="16">
        <f t="shared" ca="1" si="3"/>
        <v>4387.7342425098932</v>
      </c>
      <c r="J11" s="16">
        <f t="shared" ca="1" si="4"/>
        <v>29364.067622950821</v>
      </c>
      <c r="K11" s="10" t="s">
        <v>9</v>
      </c>
      <c r="L11" s="10" t="str">
        <f>LOOKUP(M11,Справочники!$B$2:$B$35,Справочники!$A$2:$A$35)</f>
        <v>Бухгалтерия</v>
      </c>
      <c r="M11" s="6" t="s">
        <v>13</v>
      </c>
      <c r="N11" s="6" t="s">
        <v>14</v>
      </c>
      <c r="O11" s="11">
        <v>34380</v>
      </c>
      <c r="P11" s="10">
        <f t="shared" ca="1" si="5"/>
        <v>28</v>
      </c>
      <c r="Q11" s="11">
        <v>25186</v>
      </c>
      <c r="R11" s="10">
        <f t="shared" ca="1" si="6"/>
        <v>53</v>
      </c>
      <c r="S11" s="10" t="str">
        <f>LOOKUP(L11,Справочники!$F$2:$F$10,Справочники!$H$2:$H$10)</f>
        <v>+7(8332)64-32-01</v>
      </c>
    </row>
    <row r="12" spans="1:19" ht="15" x14ac:dyDescent="0.25">
      <c r="A12" s="10">
        <v>143</v>
      </c>
      <c r="B12" s="12" t="s">
        <v>167</v>
      </c>
      <c r="C12" s="12" t="s">
        <v>168</v>
      </c>
      <c r="D12" s="12" t="s">
        <v>169</v>
      </c>
      <c r="E12" s="16">
        <f>LOOKUP(M12,Справочники!$B$2:$B$35,Справочники!$C$2:$C$35)</f>
        <v>11000</v>
      </c>
      <c r="F12" s="16">
        <f t="shared" ca="1" si="0"/>
        <v>5913.4910260033912</v>
      </c>
      <c r="G12" s="16">
        <f t="shared" si="1"/>
        <v>1650</v>
      </c>
      <c r="H12" s="16">
        <f t="shared" ca="1" si="2"/>
        <v>18563.49102600339</v>
      </c>
      <c r="I12" s="16">
        <f t="shared" ca="1" si="3"/>
        <v>2413.2538333804409</v>
      </c>
      <c r="J12" s="16">
        <f t="shared" ca="1" si="4"/>
        <v>16150.23719262295</v>
      </c>
      <c r="K12" s="10" t="s">
        <v>17</v>
      </c>
      <c r="L12" s="10" t="str">
        <f>LOOKUP(M12,Справочники!$B$2:$B$35,Справочники!$A$2:$A$35)</f>
        <v>Склад</v>
      </c>
      <c r="M12" s="6" t="s">
        <v>47</v>
      </c>
      <c r="N12" s="6" t="s">
        <v>33</v>
      </c>
      <c r="O12" s="11">
        <v>42016</v>
      </c>
      <c r="P12" s="10">
        <f t="shared" ca="1" si="5"/>
        <v>7</v>
      </c>
      <c r="Q12" s="11">
        <v>30232</v>
      </c>
      <c r="R12" s="10">
        <f t="shared" ca="1" si="6"/>
        <v>40</v>
      </c>
      <c r="S12" s="10" t="str">
        <f>LOOKUP(L12,Справочники!$F$2:$F$10,Справочники!$H$2:$H$10)</f>
        <v>+7(8332)64-32-23</v>
      </c>
    </row>
    <row r="13" spans="1:19" ht="15" x14ac:dyDescent="0.25">
      <c r="A13" s="10">
        <v>134</v>
      </c>
      <c r="B13" s="12" t="s">
        <v>146</v>
      </c>
      <c r="C13" s="12" t="s">
        <v>147</v>
      </c>
      <c r="D13" s="12" t="s">
        <v>148</v>
      </c>
      <c r="E13" s="16">
        <f>LOOKUP(M13,Справочники!$B$2:$B$35,Справочники!$C$2:$C$35)</f>
        <v>20000</v>
      </c>
      <c r="F13" s="16">
        <f t="shared" ca="1" si="0"/>
        <v>10751.801865460711</v>
      </c>
      <c r="G13" s="16">
        <f t="shared" si="1"/>
        <v>3000</v>
      </c>
      <c r="H13" s="16">
        <f t="shared" ca="1" si="2"/>
        <v>33751.801865460715</v>
      </c>
      <c r="I13" s="16">
        <f t="shared" ca="1" si="3"/>
        <v>4387.7342425098932</v>
      </c>
      <c r="J13" s="16">
        <f t="shared" ca="1" si="4"/>
        <v>29364.067622950821</v>
      </c>
      <c r="K13" s="10" t="s">
        <v>9</v>
      </c>
      <c r="L13" s="10" t="str">
        <f>LOOKUP(M13,Справочники!$B$2:$B$35,Справочники!$A$2:$A$35)</f>
        <v>Технологический отдел</v>
      </c>
      <c r="M13" s="6" t="s">
        <v>38</v>
      </c>
      <c r="N13" s="6" t="s">
        <v>14</v>
      </c>
      <c r="O13" s="11">
        <v>35208</v>
      </c>
      <c r="P13" s="10">
        <f t="shared" ca="1" si="5"/>
        <v>26</v>
      </c>
      <c r="Q13" s="11">
        <v>25186</v>
      </c>
      <c r="R13" s="10">
        <f t="shared" ca="1" si="6"/>
        <v>53</v>
      </c>
      <c r="S13" s="10" t="str">
        <f>LOOKUP(L13,Справочники!$F$2:$F$10,Справочники!$H$2:$H$10)</f>
        <v>+7(8332)64-32-18</v>
      </c>
    </row>
    <row r="14" spans="1:19" ht="15" x14ac:dyDescent="0.25">
      <c r="A14" s="10">
        <v>142</v>
      </c>
      <c r="B14" s="12" t="s">
        <v>165</v>
      </c>
      <c r="C14" s="12" t="s">
        <v>166</v>
      </c>
      <c r="D14" s="12" t="s">
        <v>127</v>
      </c>
      <c r="E14" s="16">
        <f>LOOKUP(M14,Справочники!$B$2:$B$35,Справочники!$C$2:$C$35)</f>
        <v>15000</v>
      </c>
      <c r="F14" s="16">
        <f t="shared" ca="1" si="0"/>
        <v>8063.8513990955325</v>
      </c>
      <c r="G14" s="16">
        <f t="shared" si="1"/>
        <v>2250</v>
      </c>
      <c r="H14" s="16">
        <f t="shared" ca="1" si="2"/>
        <v>25313.851399095533</v>
      </c>
      <c r="I14" s="16">
        <f t="shared" ca="1" si="3"/>
        <v>3290.8006818824192</v>
      </c>
      <c r="J14" s="16">
        <f t="shared" ca="1" si="4"/>
        <v>22023.050717213115</v>
      </c>
      <c r="K14" s="10" t="s">
        <v>9</v>
      </c>
      <c r="L14" s="10" t="str">
        <f>LOOKUP(M14,Справочники!$B$2:$B$35,Справочники!$A$2:$A$35)</f>
        <v>Склад</v>
      </c>
      <c r="M14" s="6" t="s">
        <v>46</v>
      </c>
      <c r="N14" s="6" t="s">
        <v>33</v>
      </c>
      <c r="O14" s="11">
        <v>34955</v>
      </c>
      <c r="P14" s="10">
        <f t="shared" ca="1" si="5"/>
        <v>27</v>
      </c>
      <c r="Q14" s="11">
        <v>24134</v>
      </c>
      <c r="R14" s="10">
        <f t="shared" ca="1" si="6"/>
        <v>56</v>
      </c>
      <c r="S14" s="10" t="str">
        <f>LOOKUP(L14,Справочники!$F$2:$F$10,Справочники!$H$2:$H$10)</f>
        <v>+7(8332)64-32-23</v>
      </c>
    </row>
    <row r="15" spans="1:19" ht="15" x14ac:dyDescent="0.25">
      <c r="A15" s="10">
        <v>114</v>
      </c>
      <c r="B15" s="12" t="s">
        <v>104</v>
      </c>
      <c r="C15" s="12" t="s">
        <v>105</v>
      </c>
      <c r="D15" s="12" t="s">
        <v>106</v>
      </c>
      <c r="E15" s="16">
        <f>LOOKUP(M15,Справочники!$B$2:$B$35,Справочники!$C$2:$C$35)</f>
        <v>22000</v>
      </c>
      <c r="F15" s="16">
        <f t="shared" ca="1" si="0"/>
        <v>0</v>
      </c>
      <c r="G15" s="16">
        <f t="shared" si="1"/>
        <v>3300</v>
      </c>
      <c r="H15" s="16">
        <f t="shared" ca="1" si="2"/>
        <v>25300</v>
      </c>
      <c r="I15" s="16">
        <f t="shared" ca="1" si="3"/>
        <v>3289</v>
      </c>
      <c r="J15" s="16">
        <f t="shared" ca="1" si="4"/>
        <v>22011</v>
      </c>
      <c r="K15" s="10" t="s">
        <v>9</v>
      </c>
      <c r="L15" s="10" t="str">
        <f>LOOKUP(M15,Справочники!$B$2:$B$35,Справочники!$A$2:$A$35)</f>
        <v>Технологический отдел</v>
      </c>
      <c r="M15" s="6" t="s">
        <v>30</v>
      </c>
      <c r="N15" s="6" t="s">
        <v>14</v>
      </c>
      <c r="O15" s="11">
        <v>43356</v>
      </c>
      <c r="P15" s="10">
        <f t="shared" ca="1" si="5"/>
        <v>4</v>
      </c>
      <c r="Q15" s="11">
        <v>24300</v>
      </c>
      <c r="R15" s="10">
        <f t="shared" ca="1" si="6"/>
        <v>56</v>
      </c>
      <c r="S15" s="10" t="str">
        <f>LOOKUP(L15,Справочники!$F$2:$F$10,Справочники!$H$2:$H$10)</f>
        <v>+7(8332)64-32-18</v>
      </c>
    </row>
    <row r="16" spans="1:19" ht="15" x14ac:dyDescent="0.25">
      <c r="A16" s="10">
        <v>108</v>
      </c>
      <c r="B16" s="12" t="s">
        <v>89</v>
      </c>
      <c r="C16" s="12" t="s">
        <v>90</v>
      </c>
      <c r="D16" s="12" t="s">
        <v>91</v>
      </c>
      <c r="E16" s="16">
        <f>LOOKUP(M16,Справочники!$B$2:$B$35,Справочники!$C$2:$C$35)</f>
        <v>35000</v>
      </c>
      <c r="F16" s="16">
        <f t="shared" ca="1" si="0"/>
        <v>18815.653264556244</v>
      </c>
      <c r="G16" s="16">
        <f t="shared" si="1"/>
        <v>5250</v>
      </c>
      <c r="H16" s="16">
        <f t="shared" ca="1" si="2"/>
        <v>59065.65326455624</v>
      </c>
      <c r="I16" s="16">
        <f t="shared" ca="1" si="3"/>
        <v>7678.534924392311</v>
      </c>
      <c r="J16" s="16">
        <f t="shared" ca="1" si="4"/>
        <v>51387.118340163928</v>
      </c>
      <c r="K16" s="10" t="s">
        <v>17</v>
      </c>
      <c r="L16" s="10" t="str">
        <f>LOOKUP(M16,Справочники!$B$2:$B$35,Справочники!$A$2:$A$35)</f>
        <v>Управление</v>
      </c>
      <c r="M16" s="6" t="s">
        <v>21</v>
      </c>
      <c r="N16" s="6" t="s">
        <v>14</v>
      </c>
      <c r="O16" s="11">
        <v>38579</v>
      </c>
      <c r="P16" s="10">
        <f t="shared" ca="1" si="5"/>
        <v>17</v>
      </c>
      <c r="Q16" s="11">
        <v>28499</v>
      </c>
      <c r="R16" s="10">
        <f t="shared" ca="1" si="6"/>
        <v>44</v>
      </c>
      <c r="S16" s="10" t="str">
        <f>LOOKUP(L16,Справочники!$F$2:$F$10,Справочники!$H$2:$H$10)</f>
        <v>+7(8332)64-32-18</v>
      </c>
    </row>
    <row r="17" spans="1:19" ht="15" x14ac:dyDescent="0.25">
      <c r="A17" s="10">
        <v>103</v>
      </c>
      <c r="B17" s="12" t="s">
        <v>74</v>
      </c>
      <c r="C17" s="12" t="s">
        <v>75</v>
      </c>
      <c r="D17" s="12" t="s">
        <v>76</v>
      </c>
      <c r="E17" s="16">
        <f>LOOKUP(M17,Справочники!$B$2:$B$35,Справочники!$C$2:$C$35)</f>
        <v>12000</v>
      </c>
      <c r="F17" s="16">
        <f t="shared" ca="1" si="0"/>
        <v>6451.0811192764268</v>
      </c>
      <c r="G17" s="16">
        <f t="shared" si="1"/>
        <v>1800</v>
      </c>
      <c r="H17" s="16">
        <f t="shared" ca="1" si="2"/>
        <v>20251.081119276427</v>
      </c>
      <c r="I17" s="16">
        <f t="shared" ca="1" si="3"/>
        <v>2632.6405455059357</v>
      </c>
      <c r="J17" s="16">
        <f t="shared" ca="1" si="4"/>
        <v>17618.440573770491</v>
      </c>
      <c r="K17" s="10" t="s">
        <v>9</v>
      </c>
      <c r="L17" s="10" t="str">
        <f>LOOKUP(M17,Справочники!$B$2:$B$35,Справочники!$A$2:$A$35)</f>
        <v>Бухгалтерия</v>
      </c>
      <c r="M17" s="6" t="s">
        <v>15</v>
      </c>
      <c r="N17" s="6" t="s">
        <v>12</v>
      </c>
      <c r="O17" s="11">
        <v>42962</v>
      </c>
      <c r="P17" s="10">
        <f t="shared" ca="1" si="5"/>
        <v>5</v>
      </c>
      <c r="Q17" s="11">
        <v>34762</v>
      </c>
      <c r="R17" s="10">
        <f t="shared" ca="1" si="6"/>
        <v>27</v>
      </c>
      <c r="S17" s="10" t="str">
        <f>LOOKUP(L17,Справочники!$F$2:$F$10,Справочники!$H$2:$H$10)</f>
        <v>+7(8332)64-32-01</v>
      </c>
    </row>
    <row r="18" spans="1:19" ht="15" x14ac:dyDescent="0.25">
      <c r="A18" s="10">
        <v>144</v>
      </c>
      <c r="B18" s="12" t="s">
        <v>170</v>
      </c>
      <c r="C18" s="12" t="s">
        <v>164</v>
      </c>
      <c r="D18" s="12" t="s">
        <v>171</v>
      </c>
      <c r="E18" s="16">
        <f>LOOKUP(M18,Справочники!$B$2:$B$35,Справочники!$C$2:$C$35)</f>
        <v>11000</v>
      </c>
      <c r="F18" s="16">
        <f t="shared" ca="1" si="0"/>
        <v>0</v>
      </c>
      <c r="G18" s="16">
        <f t="shared" si="1"/>
        <v>1650</v>
      </c>
      <c r="H18" s="16">
        <f t="shared" ca="1" si="2"/>
        <v>12650</v>
      </c>
      <c r="I18" s="16">
        <f t="shared" ca="1" si="3"/>
        <v>1644.5</v>
      </c>
      <c r="J18" s="16">
        <f t="shared" ca="1" si="4"/>
        <v>11005.5</v>
      </c>
      <c r="K18" s="10" t="s">
        <v>17</v>
      </c>
      <c r="L18" s="10" t="str">
        <f>LOOKUP(M18,Справочники!$B$2:$B$35,Справочники!$A$2:$A$35)</f>
        <v>Склад</v>
      </c>
      <c r="M18" s="6" t="s">
        <v>47</v>
      </c>
      <c r="N18" s="6" t="s">
        <v>33</v>
      </c>
      <c r="O18" s="11">
        <v>43115</v>
      </c>
      <c r="P18" s="10">
        <f t="shared" ca="1" si="5"/>
        <v>4</v>
      </c>
      <c r="Q18" s="11">
        <v>33207</v>
      </c>
      <c r="R18" s="10">
        <f t="shared" ca="1" si="6"/>
        <v>31</v>
      </c>
      <c r="S18" s="10" t="str">
        <f>LOOKUP(L18,Справочники!$F$2:$F$10,Справочники!$H$2:$H$10)</f>
        <v>+7(8332)64-32-23</v>
      </c>
    </row>
    <row r="19" spans="1:19" ht="15" x14ac:dyDescent="0.25">
      <c r="A19" s="10">
        <v>132</v>
      </c>
      <c r="B19" s="12" t="s">
        <v>143</v>
      </c>
      <c r="C19" s="12" t="s">
        <v>141</v>
      </c>
      <c r="D19" s="12" t="s">
        <v>85</v>
      </c>
      <c r="E19" s="16">
        <f>LOOKUP(M19,Справочники!$B$2:$B$35,Справочники!$C$2:$C$35)</f>
        <v>15000</v>
      </c>
      <c r="F19" s="16">
        <f t="shared" ca="1" si="0"/>
        <v>8063.8513990955325</v>
      </c>
      <c r="G19" s="16">
        <f t="shared" si="1"/>
        <v>2250</v>
      </c>
      <c r="H19" s="16">
        <f t="shared" ca="1" si="2"/>
        <v>25313.851399095533</v>
      </c>
      <c r="I19" s="16">
        <f t="shared" ca="1" si="3"/>
        <v>3290.8006818824192</v>
      </c>
      <c r="J19" s="16">
        <f t="shared" ca="1" si="4"/>
        <v>22023.050717213115</v>
      </c>
      <c r="K19" s="10" t="s">
        <v>17</v>
      </c>
      <c r="L19" s="10" t="str">
        <f>LOOKUP(M19,Справочники!$B$2:$B$35,Справочники!$A$2:$A$35)</f>
        <v>Отдел продаж</v>
      </c>
      <c r="M19" s="6" t="s">
        <v>42</v>
      </c>
      <c r="N19" s="6" t="s">
        <v>12</v>
      </c>
      <c r="O19" s="11">
        <v>41306</v>
      </c>
      <c r="P19" s="10">
        <f t="shared" ca="1" si="5"/>
        <v>9</v>
      </c>
      <c r="Q19" s="11">
        <v>33115</v>
      </c>
      <c r="R19" s="10">
        <f t="shared" ca="1" si="6"/>
        <v>32</v>
      </c>
      <c r="S19" s="10" t="str">
        <f>LOOKUP(L19,Справочники!$F$2:$F$10,Справочники!$H$2:$H$10)</f>
        <v>+7(8332)64-32-01</v>
      </c>
    </row>
    <row r="20" spans="1:19" ht="15" x14ac:dyDescent="0.25">
      <c r="A20" s="10">
        <v>151</v>
      </c>
      <c r="B20" s="12" t="s">
        <v>183</v>
      </c>
      <c r="C20" s="12" t="s">
        <v>161</v>
      </c>
      <c r="D20" s="12" t="s">
        <v>184</v>
      </c>
      <c r="E20" s="16">
        <f>LOOKUP(M20,Справочники!$B$2:$B$35,Справочники!$C$2:$C$35)</f>
        <v>19000</v>
      </c>
      <c r="F20" s="16">
        <f t="shared" ca="1" si="0"/>
        <v>10214.211772187675</v>
      </c>
      <c r="G20" s="16">
        <f t="shared" si="1"/>
        <v>2850</v>
      </c>
      <c r="H20" s="16">
        <f t="shared" ca="1" si="2"/>
        <v>32064.211772187675</v>
      </c>
      <c r="I20" s="16">
        <f t="shared" ca="1" si="3"/>
        <v>4168.3475303843979</v>
      </c>
      <c r="J20" s="16">
        <f t="shared" ca="1" si="4"/>
        <v>27895.864241803276</v>
      </c>
      <c r="K20" s="10" t="s">
        <v>9</v>
      </c>
      <c r="L20" s="10" t="str">
        <f>LOOKUP(M20,Справочники!$B$2:$B$35,Справочники!$A$2:$A$35)</f>
        <v>Редакторский отдел</v>
      </c>
      <c r="M20" s="7" t="s">
        <v>53</v>
      </c>
      <c r="N20" s="6" t="s">
        <v>25</v>
      </c>
      <c r="O20" s="11">
        <v>35445</v>
      </c>
      <c r="P20" s="10">
        <f t="shared" ca="1" si="5"/>
        <v>25</v>
      </c>
      <c r="Q20" s="11">
        <v>26821</v>
      </c>
      <c r="R20" s="10">
        <f t="shared" ca="1" si="6"/>
        <v>49</v>
      </c>
      <c r="S20" s="10" t="str">
        <f>LOOKUP(L20,Справочники!$F$2:$F$10,Справочники!$H$2:$H$10)</f>
        <v>+7(8332)64-32-01</v>
      </c>
    </row>
    <row r="21" spans="1:19" ht="15" x14ac:dyDescent="0.25">
      <c r="A21" s="10">
        <v>161</v>
      </c>
      <c r="B21" s="12" t="s">
        <v>204</v>
      </c>
      <c r="C21" s="12" t="s">
        <v>205</v>
      </c>
      <c r="D21" s="12" t="s">
        <v>145</v>
      </c>
      <c r="E21" s="16">
        <f>LOOKUP(M21,Справочники!$B$2:$B$35,Справочники!$C$2:$C$35)</f>
        <v>12000</v>
      </c>
      <c r="F21" s="16">
        <f t="shared" ca="1" si="0"/>
        <v>6451.0811192764268</v>
      </c>
      <c r="G21" s="16">
        <f t="shared" si="1"/>
        <v>1800</v>
      </c>
      <c r="H21" s="16">
        <f t="shared" ca="1" si="2"/>
        <v>20251.081119276427</v>
      </c>
      <c r="I21" s="16">
        <f t="shared" ca="1" si="3"/>
        <v>2632.6405455059357</v>
      </c>
      <c r="J21" s="16">
        <f t="shared" ca="1" si="4"/>
        <v>17618.440573770491</v>
      </c>
      <c r="K21" s="10" t="s">
        <v>17</v>
      </c>
      <c r="L21" s="10" t="str">
        <f>LOOKUP(M21,Справочники!$B$2:$B$35,Справочники!$A$2:$A$35)</f>
        <v>Транспортный отдел</v>
      </c>
      <c r="M21" s="6" t="s">
        <v>50</v>
      </c>
      <c r="N21" s="6" t="s">
        <v>12</v>
      </c>
      <c r="O21" s="11">
        <v>31108</v>
      </c>
      <c r="P21" s="10">
        <f t="shared" ca="1" si="5"/>
        <v>37</v>
      </c>
      <c r="Q21" s="11">
        <v>23891</v>
      </c>
      <c r="R21" s="10">
        <f t="shared" ca="1" si="6"/>
        <v>57</v>
      </c>
      <c r="S21" s="10" t="str">
        <f>LOOKUP(L21,Справочники!$F$2:$F$10,Справочники!$H$2:$H$10)</f>
        <v>+7(8332)64-32-18</v>
      </c>
    </row>
    <row r="22" spans="1:19" ht="15" x14ac:dyDescent="0.25">
      <c r="A22" s="10">
        <v>152</v>
      </c>
      <c r="B22" s="12" t="s">
        <v>185</v>
      </c>
      <c r="C22" s="12" t="s">
        <v>186</v>
      </c>
      <c r="D22" s="12" t="s">
        <v>76</v>
      </c>
      <c r="E22" s="16">
        <f>LOOKUP(M22,Справочники!$B$2:$B$35,Справочники!$C$2:$C$35)</f>
        <v>14000</v>
      </c>
      <c r="F22" s="16">
        <f t="shared" ca="1" si="0"/>
        <v>7526.261305822497</v>
      </c>
      <c r="G22" s="16">
        <f t="shared" si="1"/>
        <v>2100</v>
      </c>
      <c r="H22" s="16">
        <f t="shared" ca="1" si="2"/>
        <v>23626.261305822496</v>
      </c>
      <c r="I22" s="16">
        <f t="shared" ca="1" si="3"/>
        <v>3071.4139697569244</v>
      </c>
      <c r="J22" s="16">
        <f t="shared" ca="1" si="4"/>
        <v>20554.84733606557</v>
      </c>
      <c r="K22" s="10" t="s">
        <v>9</v>
      </c>
      <c r="L22" s="10" t="str">
        <f>LOOKUP(M22,Справочники!$B$2:$B$35,Справочники!$A$2:$A$35)</f>
        <v>Редакторский отдел</v>
      </c>
      <c r="M22" s="7" t="s">
        <v>54</v>
      </c>
      <c r="N22" s="6" t="s">
        <v>25</v>
      </c>
      <c r="O22" s="11">
        <v>40998</v>
      </c>
      <c r="P22" s="10">
        <f t="shared" ca="1" si="5"/>
        <v>10</v>
      </c>
      <c r="Q22" s="11">
        <v>30213</v>
      </c>
      <c r="R22" s="10">
        <f t="shared" ca="1" si="6"/>
        <v>40</v>
      </c>
      <c r="S22" s="10" t="str">
        <f>LOOKUP(L22,Справочники!$F$2:$F$10,Справочники!$H$2:$H$10)</f>
        <v>+7(8332)64-32-01</v>
      </c>
    </row>
    <row r="23" spans="1:19" ht="15" x14ac:dyDescent="0.25">
      <c r="A23" s="10">
        <v>115</v>
      </c>
      <c r="B23" s="12" t="s">
        <v>107</v>
      </c>
      <c r="C23" s="12" t="s">
        <v>108</v>
      </c>
      <c r="D23" s="12" t="s">
        <v>76</v>
      </c>
      <c r="E23" s="16">
        <f>LOOKUP(M23,Справочники!$B$2:$B$35,Справочники!$C$2:$C$35)</f>
        <v>12000</v>
      </c>
      <c r="F23" s="16">
        <f t="shared" ca="1" si="0"/>
        <v>6451.0811192764268</v>
      </c>
      <c r="G23" s="16">
        <f t="shared" si="1"/>
        <v>1800</v>
      </c>
      <c r="H23" s="16">
        <f t="shared" ca="1" si="2"/>
        <v>20251.081119276427</v>
      </c>
      <c r="I23" s="16">
        <f t="shared" ca="1" si="3"/>
        <v>2632.6405455059357</v>
      </c>
      <c r="J23" s="16">
        <f t="shared" ca="1" si="4"/>
        <v>17618.440573770491</v>
      </c>
      <c r="K23" s="10" t="s">
        <v>9</v>
      </c>
      <c r="L23" s="10" t="str">
        <f>LOOKUP(M23,Справочники!$B$2:$B$35,Справочники!$A$2:$A$35)</f>
        <v>Технологический отдел</v>
      </c>
      <c r="M23" s="6" t="s">
        <v>31</v>
      </c>
      <c r="N23" s="6" t="s">
        <v>12</v>
      </c>
      <c r="O23" s="11">
        <v>35096</v>
      </c>
      <c r="P23" s="10">
        <f t="shared" ca="1" si="5"/>
        <v>26</v>
      </c>
      <c r="Q23" s="11">
        <v>26553</v>
      </c>
      <c r="R23" s="10">
        <f t="shared" ca="1" si="6"/>
        <v>50</v>
      </c>
      <c r="S23" s="10" t="str">
        <f>LOOKUP(L23,Справочники!$F$2:$F$10,Справочники!$H$2:$H$10)</f>
        <v>+7(8332)64-32-18</v>
      </c>
    </row>
    <row r="24" spans="1:19" ht="15" x14ac:dyDescent="0.25">
      <c r="A24" s="10">
        <v>141</v>
      </c>
      <c r="B24" s="12" t="s">
        <v>163</v>
      </c>
      <c r="C24" s="12" t="s">
        <v>164</v>
      </c>
      <c r="D24" s="12" t="s">
        <v>93</v>
      </c>
      <c r="E24" s="16">
        <f>LOOKUP(M24,Справочники!$B$2:$B$35,Справочники!$C$2:$C$35)</f>
        <v>18000</v>
      </c>
      <c r="F24" s="16">
        <f t="shared" ca="1" si="0"/>
        <v>9676.6216789146401</v>
      </c>
      <c r="G24" s="16">
        <f t="shared" si="1"/>
        <v>2700</v>
      </c>
      <c r="H24" s="16">
        <f t="shared" ca="1" si="2"/>
        <v>30376.621678914642</v>
      </c>
      <c r="I24" s="16">
        <f t="shared" ca="1" si="3"/>
        <v>3948.9608182589036</v>
      </c>
      <c r="J24" s="16">
        <f t="shared" ca="1" si="4"/>
        <v>26427.660860655738</v>
      </c>
      <c r="K24" s="10" t="s">
        <v>17</v>
      </c>
      <c r="L24" s="10" t="str">
        <f>LOOKUP(M24,Справочники!$B$2:$B$35,Справочники!$A$2:$A$35)</f>
        <v>Отдел худ. оформления</v>
      </c>
      <c r="M24" s="6" t="s">
        <v>44</v>
      </c>
      <c r="N24" s="6" t="s">
        <v>14</v>
      </c>
      <c r="O24" s="11">
        <v>35290</v>
      </c>
      <c r="P24" s="10">
        <f t="shared" ca="1" si="5"/>
        <v>26</v>
      </c>
      <c r="Q24" s="11">
        <v>27405</v>
      </c>
      <c r="R24" s="10">
        <f t="shared" ca="1" si="6"/>
        <v>47</v>
      </c>
      <c r="S24" s="10" t="str">
        <f>LOOKUP(L24,Справочники!$F$2:$F$10,Справочники!$H$2:$H$10)</f>
        <v>+7(8332)64-32-01</v>
      </c>
    </row>
    <row r="25" spans="1:19" ht="15" x14ac:dyDescent="0.25">
      <c r="A25" s="10">
        <v>131</v>
      </c>
      <c r="B25" s="12" t="s">
        <v>140</v>
      </c>
      <c r="C25" s="12" t="s">
        <v>141</v>
      </c>
      <c r="D25" s="12" t="s">
        <v>142</v>
      </c>
      <c r="E25" s="16">
        <f>LOOKUP(M25,Справочники!$B$2:$B$35,Справочники!$C$2:$C$35)</f>
        <v>22000</v>
      </c>
      <c r="F25" s="16">
        <f t="shared" ca="1" si="0"/>
        <v>11826.982052006782</v>
      </c>
      <c r="G25" s="16">
        <f t="shared" si="1"/>
        <v>3300</v>
      </c>
      <c r="H25" s="16">
        <f t="shared" ca="1" si="2"/>
        <v>37126.982052006781</v>
      </c>
      <c r="I25" s="16">
        <f t="shared" ca="1" si="3"/>
        <v>4826.5076667608819</v>
      </c>
      <c r="J25" s="16">
        <f t="shared" ca="1" si="4"/>
        <v>32300.4743852459</v>
      </c>
      <c r="K25" s="10" t="s">
        <v>17</v>
      </c>
      <c r="L25" s="10" t="str">
        <f>LOOKUP(M25,Справочники!$B$2:$B$35,Справочники!$A$2:$A$35)</f>
        <v>Рекламный отдел</v>
      </c>
      <c r="M25" s="6" t="s">
        <v>27</v>
      </c>
      <c r="N25" s="6" t="s">
        <v>14</v>
      </c>
      <c r="O25" s="11">
        <v>39459</v>
      </c>
      <c r="P25" s="10">
        <f t="shared" ca="1" si="5"/>
        <v>14</v>
      </c>
      <c r="Q25" s="11">
        <v>27953</v>
      </c>
      <c r="R25" s="10">
        <f t="shared" ca="1" si="6"/>
        <v>46</v>
      </c>
      <c r="S25" s="10" t="str">
        <f>LOOKUP(L25,Справочники!$F$2:$F$10,Справочники!$H$2:$H$10)</f>
        <v>+7(8332)64-32-01</v>
      </c>
    </row>
    <row r="26" spans="1:19" ht="15" x14ac:dyDescent="0.25">
      <c r="A26" s="10">
        <v>153</v>
      </c>
      <c r="B26" s="12" t="s">
        <v>187</v>
      </c>
      <c r="C26" s="12" t="s">
        <v>158</v>
      </c>
      <c r="D26" s="12" t="s">
        <v>111</v>
      </c>
      <c r="E26" s="16">
        <f>LOOKUP(M26,Справочники!$B$2:$B$35,Справочники!$C$2:$C$35)</f>
        <v>16000</v>
      </c>
      <c r="F26" s="16">
        <f t="shared" ca="1" si="0"/>
        <v>8601.441492368569</v>
      </c>
      <c r="G26" s="16">
        <f t="shared" si="1"/>
        <v>2400</v>
      </c>
      <c r="H26" s="16">
        <f t="shared" ca="1" si="2"/>
        <v>27001.441492368569</v>
      </c>
      <c r="I26" s="16">
        <f t="shared" ca="1" si="3"/>
        <v>3510.187394007914</v>
      </c>
      <c r="J26" s="16">
        <f t="shared" ca="1" si="4"/>
        <v>23491.254098360656</v>
      </c>
      <c r="K26" s="10" t="s">
        <v>9</v>
      </c>
      <c r="L26" s="10" t="str">
        <f>LOOKUP(M26,Справочники!$B$2:$B$35,Справочники!$A$2:$A$35)</f>
        <v>Редакторский отдел</v>
      </c>
      <c r="M26" s="6" t="s">
        <v>52</v>
      </c>
      <c r="N26" s="6" t="s">
        <v>14</v>
      </c>
      <c r="O26" s="11">
        <v>36220</v>
      </c>
      <c r="P26" s="10">
        <f t="shared" ca="1" si="5"/>
        <v>23</v>
      </c>
      <c r="Q26" s="11">
        <v>26580</v>
      </c>
      <c r="R26" s="10">
        <f t="shared" ca="1" si="6"/>
        <v>50</v>
      </c>
      <c r="S26" s="10" t="str">
        <f>LOOKUP(L26,Справочники!$F$2:$F$10,Справочники!$H$2:$H$10)</f>
        <v>+7(8332)64-32-01</v>
      </c>
    </row>
    <row r="27" spans="1:19" ht="15" x14ac:dyDescent="0.25">
      <c r="A27" s="10">
        <v>154</v>
      </c>
      <c r="B27" s="12" t="s">
        <v>188</v>
      </c>
      <c r="C27" s="12" t="s">
        <v>189</v>
      </c>
      <c r="D27" s="12" t="s">
        <v>162</v>
      </c>
      <c r="E27" s="16">
        <f>LOOKUP(M27,Справочники!$B$2:$B$35,Справочники!$C$2:$C$35)</f>
        <v>14000</v>
      </c>
      <c r="F27" s="16">
        <f t="shared" ca="1" si="0"/>
        <v>7526.261305822497</v>
      </c>
      <c r="G27" s="16">
        <f t="shared" si="1"/>
        <v>2100</v>
      </c>
      <c r="H27" s="16">
        <f t="shared" ca="1" si="2"/>
        <v>23626.261305822496</v>
      </c>
      <c r="I27" s="16">
        <f t="shared" ca="1" si="3"/>
        <v>3071.4139697569244</v>
      </c>
      <c r="J27" s="16">
        <f t="shared" ca="1" si="4"/>
        <v>20554.84733606557</v>
      </c>
      <c r="K27" s="10" t="s">
        <v>9</v>
      </c>
      <c r="L27" s="10" t="str">
        <f>LOOKUP(M27,Справочники!$B$2:$B$35,Справочники!$A$2:$A$35)</f>
        <v>Редакторский отдел</v>
      </c>
      <c r="M27" s="7" t="s">
        <v>54</v>
      </c>
      <c r="N27" s="6" t="s">
        <v>14</v>
      </c>
      <c r="O27" s="11">
        <v>35258</v>
      </c>
      <c r="P27" s="10">
        <f t="shared" ca="1" si="5"/>
        <v>26</v>
      </c>
      <c r="Q27" s="11">
        <v>21600</v>
      </c>
      <c r="R27" s="10">
        <f t="shared" ca="1" si="6"/>
        <v>63</v>
      </c>
      <c r="S27" s="10" t="str">
        <f>LOOKUP(L27,Справочники!$F$2:$F$10,Справочники!$H$2:$H$10)</f>
        <v>+7(8332)64-32-01</v>
      </c>
    </row>
    <row r="28" spans="1:19" ht="15" x14ac:dyDescent="0.25">
      <c r="A28" s="10">
        <v>155</v>
      </c>
      <c r="B28" s="12" t="s">
        <v>190</v>
      </c>
      <c r="C28" s="12" t="s">
        <v>191</v>
      </c>
      <c r="D28" s="12" t="s">
        <v>192</v>
      </c>
      <c r="E28" s="16">
        <f>LOOKUP(M28,Справочники!$B$2:$B$35,Справочники!$C$2:$C$35)</f>
        <v>14000</v>
      </c>
      <c r="F28" s="16">
        <f t="shared" ca="1" si="0"/>
        <v>7526.261305822497</v>
      </c>
      <c r="G28" s="16">
        <f t="shared" si="1"/>
        <v>2100</v>
      </c>
      <c r="H28" s="16">
        <f t="shared" ca="1" si="2"/>
        <v>23626.261305822496</v>
      </c>
      <c r="I28" s="16">
        <f t="shared" ca="1" si="3"/>
        <v>3071.4139697569244</v>
      </c>
      <c r="J28" s="16">
        <f t="shared" ca="1" si="4"/>
        <v>20554.84733606557</v>
      </c>
      <c r="K28" s="10" t="s">
        <v>9</v>
      </c>
      <c r="L28" s="10" t="str">
        <f>LOOKUP(M28,Справочники!$B$2:$B$35,Справочники!$A$2:$A$35)</f>
        <v>Редакторский отдел</v>
      </c>
      <c r="M28" s="7" t="s">
        <v>55</v>
      </c>
      <c r="N28" s="6" t="s">
        <v>14</v>
      </c>
      <c r="O28" s="11">
        <v>35442</v>
      </c>
      <c r="P28" s="10">
        <f t="shared" ca="1" si="5"/>
        <v>25</v>
      </c>
      <c r="Q28" s="11">
        <v>24134</v>
      </c>
      <c r="R28" s="10">
        <f t="shared" ca="1" si="6"/>
        <v>56</v>
      </c>
      <c r="S28" s="10" t="str">
        <f>LOOKUP(L28,Справочники!$F$2:$F$10,Справочники!$H$2:$H$10)</f>
        <v>+7(8332)64-32-01</v>
      </c>
    </row>
    <row r="29" spans="1:19" ht="15" x14ac:dyDescent="0.25">
      <c r="A29" s="10">
        <v>135</v>
      </c>
      <c r="B29" s="12" t="s">
        <v>149</v>
      </c>
      <c r="C29" s="12" t="s">
        <v>75</v>
      </c>
      <c r="D29" s="12" t="s">
        <v>96</v>
      </c>
      <c r="E29" s="16">
        <f>LOOKUP(M29,Справочники!$B$2:$B$35,Справочники!$C$2:$C$35)</f>
        <v>20000</v>
      </c>
      <c r="F29" s="16">
        <f t="shared" ca="1" si="0"/>
        <v>10751.801865460711</v>
      </c>
      <c r="G29" s="16">
        <f t="shared" si="1"/>
        <v>3000</v>
      </c>
      <c r="H29" s="16">
        <f t="shared" ca="1" si="2"/>
        <v>33751.801865460715</v>
      </c>
      <c r="I29" s="16">
        <f t="shared" ca="1" si="3"/>
        <v>4387.7342425098932</v>
      </c>
      <c r="J29" s="16">
        <f t="shared" ca="1" si="4"/>
        <v>29364.067622950821</v>
      </c>
      <c r="K29" s="10" t="s">
        <v>9</v>
      </c>
      <c r="L29" s="10" t="str">
        <f>LOOKUP(M29,Справочники!$B$2:$B$35,Справочники!$A$2:$A$35)</f>
        <v>Технологический отдел</v>
      </c>
      <c r="M29" s="6" t="s">
        <v>38</v>
      </c>
      <c r="N29" s="6" t="s">
        <v>25</v>
      </c>
      <c r="O29" s="11">
        <v>35290</v>
      </c>
      <c r="P29" s="10">
        <f t="shared" ca="1" si="5"/>
        <v>26</v>
      </c>
      <c r="Q29" s="11">
        <v>23891</v>
      </c>
      <c r="R29" s="10">
        <f t="shared" ca="1" si="6"/>
        <v>57</v>
      </c>
      <c r="S29" s="10" t="str">
        <f>LOOKUP(L29,Справочники!$F$2:$F$10,Справочники!$H$2:$H$10)</f>
        <v>+7(8332)64-32-18</v>
      </c>
    </row>
    <row r="30" spans="1:19" ht="15" x14ac:dyDescent="0.25">
      <c r="A30" s="10">
        <v>128</v>
      </c>
      <c r="B30" s="12" t="s">
        <v>133</v>
      </c>
      <c r="C30" s="12" t="s">
        <v>90</v>
      </c>
      <c r="D30" s="12" t="s">
        <v>132</v>
      </c>
      <c r="E30" s="16">
        <f>LOOKUP(M30,Справочники!$B$2:$B$35,Справочники!$C$2:$C$35)</f>
        <v>18000</v>
      </c>
      <c r="F30" s="16">
        <f t="shared" ca="1" si="0"/>
        <v>9676.6216789146401</v>
      </c>
      <c r="G30" s="16">
        <f t="shared" si="1"/>
        <v>2700</v>
      </c>
      <c r="H30" s="16">
        <f t="shared" ca="1" si="2"/>
        <v>30376.621678914642</v>
      </c>
      <c r="I30" s="16">
        <f t="shared" ca="1" si="3"/>
        <v>3948.9608182589036</v>
      </c>
      <c r="J30" s="16">
        <f t="shared" ca="1" si="4"/>
        <v>26427.660860655738</v>
      </c>
      <c r="K30" s="10" t="s">
        <v>17</v>
      </c>
      <c r="L30" s="10" t="str">
        <f>LOOKUP(M30,Справочники!$B$2:$B$35,Справочники!$A$2:$A$35)</f>
        <v>Рекламный отдел</v>
      </c>
      <c r="M30" s="6" t="s">
        <v>39</v>
      </c>
      <c r="N30" s="6" t="s">
        <v>12</v>
      </c>
      <c r="O30" s="11">
        <v>42260</v>
      </c>
      <c r="P30" s="10">
        <f t="shared" ca="1" si="5"/>
        <v>7</v>
      </c>
      <c r="Q30" s="11">
        <v>32292</v>
      </c>
      <c r="R30" s="10">
        <f t="shared" ca="1" si="6"/>
        <v>34</v>
      </c>
      <c r="S30" s="10" t="str">
        <f>LOOKUP(L30,Справочники!$F$2:$F$10,Справочники!$H$2:$H$10)</f>
        <v>+7(8332)64-32-01</v>
      </c>
    </row>
    <row r="31" spans="1:19" ht="15" x14ac:dyDescent="0.25">
      <c r="A31" s="10">
        <v>106</v>
      </c>
      <c r="B31" s="12" t="s">
        <v>83</v>
      </c>
      <c r="C31" s="12" t="s">
        <v>84</v>
      </c>
      <c r="D31" s="12" t="s">
        <v>85</v>
      </c>
      <c r="E31" s="16">
        <f>LOOKUP(M31,Справочники!$B$2:$B$35,Справочники!$C$2:$C$35)</f>
        <v>12000</v>
      </c>
      <c r="F31" s="16">
        <f t="shared" ca="1" si="0"/>
        <v>6451.0811192764268</v>
      </c>
      <c r="G31" s="16">
        <f t="shared" si="1"/>
        <v>1800</v>
      </c>
      <c r="H31" s="16">
        <f t="shared" ca="1" si="2"/>
        <v>20251.081119276427</v>
      </c>
      <c r="I31" s="16">
        <f t="shared" ca="1" si="3"/>
        <v>2632.6405455059357</v>
      </c>
      <c r="J31" s="16">
        <f t="shared" ca="1" si="4"/>
        <v>17618.440573770491</v>
      </c>
      <c r="K31" s="10" t="s">
        <v>17</v>
      </c>
      <c r="L31" s="10" t="str">
        <f>LOOKUP(M31,Справочники!$B$2:$B$35,Справочники!$A$2:$A$35)</f>
        <v>Бухгалтерия</v>
      </c>
      <c r="M31" s="6" t="s">
        <v>11</v>
      </c>
      <c r="N31" s="6" t="s">
        <v>25</v>
      </c>
      <c r="O31" s="11">
        <v>42626</v>
      </c>
      <c r="P31" s="10">
        <f t="shared" ca="1" si="5"/>
        <v>6</v>
      </c>
      <c r="Q31" s="11">
        <v>31062</v>
      </c>
      <c r="R31" s="10">
        <f t="shared" ca="1" si="6"/>
        <v>37</v>
      </c>
      <c r="S31" s="10" t="str">
        <f>LOOKUP(L31,Справочники!$F$2:$F$10,Справочники!$H$2:$H$10)</f>
        <v>+7(8332)64-32-01</v>
      </c>
    </row>
    <row r="32" spans="1:19" ht="15" x14ac:dyDescent="0.25">
      <c r="A32" s="10">
        <v>104</v>
      </c>
      <c r="B32" s="12" t="s">
        <v>77</v>
      </c>
      <c r="C32" s="12" t="s">
        <v>78</v>
      </c>
      <c r="D32" s="12" t="s">
        <v>79</v>
      </c>
      <c r="E32" s="16">
        <f>LOOKUP(M32,Справочники!$B$2:$B$35,Справочники!$C$2:$C$35)</f>
        <v>15000</v>
      </c>
      <c r="F32" s="16">
        <f t="shared" ca="1" si="0"/>
        <v>8063.8513990955325</v>
      </c>
      <c r="G32" s="16">
        <f t="shared" si="1"/>
        <v>2250</v>
      </c>
      <c r="H32" s="16">
        <f t="shared" ca="1" si="2"/>
        <v>25313.851399095533</v>
      </c>
      <c r="I32" s="16">
        <f t="shared" ca="1" si="3"/>
        <v>3290.8006818824192</v>
      </c>
      <c r="J32" s="16">
        <f t="shared" ca="1" si="4"/>
        <v>22023.050717213115</v>
      </c>
      <c r="K32" s="10" t="s">
        <v>9</v>
      </c>
      <c r="L32" s="10" t="str">
        <f>LOOKUP(M32,Справочники!$B$2:$B$35,Справочники!$A$2:$A$35)</f>
        <v>Бухгалтерия</v>
      </c>
      <c r="M32" s="6" t="s">
        <v>16</v>
      </c>
      <c r="N32" s="6" t="s">
        <v>14</v>
      </c>
      <c r="O32" s="11">
        <v>41530</v>
      </c>
      <c r="P32" s="10">
        <f t="shared" ca="1" si="5"/>
        <v>9</v>
      </c>
      <c r="Q32" s="11">
        <v>25346</v>
      </c>
      <c r="R32" s="10">
        <f t="shared" ca="1" si="6"/>
        <v>53</v>
      </c>
      <c r="S32" s="10" t="str">
        <f>LOOKUP(L32,Справочники!$F$2:$F$10,Справочники!$H$2:$H$10)</f>
        <v>+7(8332)64-32-01</v>
      </c>
    </row>
    <row r="33" spans="1:19" ht="15" x14ac:dyDescent="0.25">
      <c r="A33" s="10">
        <v>116</v>
      </c>
      <c r="B33" s="12" t="s">
        <v>109</v>
      </c>
      <c r="C33" s="12" t="s">
        <v>110</v>
      </c>
      <c r="D33" s="12" t="s">
        <v>111</v>
      </c>
      <c r="E33" s="16">
        <f>LOOKUP(M33,Справочники!$B$2:$B$35,Справочники!$C$2:$C$35)</f>
        <v>15000</v>
      </c>
      <c r="F33" s="16">
        <f t="shared" ca="1" si="0"/>
        <v>8063.8513990955325</v>
      </c>
      <c r="G33" s="16">
        <f t="shared" si="1"/>
        <v>2250</v>
      </c>
      <c r="H33" s="16">
        <f t="shared" ca="1" si="2"/>
        <v>25313.851399095533</v>
      </c>
      <c r="I33" s="16">
        <f t="shared" ca="1" si="3"/>
        <v>3290.8006818824192</v>
      </c>
      <c r="J33" s="16">
        <f t="shared" ca="1" si="4"/>
        <v>22023.050717213115</v>
      </c>
      <c r="K33" s="10" t="s">
        <v>9</v>
      </c>
      <c r="L33" s="10" t="str">
        <f>LOOKUP(M33,Справочники!$B$2:$B$35,Справочники!$A$2:$A$35)</f>
        <v>Технологический отдел</v>
      </c>
      <c r="M33" s="6" t="s">
        <v>32</v>
      </c>
      <c r="N33" s="6" t="s">
        <v>12</v>
      </c>
      <c r="O33" s="11">
        <v>35292</v>
      </c>
      <c r="P33" s="10">
        <f t="shared" ca="1" si="5"/>
        <v>26</v>
      </c>
      <c r="Q33" s="11">
        <v>25810</v>
      </c>
      <c r="R33" s="10">
        <f t="shared" ca="1" si="6"/>
        <v>52</v>
      </c>
      <c r="S33" s="10" t="str">
        <f>LOOKUP(L33,Справочники!$F$2:$F$10,Справочники!$H$2:$H$10)</f>
        <v>+7(8332)64-32-18</v>
      </c>
    </row>
    <row r="34" spans="1:19" ht="15" x14ac:dyDescent="0.25">
      <c r="A34" s="10">
        <v>112</v>
      </c>
      <c r="B34" s="12" t="s">
        <v>99</v>
      </c>
      <c r="C34" s="12" t="s">
        <v>100</v>
      </c>
      <c r="D34" s="12" t="s">
        <v>101</v>
      </c>
      <c r="E34" s="16">
        <f>LOOKUP(M34,Справочники!$B$2:$B$35,Справочники!$C$2:$C$35)</f>
        <v>22000</v>
      </c>
      <c r="F34" s="16">
        <f t="shared" ca="1" si="0"/>
        <v>11826.982052006782</v>
      </c>
      <c r="G34" s="16">
        <f t="shared" si="1"/>
        <v>3300</v>
      </c>
      <c r="H34" s="16">
        <f t="shared" ca="1" si="2"/>
        <v>37126.982052006781</v>
      </c>
      <c r="I34" s="16">
        <f t="shared" ca="1" si="3"/>
        <v>4826.5076667608819</v>
      </c>
      <c r="J34" s="16">
        <f t="shared" ca="1" si="4"/>
        <v>32300.4743852459</v>
      </c>
      <c r="K34" s="10" t="s">
        <v>17</v>
      </c>
      <c r="L34" s="10" t="str">
        <f>LOOKUP(M34,Справочники!$B$2:$B$35,Справочники!$A$2:$A$35)</f>
        <v>Рекламный отдел</v>
      </c>
      <c r="M34" s="6" t="s">
        <v>27</v>
      </c>
      <c r="N34" s="6" t="s">
        <v>14</v>
      </c>
      <c r="O34" s="11">
        <v>40966</v>
      </c>
      <c r="P34" s="10">
        <f t="shared" ca="1" si="5"/>
        <v>10</v>
      </c>
      <c r="Q34" s="11">
        <v>31390</v>
      </c>
      <c r="R34" s="10">
        <f t="shared" ca="1" si="6"/>
        <v>36</v>
      </c>
      <c r="S34" s="10" t="str">
        <f>LOOKUP(L34,Справочники!$F$2:$F$10,Справочники!$H$2:$H$10)</f>
        <v>+7(8332)64-32-01</v>
      </c>
    </row>
    <row r="35" spans="1:19" ht="15" x14ac:dyDescent="0.25">
      <c r="A35" s="10">
        <v>145</v>
      </c>
      <c r="B35" s="12" t="s">
        <v>172</v>
      </c>
      <c r="C35" s="12" t="s">
        <v>131</v>
      </c>
      <c r="D35" s="12" t="s">
        <v>145</v>
      </c>
      <c r="E35" s="16">
        <f>LOOKUP(M35,Справочники!$B$2:$B$35,Справочники!$C$2:$C$35)</f>
        <v>22000</v>
      </c>
      <c r="F35" s="16">
        <f t="shared" ca="1" si="0"/>
        <v>11826.982052006782</v>
      </c>
      <c r="G35" s="16">
        <f t="shared" si="1"/>
        <v>3300</v>
      </c>
      <c r="H35" s="16">
        <f t="shared" ca="1" si="2"/>
        <v>37126.982052006781</v>
      </c>
      <c r="I35" s="16">
        <f t="shared" ca="1" si="3"/>
        <v>4826.5076667608819</v>
      </c>
      <c r="J35" s="16">
        <f t="shared" ca="1" si="4"/>
        <v>32300.4743852459</v>
      </c>
      <c r="K35" s="10" t="s">
        <v>17</v>
      </c>
      <c r="L35" s="10" t="str">
        <f>LOOKUP(M35,Справочники!$B$2:$B$35,Справочники!$A$2:$A$35)</f>
        <v>Склад</v>
      </c>
      <c r="M35" s="6" t="s">
        <v>48</v>
      </c>
      <c r="N35" s="6" t="s">
        <v>25</v>
      </c>
      <c r="O35" s="11">
        <v>34788</v>
      </c>
      <c r="P35" s="10">
        <f t="shared" ca="1" si="5"/>
        <v>27</v>
      </c>
      <c r="Q35" s="11">
        <v>25204</v>
      </c>
      <c r="R35" s="10">
        <f t="shared" ca="1" si="6"/>
        <v>53</v>
      </c>
      <c r="S35" s="10" t="str">
        <f>LOOKUP(L35,Справочники!$F$2:$F$10,Справочники!$H$2:$H$10)</f>
        <v>+7(8332)64-32-23</v>
      </c>
    </row>
    <row r="36" spans="1:19" ht="15" x14ac:dyDescent="0.25">
      <c r="A36" s="10">
        <v>117</v>
      </c>
      <c r="B36" s="12" t="s">
        <v>112</v>
      </c>
      <c r="C36" s="12" t="s">
        <v>72</v>
      </c>
      <c r="D36" s="12" t="s">
        <v>88</v>
      </c>
      <c r="E36" s="16">
        <f>LOOKUP(M36,Справочники!$B$2:$B$35,Справочники!$C$2:$C$35)</f>
        <v>12000</v>
      </c>
      <c r="F36" s="16">
        <f t="shared" ref="F36:F67" ca="1" si="7">IF(P36&gt;=5, E36*$F$2, )</f>
        <v>6451.0811192764268</v>
      </c>
      <c r="G36" s="16">
        <f t="shared" ref="G36:G67" si="8">E36*$G$2</f>
        <v>1800</v>
      </c>
      <c r="H36" s="16">
        <f t="shared" ref="H36:H67" ca="1" si="9">E36+F36+G36</f>
        <v>20251.081119276427</v>
      </c>
      <c r="I36" s="16">
        <f t="shared" ref="I36:I67" ca="1" si="10">H36*$I$2</f>
        <v>2632.6405455059357</v>
      </c>
      <c r="J36" s="16">
        <f t="shared" ref="J36:J67" ca="1" si="11">H36-I36</f>
        <v>17618.440573770491</v>
      </c>
      <c r="K36" s="10" t="s">
        <v>9</v>
      </c>
      <c r="L36" s="10" t="str">
        <f>LOOKUP(M36,Справочники!$B$2:$B$35,Справочники!$A$2:$A$35)</f>
        <v>Технологический отдел</v>
      </c>
      <c r="M36" s="6" t="s">
        <v>31</v>
      </c>
      <c r="N36" s="6" t="s">
        <v>33</v>
      </c>
      <c r="O36" s="11">
        <v>35445</v>
      </c>
      <c r="P36" s="10">
        <f t="shared" ref="P36:P67" ca="1" si="12">DATEDIF(O36, TODAY(),"Y")</f>
        <v>25</v>
      </c>
      <c r="Q36" s="11">
        <v>26821</v>
      </c>
      <c r="R36" s="10">
        <f t="shared" ref="R36:R67" ca="1" si="13">DATEDIF(Q36, TODAY(),"Y")</f>
        <v>49</v>
      </c>
      <c r="S36" s="10" t="str">
        <f>LOOKUP(L36,Справочники!$F$2:$F$10,Справочники!$H$2:$H$10)</f>
        <v>+7(8332)64-32-18</v>
      </c>
    </row>
    <row r="37" spans="1:19" ht="15" x14ac:dyDescent="0.25">
      <c r="A37" s="10">
        <v>156</v>
      </c>
      <c r="B37" s="12" t="s">
        <v>193</v>
      </c>
      <c r="C37" s="12" t="s">
        <v>108</v>
      </c>
      <c r="D37" s="12" t="s">
        <v>194</v>
      </c>
      <c r="E37" s="16">
        <f>LOOKUP(M37,Справочники!$B$2:$B$35,Справочники!$C$2:$C$35)</f>
        <v>14000</v>
      </c>
      <c r="F37" s="16">
        <f t="shared" ca="1" si="7"/>
        <v>7526.261305822497</v>
      </c>
      <c r="G37" s="16">
        <f t="shared" si="8"/>
        <v>2100</v>
      </c>
      <c r="H37" s="16">
        <f t="shared" ca="1" si="9"/>
        <v>23626.261305822496</v>
      </c>
      <c r="I37" s="16">
        <f t="shared" ca="1" si="10"/>
        <v>3071.4139697569244</v>
      </c>
      <c r="J37" s="16">
        <f t="shared" ca="1" si="11"/>
        <v>20554.84733606557</v>
      </c>
      <c r="K37" s="10" t="s">
        <v>9</v>
      </c>
      <c r="L37" s="10" t="str">
        <f>LOOKUP(M37,Справочники!$B$2:$B$35,Справочники!$A$2:$A$35)</f>
        <v>Редакторский отдел</v>
      </c>
      <c r="M37" s="7" t="s">
        <v>55</v>
      </c>
      <c r="N37" s="6" t="s">
        <v>25</v>
      </c>
      <c r="O37" s="11">
        <v>35460</v>
      </c>
      <c r="P37" s="10">
        <f t="shared" ca="1" si="12"/>
        <v>25</v>
      </c>
      <c r="Q37" s="11">
        <v>21194</v>
      </c>
      <c r="R37" s="10">
        <f t="shared" ca="1" si="13"/>
        <v>64</v>
      </c>
      <c r="S37" s="10" t="str">
        <f>LOOKUP(L37,Справочники!$F$2:$F$10,Справочники!$H$2:$H$10)</f>
        <v>+7(8332)64-32-01</v>
      </c>
    </row>
    <row r="38" spans="1:19" ht="15" x14ac:dyDescent="0.25">
      <c r="A38" s="10">
        <v>118</v>
      </c>
      <c r="B38" s="12" t="s">
        <v>113</v>
      </c>
      <c r="C38" s="12" t="s">
        <v>114</v>
      </c>
      <c r="D38" s="12" t="s">
        <v>115</v>
      </c>
      <c r="E38" s="16">
        <f>LOOKUP(M38,Справочники!$B$2:$B$35,Справочники!$C$2:$C$35)</f>
        <v>12000</v>
      </c>
      <c r="F38" s="16">
        <f t="shared" ca="1" si="7"/>
        <v>6451.0811192764268</v>
      </c>
      <c r="G38" s="16">
        <f t="shared" si="8"/>
        <v>1800</v>
      </c>
      <c r="H38" s="16">
        <f t="shared" ca="1" si="9"/>
        <v>20251.081119276427</v>
      </c>
      <c r="I38" s="16">
        <f t="shared" ca="1" si="10"/>
        <v>2632.6405455059357</v>
      </c>
      <c r="J38" s="16">
        <f t="shared" ca="1" si="11"/>
        <v>17618.440573770491</v>
      </c>
      <c r="K38" s="10" t="s">
        <v>9</v>
      </c>
      <c r="L38" s="10" t="str">
        <f>LOOKUP(M38,Справочники!$B$2:$B$35,Справочники!$A$2:$A$35)</f>
        <v>Технологический отдел</v>
      </c>
      <c r="M38" s="6" t="s">
        <v>34</v>
      </c>
      <c r="N38" s="6" t="s">
        <v>12</v>
      </c>
      <c r="O38" s="11">
        <v>36303</v>
      </c>
      <c r="P38" s="10">
        <f t="shared" ca="1" si="12"/>
        <v>23</v>
      </c>
      <c r="Q38" s="11">
        <v>25641</v>
      </c>
      <c r="R38" s="10">
        <f t="shared" ca="1" si="13"/>
        <v>52</v>
      </c>
      <c r="S38" s="10" t="str">
        <f>LOOKUP(L38,Справочники!$F$2:$F$10,Справочники!$H$2:$H$10)</f>
        <v>+7(8332)64-32-18</v>
      </c>
    </row>
    <row r="39" spans="1:19" ht="15" x14ac:dyDescent="0.25">
      <c r="A39" s="10">
        <v>157</v>
      </c>
      <c r="B39" s="12" t="s">
        <v>195</v>
      </c>
      <c r="C39" s="12" t="s">
        <v>196</v>
      </c>
      <c r="D39" s="12" t="s">
        <v>197</v>
      </c>
      <c r="E39" s="16">
        <f>LOOKUP(M39,Справочники!$B$2:$B$35,Справочники!$C$2:$C$35)</f>
        <v>12000</v>
      </c>
      <c r="F39" s="16">
        <f t="shared" ca="1" si="7"/>
        <v>6451.0811192764268</v>
      </c>
      <c r="G39" s="16">
        <f t="shared" si="8"/>
        <v>1800</v>
      </c>
      <c r="H39" s="16">
        <f t="shared" ca="1" si="9"/>
        <v>20251.081119276427</v>
      </c>
      <c r="I39" s="16">
        <f t="shared" ca="1" si="10"/>
        <v>2632.6405455059357</v>
      </c>
      <c r="J39" s="16">
        <f t="shared" ca="1" si="11"/>
        <v>17618.440573770491</v>
      </c>
      <c r="K39" s="10" t="s">
        <v>9</v>
      </c>
      <c r="L39" s="10" t="str">
        <f>LOOKUP(M39,Справочники!$B$2:$B$35,Справочники!$A$2:$A$35)</f>
        <v>Технологический отдел</v>
      </c>
      <c r="M39" s="6" t="s">
        <v>31</v>
      </c>
      <c r="N39" s="6" t="s">
        <v>12</v>
      </c>
      <c r="O39" s="11">
        <v>39887</v>
      </c>
      <c r="P39" s="10">
        <f t="shared" ca="1" si="12"/>
        <v>13</v>
      </c>
      <c r="Q39" s="11">
        <v>30205</v>
      </c>
      <c r="R39" s="10">
        <f t="shared" ca="1" si="13"/>
        <v>40</v>
      </c>
      <c r="S39" s="10" t="str">
        <f>LOOKUP(L39,Справочники!$F$2:$F$10,Справочники!$H$2:$H$10)</f>
        <v>+7(8332)64-32-18</v>
      </c>
    </row>
    <row r="40" spans="1:19" ht="15" x14ac:dyDescent="0.25">
      <c r="A40" s="10">
        <v>146</v>
      </c>
      <c r="B40" s="12" t="s">
        <v>173</v>
      </c>
      <c r="C40" s="12" t="s">
        <v>129</v>
      </c>
      <c r="D40" s="12" t="s">
        <v>174</v>
      </c>
      <c r="E40" s="16">
        <f>LOOKUP(M40,Справочники!$B$2:$B$35,Справочники!$C$2:$C$35)</f>
        <v>15000</v>
      </c>
      <c r="F40" s="16">
        <f t="shared" ca="1" si="7"/>
        <v>8063.8513990955325</v>
      </c>
      <c r="G40" s="16">
        <f t="shared" si="8"/>
        <v>2250</v>
      </c>
      <c r="H40" s="16">
        <f t="shared" ca="1" si="9"/>
        <v>25313.851399095533</v>
      </c>
      <c r="I40" s="16">
        <f t="shared" ca="1" si="10"/>
        <v>3290.8006818824192</v>
      </c>
      <c r="J40" s="16">
        <f t="shared" ca="1" si="11"/>
        <v>22023.050717213115</v>
      </c>
      <c r="K40" s="10" t="s">
        <v>17</v>
      </c>
      <c r="L40" s="10" t="str">
        <f>LOOKUP(M40,Справочники!$B$2:$B$35,Справочники!$A$2:$A$35)</f>
        <v>Склад</v>
      </c>
      <c r="M40" s="6" t="s">
        <v>46</v>
      </c>
      <c r="N40" s="6" t="s">
        <v>33</v>
      </c>
      <c r="O40" s="11">
        <v>35032</v>
      </c>
      <c r="P40" s="10">
        <f t="shared" ca="1" si="12"/>
        <v>26</v>
      </c>
      <c r="Q40" s="11">
        <v>26821</v>
      </c>
      <c r="R40" s="10">
        <f t="shared" ca="1" si="13"/>
        <v>49</v>
      </c>
      <c r="S40" s="10" t="str">
        <f>LOOKUP(L40,Справочники!$F$2:$F$10,Справочники!$H$2:$H$10)</f>
        <v>+7(8332)64-32-23</v>
      </c>
    </row>
    <row r="41" spans="1:19" ht="15" x14ac:dyDescent="0.25">
      <c r="A41" s="10">
        <v>126</v>
      </c>
      <c r="B41" s="12" t="s">
        <v>128</v>
      </c>
      <c r="C41" s="12" t="s">
        <v>129</v>
      </c>
      <c r="D41" s="12" t="s">
        <v>101</v>
      </c>
      <c r="E41" s="16">
        <f>LOOKUP(M41,Справочники!$B$2:$B$35,Справочники!$C$2:$C$35)</f>
        <v>22000</v>
      </c>
      <c r="F41" s="16">
        <f t="shared" ca="1" si="7"/>
        <v>11826.982052006782</v>
      </c>
      <c r="G41" s="16">
        <f t="shared" si="8"/>
        <v>3300</v>
      </c>
      <c r="H41" s="16">
        <f t="shared" ca="1" si="9"/>
        <v>37126.982052006781</v>
      </c>
      <c r="I41" s="16">
        <f t="shared" ca="1" si="10"/>
        <v>4826.5076667608819</v>
      </c>
      <c r="J41" s="16">
        <f t="shared" ca="1" si="11"/>
        <v>32300.4743852459</v>
      </c>
      <c r="K41" s="10" t="s">
        <v>17</v>
      </c>
      <c r="L41" s="10" t="str">
        <f>LOOKUP(M41,Справочники!$B$2:$B$35,Справочники!$A$2:$A$35)</f>
        <v>Рекламный отдел</v>
      </c>
      <c r="M41" s="6" t="s">
        <v>27</v>
      </c>
      <c r="N41" s="6" t="s">
        <v>14</v>
      </c>
      <c r="O41" s="11">
        <v>40321</v>
      </c>
      <c r="P41" s="10">
        <f t="shared" ca="1" si="12"/>
        <v>12</v>
      </c>
      <c r="Q41" s="11">
        <v>30232</v>
      </c>
      <c r="R41" s="10">
        <f t="shared" ca="1" si="13"/>
        <v>40</v>
      </c>
      <c r="S41" s="10" t="str">
        <f>LOOKUP(L41,Справочники!$F$2:$F$10,Справочники!$H$2:$H$10)</f>
        <v>+7(8332)64-32-01</v>
      </c>
    </row>
    <row r="42" spans="1:19" ht="15" x14ac:dyDescent="0.25">
      <c r="A42" s="10">
        <v>136</v>
      </c>
      <c r="B42" s="12" t="s">
        <v>150</v>
      </c>
      <c r="C42" s="12" t="s">
        <v>151</v>
      </c>
      <c r="D42" s="12" t="s">
        <v>152</v>
      </c>
      <c r="E42" s="16">
        <f>LOOKUP(M42,Справочники!$B$2:$B$35,Справочники!$C$2:$C$35)</f>
        <v>22000</v>
      </c>
      <c r="F42" s="16">
        <f t="shared" ca="1" si="7"/>
        <v>11826.982052006782</v>
      </c>
      <c r="G42" s="16">
        <f t="shared" si="8"/>
        <v>3300</v>
      </c>
      <c r="H42" s="16">
        <f t="shared" ca="1" si="9"/>
        <v>37126.982052006781</v>
      </c>
      <c r="I42" s="16">
        <f t="shared" ca="1" si="10"/>
        <v>4826.5076667608819</v>
      </c>
      <c r="J42" s="16">
        <f t="shared" ca="1" si="11"/>
        <v>32300.4743852459</v>
      </c>
      <c r="K42" s="10" t="s">
        <v>9</v>
      </c>
      <c r="L42" s="10" t="str">
        <f>LOOKUP(M42,Справочники!$B$2:$B$35,Справочники!$A$2:$A$35)</f>
        <v>Рекламный отдел</v>
      </c>
      <c r="M42" s="6" t="s">
        <v>27</v>
      </c>
      <c r="N42" s="6" t="s">
        <v>25</v>
      </c>
      <c r="O42" s="11">
        <v>39479</v>
      </c>
      <c r="P42" s="10">
        <f t="shared" ca="1" si="12"/>
        <v>14</v>
      </c>
      <c r="Q42" s="11">
        <v>27737</v>
      </c>
      <c r="R42" s="10">
        <f t="shared" ca="1" si="13"/>
        <v>46</v>
      </c>
      <c r="S42" s="10" t="str">
        <f>LOOKUP(L42,Справочники!$F$2:$F$10,Справочники!$H$2:$H$10)</f>
        <v>+7(8332)64-32-01</v>
      </c>
    </row>
    <row r="43" spans="1:19" ht="15" x14ac:dyDescent="0.25">
      <c r="A43" s="10">
        <v>158</v>
      </c>
      <c r="B43" s="12" t="s">
        <v>198</v>
      </c>
      <c r="C43" s="12" t="s">
        <v>199</v>
      </c>
      <c r="D43" s="12" t="s">
        <v>159</v>
      </c>
      <c r="E43" s="16">
        <f>LOOKUP(M43,Справочники!$B$2:$B$35,Справочники!$C$2:$C$35)</f>
        <v>14000</v>
      </c>
      <c r="F43" s="16">
        <f t="shared" ca="1" si="7"/>
        <v>7526.261305822497</v>
      </c>
      <c r="G43" s="16">
        <f t="shared" si="8"/>
        <v>2100</v>
      </c>
      <c r="H43" s="16">
        <f t="shared" ca="1" si="9"/>
        <v>23626.261305822496</v>
      </c>
      <c r="I43" s="16">
        <f t="shared" ca="1" si="10"/>
        <v>3071.4139697569244</v>
      </c>
      <c r="J43" s="16">
        <f t="shared" ca="1" si="11"/>
        <v>20554.84733606557</v>
      </c>
      <c r="K43" s="10" t="s">
        <v>9</v>
      </c>
      <c r="L43" s="10" t="str">
        <f>LOOKUP(M43,Справочники!$B$2:$B$35,Справочники!$A$2:$A$35)</f>
        <v>Редакторский отдел</v>
      </c>
      <c r="M43" s="7" t="s">
        <v>54</v>
      </c>
      <c r="N43" s="6" t="s">
        <v>14</v>
      </c>
      <c r="O43" s="11">
        <v>35122</v>
      </c>
      <c r="P43" s="10">
        <f t="shared" ca="1" si="12"/>
        <v>26</v>
      </c>
      <c r="Q43" s="11">
        <v>23253</v>
      </c>
      <c r="R43" s="10">
        <f t="shared" ca="1" si="13"/>
        <v>59</v>
      </c>
      <c r="S43" s="10" t="str">
        <f>LOOKUP(L43,Справочники!$F$2:$F$10,Справочники!$H$2:$H$10)</f>
        <v>+7(8332)64-32-01</v>
      </c>
    </row>
    <row r="44" spans="1:19" ht="15" x14ac:dyDescent="0.25">
      <c r="A44" s="10">
        <v>111</v>
      </c>
      <c r="B44" s="12" t="s">
        <v>97</v>
      </c>
      <c r="C44" s="12" t="s">
        <v>98</v>
      </c>
      <c r="D44" s="12" t="s">
        <v>76</v>
      </c>
      <c r="E44" s="16">
        <f>LOOKUP(M44,Справочники!$B$2:$B$35,Справочники!$C$2:$C$35)</f>
        <v>15000</v>
      </c>
      <c r="F44" s="16">
        <f t="shared" ca="1" si="7"/>
        <v>8063.8513990955325</v>
      </c>
      <c r="G44" s="16">
        <f t="shared" si="8"/>
        <v>2250</v>
      </c>
      <c r="H44" s="16">
        <f t="shared" ca="1" si="9"/>
        <v>25313.851399095533</v>
      </c>
      <c r="I44" s="16">
        <f t="shared" ca="1" si="10"/>
        <v>3290.8006818824192</v>
      </c>
      <c r="J44" s="16">
        <f t="shared" ca="1" si="11"/>
        <v>22023.050717213115</v>
      </c>
      <c r="K44" s="10" t="s">
        <v>9</v>
      </c>
      <c r="L44" s="10" t="str">
        <f>LOOKUP(M44,Справочники!$B$2:$B$35,Справочники!$A$2:$A$35)</f>
        <v>Управление</v>
      </c>
      <c r="M44" s="6" t="s">
        <v>24</v>
      </c>
      <c r="N44" s="6" t="s">
        <v>25</v>
      </c>
      <c r="O44" s="11">
        <v>42960</v>
      </c>
      <c r="P44" s="10">
        <f t="shared" ca="1" si="12"/>
        <v>5</v>
      </c>
      <c r="Q44" s="11">
        <v>33207</v>
      </c>
      <c r="R44" s="10">
        <f t="shared" ca="1" si="13"/>
        <v>31</v>
      </c>
      <c r="S44" s="10" t="str">
        <f>LOOKUP(L44,Справочники!$F$2:$F$10,Справочники!$H$2:$H$10)</f>
        <v>+7(8332)64-32-18</v>
      </c>
    </row>
    <row r="45" spans="1:19" ht="15" x14ac:dyDescent="0.25">
      <c r="A45" s="10">
        <v>119</v>
      </c>
      <c r="B45" s="12" t="s">
        <v>116</v>
      </c>
      <c r="C45" s="12" t="s">
        <v>117</v>
      </c>
      <c r="D45" s="12" t="s">
        <v>70</v>
      </c>
      <c r="E45" s="16">
        <f>LOOKUP(M45,Справочники!$B$2:$B$35,Справочники!$C$2:$C$35)</f>
        <v>17000</v>
      </c>
      <c r="F45" s="16">
        <f t="shared" ca="1" si="7"/>
        <v>9139.0315856416037</v>
      </c>
      <c r="G45" s="16">
        <f t="shared" si="8"/>
        <v>2550</v>
      </c>
      <c r="H45" s="16">
        <f t="shared" ca="1" si="9"/>
        <v>28689.031585641605</v>
      </c>
      <c r="I45" s="16">
        <f t="shared" ca="1" si="10"/>
        <v>3729.5741061334088</v>
      </c>
      <c r="J45" s="16">
        <f t="shared" ca="1" si="11"/>
        <v>24959.457479508197</v>
      </c>
      <c r="K45" s="10" t="s">
        <v>9</v>
      </c>
      <c r="L45" s="10" t="str">
        <f>LOOKUP(M45,Справочники!$B$2:$B$35,Справочники!$A$2:$A$35)</f>
        <v>Технологический отдел</v>
      </c>
      <c r="M45" s="6" t="s">
        <v>35</v>
      </c>
      <c r="N45" s="6" t="s">
        <v>14</v>
      </c>
      <c r="O45" s="11">
        <v>39550</v>
      </c>
      <c r="P45" s="10">
        <f t="shared" ca="1" si="12"/>
        <v>14</v>
      </c>
      <c r="Q45" s="11">
        <v>28420</v>
      </c>
      <c r="R45" s="10">
        <f t="shared" ca="1" si="13"/>
        <v>45</v>
      </c>
      <c r="S45" s="10" t="str">
        <f>LOOKUP(L45,Справочники!$F$2:$F$10,Справочники!$H$2:$H$10)</f>
        <v>+7(8332)64-32-18</v>
      </c>
    </row>
    <row r="46" spans="1:19" ht="15" x14ac:dyDescent="0.25">
      <c r="A46" s="10">
        <v>162</v>
      </c>
      <c r="B46" s="12" t="s">
        <v>206</v>
      </c>
      <c r="C46" s="12" t="s">
        <v>100</v>
      </c>
      <c r="D46" s="12" t="s">
        <v>207</v>
      </c>
      <c r="E46" s="16">
        <f>LOOKUP(M46,Справочники!$B$2:$B$35,Справочники!$C$2:$C$35)</f>
        <v>12000</v>
      </c>
      <c r="F46" s="16">
        <f t="shared" ca="1" si="7"/>
        <v>6451.0811192764268</v>
      </c>
      <c r="G46" s="16">
        <f t="shared" si="8"/>
        <v>1800</v>
      </c>
      <c r="H46" s="16">
        <f t="shared" ca="1" si="9"/>
        <v>20251.081119276427</v>
      </c>
      <c r="I46" s="16">
        <f t="shared" ca="1" si="10"/>
        <v>2632.6405455059357</v>
      </c>
      <c r="J46" s="16">
        <f t="shared" ca="1" si="11"/>
        <v>17618.440573770491</v>
      </c>
      <c r="K46" s="10" t="s">
        <v>17</v>
      </c>
      <c r="L46" s="10" t="str">
        <f>LOOKUP(M46,Справочники!$B$2:$B$35,Справочники!$A$2:$A$35)</f>
        <v>Транспортный отдел</v>
      </c>
      <c r="M46" s="6" t="s">
        <v>50</v>
      </c>
      <c r="N46" s="6" t="s">
        <v>12</v>
      </c>
      <c r="O46" s="11">
        <v>32023</v>
      </c>
      <c r="P46" s="10">
        <f t="shared" ca="1" si="12"/>
        <v>35</v>
      </c>
      <c r="Q46" s="11">
        <v>22893</v>
      </c>
      <c r="R46" s="10">
        <f t="shared" ca="1" si="13"/>
        <v>60</v>
      </c>
      <c r="S46" s="10" t="str">
        <f>LOOKUP(L46,Справочники!$F$2:$F$10,Справочники!$H$2:$H$10)</f>
        <v>+7(8332)64-32-18</v>
      </c>
    </row>
    <row r="47" spans="1:19" ht="15" x14ac:dyDescent="0.25">
      <c r="A47" s="10">
        <v>120</v>
      </c>
      <c r="B47" s="12" t="s">
        <v>118</v>
      </c>
      <c r="C47" s="12" t="s">
        <v>98</v>
      </c>
      <c r="D47" s="12" t="s">
        <v>119</v>
      </c>
      <c r="E47" s="16">
        <f>LOOKUP(M47,Справочники!$B$2:$B$35,Справочники!$C$2:$C$35)</f>
        <v>14000</v>
      </c>
      <c r="F47" s="16">
        <f t="shared" ca="1" si="7"/>
        <v>7526.261305822497</v>
      </c>
      <c r="G47" s="16">
        <f t="shared" si="8"/>
        <v>2100</v>
      </c>
      <c r="H47" s="16">
        <f t="shared" ca="1" si="9"/>
        <v>23626.261305822496</v>
      </c>
      <c r="I47" s="16">
        <f t="shared" ca="1" si="10"/>
        <v>3071.4139697569244</v>
      </c>
      <c r="J47" s="16">
        <f t="shared" ca="1" si="11"/>
        <v>20554.84733606557</v>
      </c>
      <c r="K47" s="10" t="s">
        <v>9</v>
      </c>
      <c r="L47" s="10" t="str">
        <f>LOOKUP(M47,Справочники!$B$2:$B$35,Справочники!$A$2:$A$35)</f>
        <v>Технологический отдел</v>
      </c>
      <c r="M47" s="6" t="s">
        <v>36</v>
      </c>
      <c r="N47" s="6" t="s">
        <v>12</v>
      </c>
      <c r="O47" s="11">
        <v>35442</v>
      </c>
      <c r="P47" s="10">
        <f t="shared" ca="1" si="12"/>
        <v>25</v>
      </c>
      <c r="Q47" s="11">
        <v>24134</v>
      </c>
      <c r="R47" s="10">
        <f t="shared" ca="1" si="13"/>
        <v>56</v>
      </c>
      <c r="S47" s="10" t="str">
        <f>LOOKUP(L47,Справочники!$F$2:$F$10,Справочники!$H$2:$H$10)</f>
        <v>+7(8332)64-32-18</v>
      </c>
    </row>
    <row r="48" spans="1:19" ht="15" x14ac:dyDescent="0.25">
      <c r="A48" s="10">
        <v>140</v>
      </c>
      <c r="B48" s="12" t="s">
        <v>160</v>
      </c>
      <c r="C48" s="12" t="s">
        <v>161</v>
      </c>
      <c r="D48" s="12" t="s">
        <v>162</v>
      </c>
      <c r="E48" s="16">
        <f>LOOKUP(M48,Справочники!$B$2:$B$35,Справочники!$C$2:$C$35)</f>
        <v>15000</v>
      </c>
      <c r="F48" s="16">
        <f t="shared" ca="1" si="7"/>
        <v>8063.8513990955325</v>
      </c>
      <c r="G48" s="16">
        <f t="shared" si="8"/>
        <v>2250</v>
      </c>
      <c r="H48" s="16">
        <f t="shared" ca="1" si="9"/>
        <v>25313.851399095533</v>
      </c>
      <c r="I48" s="16">
        <f t="shared" ca="1" si="10"/>
        <v>3290.8006818824192</v>
      </c>
      <c r="J48" s="16">
        <f t="shared" ca="1" si="11"/>
        <v>22023.050717213115</v>
      </c>
      <c r="K48" s="10" t="s">
        <v>9</v>
      </c>
      <c r="L48" s="10" t="str">
        <f>LOOKUP(M48,Справочники!$B$2:$B$35,Справочники!$A$2:$A$35)</f>
        <v>Рекламный отдел</v>
      </c>
      <c r="M48" s="6" t="s">
        <v>40</v>
      </c>
      <c r="N48" s="6" t="s">
        <v>25</v>
      </c>
      <c r="O48" s="11">
        <v>39641</v>
      </c>
      <c r="P48" s="10">
        <f t="shared" ca="1" si="12"/>
        <v>14</v>
      </c>
      <c r="Q48" s="11">
        <v>29284</v>
      </c>
      <c r="R48" s="10">
        <f t="shared" ca="1" si="13"/>
        <v>42</v>
      </c>
      <c r="S48" s="10" t="str">
        <f>LOOKUP(L48,Справочники!$F$2:$F$10,Справочники!$H$2:$H$10)</f>
        <v>+7(8332)64-32-01</v>
      </c>
    </row>
    <row r="49" spans="1:19" ht="15" x14ac:dyDescent="0.25">
      <c r="A49" s="10">
        <v>121</v>
      </c>
      <c r="B49" s="12" t="s">
        <v>120</v>
      </c>
      <c r="C49" s="12" t="s">
        <v>75</v>
      </c>
      <c r="D49" s="12" t="s">
        <v>79</v>
      </c>
      <c r="E49" s="16">
        <f>LOOKUP(M49,Справочники!$B$2:$B$35,Справочники!$C$2:$C$35)</f>
        <v>14000</v>
      </c>
      <c r="F49" s="16">
        <f t="shared" ca="1" si="7"/>
        <v>7526.261305822497</v>
      </c>
      <c r="G49" s="16">
        <f t="shared" si="8"/>
        <v>2100</v>
      </c>
      <c r="H49" s="16">
        <f t="shared" ca="1" si="9"/>
        <v>23626.261305822496</v>
      </c>
      <c r="I49" s="16">
        <f t="shared" ca="1" si="10"/>
        <v>3071.4139697569244</v>
      </c>
      <c r="J49" s="16">
        <f t="shared" ca="1" si="11"/>
        <v>20554.84733606557</v>
      </c>
      <c r="K49" s="10" t="s">
        <v>9</v>
      </c>
      <c r="L49" s="10" t="str">
        <f>LOOKUP(M49,Справочники!$B$2:$B$35,Справочники!$A$2:$A$35)</f>
        <v>Технологический отдел</v>
      </c>
      <c r="M49" s="6" t="s">
        <v>36</v>
      </c>
      <c r="N49" s="6" t="s">
        <v>12</v>
      </c>
      <c r="O49" s="11">
        <v>39845</v>
      </c>
      <c r="P49" s="10">
        <f t="shared" ca="1" si="12"/>
        <v>13</v>
      </c>
      <c r="Q49" s="11">
        <v>31391</v>
      </c>
      <c r="R49" s="10">
        <f t="shared" ca="1" si="13"/>
        <v>36</v>
      </c>
      <c r="S49" s="10" t="str">
        <f>LOOKUP(L49,Справочники!$F$2:$F$10,Справочники!$H$2:$H$10)</f>
        <v>+7(8332)64-32-18</v>
      </c>
    </row>
    <row r="50" spans="1:19" ht="15" x14ac:dyDescent="0.25">
      <c r="A50" s="10">
        <v>163</v>
      </c>
      <c r="B50" s="12" t="s">
        <v>208</v>
      </c>
      <c r="C50" s="12" t="s">
        <v>209</v>
      </c>
      <c r="D50" s="12" t="s">
        <v>93</v>
      </c>
      <c r="E50" s="16">
        <f>LOOKUP(M50,Справочники!$B$2:$B$35,Справочники!$C$2:$C$35)</f>
        <v>20000</v>
      </c>
      <c r="F50" s="16">
        <f t="shared" ca="1" si="7"/>
        <v>10751.801865460711</v>
      </c>
      <c r="G50" s="16">
        <f t="shared" si="8"/>
        <v>3000</v>
      </c>
      <c r="H50" s="16">
        <f t="shared" ca="1" si="9"/>
        <v>33751.801865460715</v>
      </c>
      <c r="I50" s="16">
        <f t="shared" ca="1" si="10"/>
        <v>4387.7342425098932</v>
      </c>
      <c r="J50" s="16">
        <f t="shared" ca="1" si="11"/>
        <v>29364.067622950821</v>
      </c>
      <c r="K50" s="10" t="s">
        <v>17</v>
      </c>
      <c r="L50" s="10" t="str">
        <f>LOOKUP(M50,Справочники!$B$2:$B$35,Справочники!$A$2:$A$35)</f>
        <v>Редакторский отдел</v>
      </c>
      <c r="M50" s="7" t="s">
        <v>56</v>
      </c>
      <c r="N50" s="6" t="s">
        <v>14</v>
      </c>
      <c r="O50" s="11">
        <v>35153</v>
      </c>
      <c r="P50" s="10">
        <f t="shared" ca="1" si="12"/>
        <v>26</v>
      </c>
      <c r="Q50" s="11">
        <v>24814</v>
      </c>
      <c r="R50" s="10">
        <f t="shared" ca="1" si="13"/>
        <v>54</v>
      </c>
      <c r="S50" s="10" t="str">
        <f>LOOKUP(L50,Справочники!$F$2:$F$10,Справочники!$H$2:$H$10)</f>
        <v>+7(8332)64-32-01</v>
      </c>
    </row>
    <row r="51" spans="1:19" ht="15" x14ac:dyDescent="0.25">
      <c r="A51" s="10">
        <v>147</v>
      </c>
      <c r="B51" s="12" t="s">
        <v>175</v>
      </c>
      <c r="C51" s="12" t="s">
        <v>176</v>
      </c>
      <c r="D51" s="12" t="s">
        <v>177</v>
      </c>
      <c r="E51" s="16">
        <f>LOOKUP(M51,Справочники!$B$2:$B$35,Справочники!$C$2:$C$35)</f>
        <v>11000</v>
      </c>
      <c r="F51" s="16">
        <f t="shared" ca="1" si="7"/>
        <v>5913.4910260033912</v>
      </c>
      <c r="G51" s="16">
        <f t="shared" si="8"/>
        <v>1650</v>
      </c>
      <c r="H51" s="16">
        <f t="shared" ca="1" si="9"/>
        <v>18563.49102600339</v>
      </c>
      <c r="I51" s="16">
        <f t="shared" ca="1" si="10"/>
        <v>2413.2538333804409</v>
      </c>
      <c r="J51" s="16">
        <f t="shared" ca="1" si="11"/>
        <v>16150.23719262295</v>
      </c>
      <c r="K51" s="10" t="s">
        <v>17</v>
      </c>
      <c r="L51" s="10" t="str">
        <f>LOOKUP(M51,Справочники!$B$2:$B$35,Справочники!$A$2:$A$35)</f>
        <v>Склад</v>
      </c>
      <c r="M51" s="6" t="s">
        <v>47</v>
      </c>
      <c r="N51" s="6" t="s">
        <v>33</v>
      </c>
      <c r="O51" s="11">
        <v>42399</v>
      </c>
      <c r="P51" s="10">
        <f t="shared" ca="1" si="12"/>
        <v>6</v>
      </c>
      <c r="Q51" s="11">
        <v>33858</v>
      </c>
      <c r="R51" s="10">
        <f t="shared" ca="1" si="13"/>
        <v>30</v>
      </c>
      <c r="S51" s="10" t="str">
        <f>LOOKUP(L51,Справочники!$F$2:$F$10,Справочники!$H$2:$H$10)</f>
        <v>+7(8332)64-32-23</v>
      </c>
    </row>
    <row r="52" spans="1:19" ht="15" x14ac:dyDescent="0.25">
      <c r="A52" s="10">
        <v>122</v>
      </c>
      <c r="B52" s="12" t="s">
        <v>121</v>
      </c>
      <c r="C52" s="12" t="s">
        <v>122</v>
      </c>
      <c r="D52" s="12" t="s">
        <v>96</v>
      </c>
      <c r="E52" s="16">
        <f>LOOKUP(M52,Справочники!$B$2:$B$35,Справочники!$C$2:$C$35)</f>
        <v>14000</v>
      </c>
      <c r="F52" s="16">
        <f t="shared" ca="1" si="7"/>
        <v>7526.261305822497</v>
      </c>
      <c r="G52" s="16">
        <f t="shared" si="8"/>
        <v>2100</v>
      </c>
      <c r="H52" s="16">
        <f t="shared" ca="1" si="9"/>
        <v>23626.261305822496</v>
      </c>
      <c r="I52" s="16">
        <f t="shared" ca="1" si="10"/>
        <v>3071.4139697569244</v>
      </c>
      <c r="J52" s="16">
        <f t="shared" ca="1" si="11"/>
        <v>20554.84733606557</v>
      </c>
      <c r="K52" s="10" t="s">
        <v>9</v>
      </c>
      <c r="L52" s="10" t="str">
        <f>LOOKUP(M52,Справочники!$B$2:$B$35,Справочники!$A$2:$A$35)</f>
        <v>Технологический отдел</v>
      </c>
      <c r="M52" s="6" t="s">
        <v>37</v>
      </c>
      <c r="N52" s="6" t="s">
        <v>12</v>
      </c>
      <c r="O52" s="11">
        <v>36427</v>
      </c>
      <c r="P52" s="10">
        <f t="shared" ca="1" si="12"/>
        <v>23</v>
      </c>
      <c r="Q52" s="11">
        <v>24846</v>
      </c>
      <c r="R52" s="10">
        <f t="shared" ca="1" si="13"/>
        <v>54</v>
      </c>
      <c r="S52" s="10" t="str">
        <f>LOOKUP(L52,Справочники!$F$2:$F$10,Справочники!$H$2:$H$10)</f>
        <v>+7(8332)64-32-18</v>
      </c>
    </row>
    <row r="53" spans="1:19" ht="15" x14ac:dyDescent="0.25">
      <c r="A53" s="10">
        <v>159</v>
      </c>
      <c r="B53" s="12" t="s">
        <v>200</v>
      </c>
      <c r="C53" s="12" t="s">
        <v>158</v>
      </c>
      <c r="D53" s="12" t="s">
        <v>201</v>
      </c>
      <c r="E53" s="16">
        <f>LOOKUP(M53,Справочники!$B$2:$B$35,Справочники!$C$2:$C$35)</f>
        <v>14000</v>
      </c>
      <c r="F53" s="16">
        <f t="shared" ca="1" si="7"/>
        <v>7526.261305822497</v>
      </c>
      <c r="G53" s="16">
        <f t="shared" si="8"/>
        <v>2100</v>
      </c>
      <c r="H53" s="16">
        <f t="shared" ca="1" si="9"/>
        <v>23626.261305822496</v>
      </c>
      <c r="I53" s="16">
        <f t="shared" ca="1" si="10"/>
        <v>3071.4139697569244</v>
      </c>
      <c r="J53" s="16">
        <f t="shared" ca="1" si="11"/>
        <v>20554.84733606557</v>
      </c>
      <c r="K53" s="10" t="s">
        <v>9</v>
      </c>
      <c r="L53" s="10" t="str">
        <f>LOOKUP(M53,Справочники!$B$2:$B$35,Справочники!$A$2:$A$35)</f>
        <v>Редакторский отдел</v>
      </c>
      <c r="M53" s="7" t="s">
        <v>55</v>
      </c>
      <c r="N53" s="6" t="s">
        <v>14</v>
      </c>
      <c r="O53" s="11">
        <v>35032</v>
      </c>
      <c r="P53" s="10">
        <f t="shared" ca="1" si="12"/>
        <v>26</v>
      </c>
      <c r="Q53" s="11">
        <v>22065</v>
      </c>
      <c r="R53" s="10">
        <f t="shared" ca="1" si="13"/>
        <v>62</v>
      </c>
      <c r="S53" s="10" t="str">
        <f>LOOKUP(L53,Справочники!$F$2:$F$10,Справочники!$H$2:$H$10)</f>
        <v>+7(8332)64-32-01</v>
      </c>
    </row>
    <row r="54" spans="1:19" ht="15" x14ac:dyDescent="0.25">
      <c r="A54" s="10">
        <v>149</v>
      </c>
      <c r="B54" s="12" t="s">
        <v>180</v>
      </c>
      <c r="C54" s="12" t="s">
        <v>181</v>
      </c>
      <c r="D54" s="12" t="s">
        <v>132</v>
      </c>
      <c r="E54" s="16">
        <f>LOOKUP(M54,Справочники!$B$2:$B$35,Справочники!$C$2:$C$35)</f>
        <v>12000</v>
      </c>
      <c r="F54" s="16">
        <f t="shared" ca="1" si="7"/>
        <v>6451.0811192764268</v>
      </c>
      <c r="G54" s="16">
        <f t="shared" si="8"/>
        <v>1800</v>
      </c>
      <c r="H54" s="16">
        <f t="shared" ca="1" si="9"/>
        <v>20251.081119276427</v>
      </c>
      <c r="I54" s="16">
        <f t="shared" ca="1" si="10"/>
        <v>2632.6405455059357</v>
      </c>
      <c r="J54" s="16">
        <f t="shared" ca="1" si="11"/>
        <v>17618.440573770491</v>
      </c>
      <c r="K54" s="10" t="s">
        <v>17</v>
      </c>
      <c r="L54" s="10" t="str">
        <f>LOOKUP(M54,Справочники!$B$2:$B$35,Справочники!$A$2:$A$35)</f>
        <v>Транспортный отдел</v>
      </c>
      <c r="M54" s="6" t="s">
        <v>50</v>
      </c>
      <c r="N54" s="6" t="s">
        <v>33</v>
      </c>
      <c r="O54" s="11">
        <v>34759</v>
      </c>
      <c r="P54" s="10">
        <f t="shared" ca="1" si="12"/>
        <v>27</v>
      </c>
      <c r="Q54" s="11">
        <v>25186</v>
      </c>
      <c r="R54" s="10">
        <f t="shared" ca="1" si="13"/>
        <v>53</v>
      </c>
      <c r="S54" s="10" t="str">
        <f>LOOKUP(L54,Справочники!$F$2:$F$10,Справочники!$H$2:$H$10)</f>
        <v>+7(8332)64-32-18</v>
      </c>
    </row>
    <row r="55" spans="1:19" ht="15" x14ac:dyDescent="0.25">
      <c r="A55" s="10">
        <v>164</v>
      </c>
      <c r="B55" s="12" t="s">
        <v>210</v>
      </c>
      <c r="C55" s="12" t="s">
        <v>211</v>
      </c>
      <c r="D55" s="12" t="s">
        <v>148</v>
      </c>
      <c r="E55" s="16">
        <f>LOOKUP(M55,Справочники!$B$2:$B$35,Справочники!$C$2:$C$35)</f>
        <v>12000</v>
      </c>
      <c r="F55" s="16">
        <f t="shared" ca="1" si="7"/>
        <v>0</v>
      </c>
      <c r="G55" s="16">
        <f t="shared" si="8"/>
        <v>1800</v>
      </c>
      <c r="H55" s="16">
        <f t="shared" ca="1" si="9"/>
        <v>13800</v>
      </c>
      <c r="I55" s="16">
        <f t="shared" ca="1" si="10"/>
        <v>1794</v>
      </c>
      <c r="J55" s="16">
        <f t="shared" ca="1" si="11"/>
        <v>12006</v>
      </c>
      <c r="K55" s="10" t="s">
        <v>9</v>
      </c>
      <c r="L55" s="10" t="str">
        <f>LOOKUP(M55,Справочники!$B$2:$B$35,Справочники!$A$2:$A$35)</f>
        <v>Транспортный отдел</v>
      </c>
      <c r="M55" s="6" t="s">
        <v>57</v>
      </c>
      <c r="N55" s="6" t="s">
        <v>33</v>
      </c>
      <c r="O55" s="11">
        <v>43438</v>
      </c>
      <c r="P55" s="10">
        <f t="shared" ca="1" si="12"/>
        <v>3</v>
      </c>
      <c r="Q55" s="11">
        <v>34714</v>
      </c>
      <c r="R55" s="10">
        <f t="shared" ca="1" si="13"/>
        <v>27</v>
      </c>
      <c r="S55" s="10" t="str">
        <f>LOOKUP(L55,Справочники!$F$2:$F$10,Справочники!$H$2:$H$10)</f>
        <v>+7(8332)64-32-18</v>
      </c>
    </row>
    <row r="56" spans="1:19" ht="15" x14ac:dyDescent="0.25">
      <c r="A56" s="10">
        <v>129</v>
      </c>
      <c r="B56" s="12" t="s">
        <v>134</v>
      </c>
      <c r="C56" s="12" t="s">
        <v>135</v>
      </c>
      <c r="D56" s="12" t="s">
        <v>136</v>
      </c>
      <c r="E56" s="16">
        <f>LOOKUP(M56,Справочники!$B$2:$B$35,Справочники!$C$2:$C$35)</f>
        <v>15000</v>
      </c>
      <c r="F56" s="16">
        <f t="shared" ca="1" si="7"/>
        <v>8063.8513990955325</v>
      </c>
      <c r="G56" s="16">
        <f t="shared" si="8"/>
        <v>2250</v>
      </c>
      <c r="H56" s="16">
        <f t="shared" ca="1" si="9"/>
        <v>25313.851399095533</v>
      </c>
      <c r="I56" s="16">
        <f t="shared" ca="1" si="10"/>
        <v>3290.8006818824192</v>
      </c>
      <c r="J56" s="16">
        <f t="shared" ca="1" si="11"/>
        <v>22023.050717213115</v>
      </c>
      <c r="K56" s="10" t="s">
        <v>17</v>
      </c>
      <c r="L56" s="10" t="str">
        <f>LOOKUP(M56,Справочники!$B$2:$B$35,Справочники!$A$2:$A$35)</f>
        <v>Рекламный отдел</v>
      </c>
      <c r="M56" s="6" t="s">
        <v>40</v>
      </c>
      <c r="N56" s="6" t="s">
        <v>14</v>
      </c>
      <c r="O56" s="11">
        <v>41972</v>
      </c>
      <c r="P56" s="10">
        <f t="shared" ca="1" si="12"/>
        <v>7</v>
      </c>
      <c r="Q56" s="11">
        <v>33851</v>
      </c>
      <c r="R56" s="10">
        <f t="shared" ca="1" si="13"/>
        <v>30</v>
      </c>
      <c r="S56" s="10" t="str">
        <f>LOOKUP(L56,Справочники!$F$2:$F$10,Справочники!$H$2:$H$10)</f>
        <v>+7(8332)64-32-01</v>
      </c>
    </row>
    <row r="57" spans="1:19" ht="15" x14ac:dyDescent="0.25">
      <c r="A57" s="10">
        <v>110</v>
      </c>
      <c r="B57" s="12" t="s">
        <v>94</v>
      </c>
      <c r="C57" s="12" t="s">
        <v>95</v>
      </c>
      <c r="D57" s="12" t="s">
        <v>96</v>
      </c>
      <c r="E57" s="16">
        <f>LOOKUP(M57,Справочники!$B$2:$B$35,Справочники!$C$2:$C$35)</f>
        <v>30000</v>
      </c>
      <c r="F57" s="16">
        <f t="shared" ca="1" si="7"/>
        <v>16127.702798191065</v>
      </c>
      <c r="G57" s="16">
        <f t="shared" si="8"/>
        <v>4500</v>
      </c>
      <c r="H57" s="16">
        <f t="shared" ca="1" si="9"/>
        <v>50627.702798191065</v>
      </c>
      <c r="I57" s="16">
        <f t="shared" ca="1" si="10"/>
        <v>6581.6013637648384</v>
      </c>
      <c r="J57" s="16">
        <f t="shared" ca="1" si="11"/>
        <v>44046.101434426229</v>
      </c>
      <c r="K57" s="10" t="s">
        <v>9</v>
      </c>
      <c r="L57" s="10" t="str">
        <f>LOOKUP(M57,Справочники!$B$2:$B$35,Справочники!$A$2:$A$35)</f>
        <v>Управление</v>
      </c>
      <c r="M57" s="6" t="s">
        <v>23</v>
      </c>
      <c r="N57" s="6" t="s">
        <v>14</v>
      </c>
      <c r="O57" s="11">
        <v>34436</v>
      </c>
      <c r="P57" s="10">
        <f t="shared" ca="1" si="12"/>
        <v>28</v>
      </c>
      <c r="Q57" s="11">
        <v>26821</v>
      </c>
      <c r="R57" s="10">
        <f t="shared" ca="1" si="13"/>
        <v>49</v>
      </c>
      <c r="S57" s="10" t="str">
        <f>LOOKUP(L57,Справочники!$F$2:$F$10,Справочники!$H$2:$H$10)</f>
        <v>+7(8332)64-32-18</v>
      </c>
    </row>
    <row r="58" spans="1:19" ht="15" x14ac:dyDescent="0.25">
      <c r="A58" s="10">
        <v>148</v>
      </c>
      <c r="B58" s="12" t="s">
        <v>178</v>
      </c>
      <c r="C58" s="12" t="s">
        <v>179</v>
      </c>
      <c r="D58" s="12" t="s">
        <v>101</v>
      </c>
      <c r="E58" s="16">
        <f>LOOKUP(M58,Справочники!$B$2:$B$35,Справочники!$C$2:$C$35)</f>
        <v>22000</v>
      </c>
      <c r="F58" s="16">
        <f t="shared" ca="1" si="7"/>
        <v>0</v>
      </c>
      <c r="G58" s="16">
        <f t="shared" si="8"/>
        <v>3300</v>
      </c>
      <c r="H58" s="16">
        <f t="shared" ca="1" si="9"/>
        <v>25300</v>
      </c>
      <c r="I58" s="16">
        <f t="shared" ca="1" si="10"/>
        <v>3289</v>
      </c>
      <c r="J58" s="16">
        <f t="shared" ca="1" si="11"/>
        <v>22011</v>
      </c>
      <c r="K58" s="10" t="s">
        <v>17</v>
      </c>
      <c r="L58" s="10" t="str">
        <f>LOOKUP(M58,Справочники!$B$2:$B$35,Справочники!$A$2:$A$35)</f>
        <v>Рекламный отдел</v>
      </c>
      <c r="M58" s="6" t="s">
        <v>27</v>
      </c>
      <c r="N58" s="6" t="s">
        <v>14</v>
      </c>
      <c r="O58" s="11">
        <v>43539</v>
      </c>
      <c r="P58" s="10">
        <f t="shared" ca="1" si="12"/>
        <v>3</v>
      </c>
      <c r="Q58" s="11">
        <v>27737</v>
      </c>
      <c r="R58" s="10">
        <f t="shared" ca="1" si="13"/>
        <v>46</v>
      </c>
      <c r="S58" s="10" t="str">
        <f>LOOKUP(L58,Справочники!$F$2:$F$10,Справочники!$H$2:$H$10)</f>
        <v>+7(8332)64-32-01</v>
      </c>
    </row>
    <row r="59" spans="1:19" ht="15" x14ac:dyDescent="0.25">
      <c r="A59" s="10">
        <v>160</v>
      </c>
      <c r="B59" s="12" t="s">
        <v>202</v>
      </c>
      <c r="C59" s="12" t="s">
        <v>203</v>
      </c>
      <c r="D59" s="12" t="s">
        <v>127</v>
      </c>
      <c r="E59" s="16">
        <f>LOOKUP(M59,Справочники!$B$2:$B$35,Справочники!$C$2:$C$35)</f>
        <v>14000</v>
      </c>
      <c r="F59" s="16">
        <f t="shared" ca="1" si="7"/>
        <v>7526.261305822497</v>
      </c>
      <c r="G59" s="16">
        <f t="shared" si="8"/>
        <v>2100</v>
      </c>
      <c r="H59" s="16">
        <f t="shared" ca="1" si="9"/>
        <v>23626.261305822496</v>
      </c>
      <c r="I59" s="16">
        <f t="shared" ca="1" si="10"/>
        <v>3071.4139697569244</v>
      </c>
      <c r="J59" s="16">
        <f t="shared" ca="1" si="11"/>
        <v>20554.84733606557</v>
      </c>
      <c r="K59" s="10" t="s">
        <v>9</v>
      </c>
      <c r="L59" s="10" t="str">
        <f>LOOKUP(M59,Справочники!$B$2:$B$35,Справочники!$A$2:$A$35)</f>
        <v>Редакторский отдел</v>
      </c>
      <c r="M59" s="7" t="s">
        <v>55</v>
      </c>
      <c r="N59" s="6" t="s">
        <v>14</v>
      </c>
      <c r="O59" s="11">
        <v>42991</v>
      </c>
      <c r="P59" s="10">
        <f t="shared" ca="1" si="12"/>
        <v>5</v>
      </c>
      <c r="Q59" s="11">
        <v>32936</v>
      </c>
      <c r="R59" s="10">
        <f t="shared" ca="1" si="13"/>
        <v>32</v>
      </c>
      <c r="S59" s="10" t="str">
        <f>LOOKUP(L59,Справочники!$F$2:$F$10,Справочники!$H$2:$H$10)</f>
        <v>+7(8332)64-32-01</v>
      </c>
    </row>
    <row r="60" spans="1:19" ht="15" x14ac:dyDescent="0.25">
      <c r="A60" s="10">
        <v>137</v>
      </c>
      <c r="B60" s="12" t="s">
        <v>153</v>
      </c>
      <c r="C60" s="12" t="s">
        <v>114</v>
      </c>
      <c r="D60" s="12" t="s">
        <v>154</v>
      </c>
      <c r="E60" s="16">
        <f>LOOKUP(M60,Справочники!$B$2:$B$35,Справочники!$C$2:$C$35)</f>
        <v>15000</v>
      </c>
      <c r="F60" s="16">
        <f t="shared" ca="1" si="7"/>
        <v>8063.8513990955325</v>
      </c>
      <c r="G60" s="16">
        <f t="shared" si="8"/>
        <v>2250</v>
      </c>
      <c r="H60" s="16">
        <f t="shared" ca="1" si="9"/>
        <v>25313.851399095533</v>
      </c>
      <c r="I60" s="16">
        <f t="shared" ca="1" si="10"/>
        <v>3290.8006818824192</v>
      </c>
      <c r="J60" s="16">
        <f t="shared" ca="1" si="11"/>
        <v>22023.050717213115</v>
      </c>
      <c r="K60" s="10" t="s">
        <v>9</v>
      </c>
      <c r="L60" s="10" t="str">
        <f>LOOKUP(M60,Справочники!$B$2:$B$35,Справочники!$A$2:$A$35)</f>
        <v>Управление</v>
      </c>
      <c r="M60" s="6" t="s">
        <v>20</v>
      </c>
      <c r="N60" s="6" t="s">
        <v>25</v>
      </c>
      <c r="O60" s="11">
        <v>42271</v>
      </c>
      <c r="P60" s="10">
        <f t="shared" ca="1" si="12"/>
        <v>7</v>
      </c>
      <c r="Q60" s="11">
        <v>33851</v>
      </c>
      <c r="R60" s="10">
        <f t="shared" ca="1" si="13"/>
        <v>30</v>
      </c>
      <c r="S60" s="10" t="str">
        <f>LOOKUP(L60,Справочники!$F$2:$F$10,Справочники!$H$2:$H$10)</f>
        <v>+7(8332)64-32-18</v>
      </c>
    </row>
    <row r="61" spans="1:19" ht="15" x14ac:dyDescent="0.25">
      <c r="A61" s="10">
        <v>123</v>
      </c>
      <c r="B61" s="12" t="s">
        <v>123</v>
      </c>
      <c r="C61" s="12" t="s">
        <v>114</v>
      </c>
      <c r="D61" s="12" t="s">
        <v>103</v>
      </c>
      <c r="E61" s="16">
        <f>LOOKUP(M61,Справочники!$B$2:$B$35,Справочники!$C$2:$C$35)</f>
        <v>12000</v>
      </c>
      <c r="F61" s="16">
        <f t="shared" ca="1" si="7"/>
        <v>6451.0811192764268</v>
      </c>
      <c r="G61" s="16">
        <f t="shared" si="8"/>
        <v>1800</v>
      </c>
      <c r="H61" s="16">
        <f t="shared" ca="1" si="9"/>
        <v>20251.081119276427</v>
      </c>
      <c r="I61" s="16">
        <f t="shared" ca="1" si="10"/>
        <v>2632.6405455059357</v>
      </c>
      <c r="J61" s="16">
        <f t="shared" ca="1" si="11"/>
        <v>17618.440573770491</v>
      </c>
      <c r="K61" s="10" t="s">
        <v>9</v>
      </c>
      <c r="L61" s="10" t="str">
        <f>LOOKUP(M61,Справочники!$B$2:$B$35,Справочники!$A$2:$A$35)</f>
        <v>Технологический отдел</v>
      </c>
      <c r="M61" s="6" t="s">
        <v>34</v>
      </c>
      <c r="N61" s="6" t="s">
        <v>14</v>
      </c>
      <c r="O61" s="11">
        <v>35290</v>
      </c>
      <c r="P61" s="10">
        <f t="shared" ca="1" si="12"/>
        <v>26</v>
      </c>
      <c r="Q61" s="11">
        <v>22280</v>
      </c>
      <c r="R61" s="10">
        <f t="shared" ca="1" si="13"/>
        <v>61</v>
      </c>
      <c r="S61" s="10" t="str">
        <f>LOOKUP(L61,Справочники!$F$2:$F$10,Справочники!$H$2:$H$10)</f>
        <v>+7(8332)64-32-18</v>
      </c>
    </row>
    <row r="62" spans="1:19" ht="15" x14ac:dyDescent="0.25">
      <c r="A62" s="10">
        <v>113</v>
      </c>
      <c r="B62" s="12" t="s">
        <v>102</v>
      </c>
      <c r="C62" s="12" t="s">
        <v>98</v>
      </c>
      <c r="D62" s="12" t="s">
        <v>103</v>
      </c>
      <c r="E62" s="16">
        <f>LOOKUP(M62,Справочники!$B$2:$B$35,Справочники!$C$2:$C$35)</f>
        <v>18000</v>
      </c>
      <c r="F62" s="16">
        <f t="shared" ca="1" si="7"/>
        <v>9676.6216789146401</v>
      </c>
      <c r="G62" s="16">
        <f t="shared" si="8"/>
        <v>2700</v>
      </c>
      <c r="H62" s="16">
        <f t="shared" ca="1" si="9"/>
        <v>30376.621678914642</v>
      </c>
      <c r="I62" s="16">
        <f t="shared" ca="1" si="10"/>
        <v>3948.9608182589036</v>
      </c>
      <c r="J62" s="16">
        <f t="shared" ca="1" si="11"/>
        <v>26427.660860655738</v>
      </c>
      <c r="K62" s="10" t="s">
        <v>9</v>
      </c>
      <c r="L62" s="10" t="str">
        <f>LOOKUP(M62,Справочники!$B$2:$B$35,Справочники!$A$2:$A$35)</f>
        <v>Рекламный отдел</v>
      </c>
      <c r="M62" s="6" t="s">
        <v>28</v>
      </c>
      <c r="N62" s="6" t="s">
        <v>14</v>
      </c>
      <c r="O62" s="11">
        <v>34788</v>
      </c>
      <c r="P62" s="10">
        <f t="shared" ca="1" si="12"/>
        <v>27</v>
      </c>
      <c r="Q62" s="11">
        <v>25186</v>
      </c>
      <c r="R62" s="10">
        <f t="shared" ca="1" si="13"/>
        <v>53</v>
      </c>
      <c r="S62" s="10" t="str">
        <f>LOOKUP(L62,Справочники!$F$2:$F$10,Справочники!$H$2:$H$10)</f>
        <v>+7(8332)64-32-01</v>
      </c>
    </row>
    <row r="63" spans="1:19" ht="15" x14ac:dyDescent="0.25">
      <c r="A63" s="10">
        <v>133</v>
      </c>
      <c r="B63" s="12" t="s">
        <v>144</v>
      </c>
      <c r="C63" s="12" t="s">
        <v>84</v>
      </c>
      <c r="D63" s="12" t="s">
        <v>145</v>
      </c>
      <c r="E63" s="16">
        <f>LOOKUP(M63,Справочники!$B$2:$B$35,Справочники!$C$2:$C$35)</f>
        <v>15000</v>
      </c>
      <c r="F63" s="16">
        <f t="shared" ca="1" si="7"/>
        <v>8063.8513990955325</v>
      </c>
      <c r="G63" s="16">
        <f t="shared" si="8"/>
        <v>2250</v>
      </c>
      <c r="H63" s="16">
        <f t="shared" ca="1" si="9"/>
        <v>25313.851399095533</v>
      </c>
      <c r="I63" s="16">
        <f t="shared" ca="1" si="10"/>
        <v>3290.8006818824192</v>
      </c>
      <c r="J63" s="16">
        <f t="shared" ca="1" si="11"/>
        <v>22023.050717213115</v>
      </c>
      <c r="K63" s="10" t="s">
        <v>17</v>
      </c>
      <c r="L63" s="10" t="str">
        <f>LOOKUP(M63,Справочники!$B$2:$B$35,Справочники!$A$2:$A$35)</f>
        <v>Рекламный отдел</v>
      </c>
      <c r="M63" s="6" t="s">
        <v>40</v>
      </c>
      <c r="N63" s="6" t="s">
        <v>14</v>
      </c>
      <c r="O63" s="11">
        <v>41782</v>
      </c>
      <c r="P63" s="10">
        <f t="shared" ca="1" si="12"/>
        <v>8</v>
      </c>
      <c r="Q63" s="11">
        <v>33871</v>
      </c>
      <c r="R63" s="10">
        <f t="shared" ca="1" si="13"/>
        <v>30</v>
      </c>
      <c r="S63" s="10" t="str">
        <f>LOOKUP(L63,Справочники!$F$2:$F$10,Справочники!$H$2:$H$10)</f>
        <v>+7(8332)64-32-01</v>
      </c>
    </row>
    <row r="64" spans="1:19" ht="15" x14ac:dyDescent="0.25">
      <c r="A64" s="10">
        <v>138</v>
      </c>
      <c r="B64" s="12" t="s">
        <v>155</v>
      </c>
      <c r="C64" s="12" t="s">
        <v>108</v>
      </c>
      <c r="D64" s="12" t="s">
        <v>156</v>
      </c>
      <c r="E64" s="16">
        <f>LOOKUP(M64,Справочники!$B$2:$B$35,Справочники!$C$2:$C$35)</f>
        <v>18000</v>
      </c>
      <c r="F64" s="16">
        <f t="shared" ca="1" si="7"/>
        <v>9676.6216789146401</v>
      </c>
      <c r="G64" s="16">
        <f t="shared" si="8"/>
        <v>2700</v>
      </c>
      <c r="H64" s="16">
        <f t="shared" ca="1" si="9"/>
        <v>30376.621678914642</v>
      </c>
      <c r="I64" s="16">
        <f t="shared" ca="1" si="10"/>
        <v>3948.9608182589036</v>
      </c>
      <c r="J64" s="16">
        <f t="shared" ca="1" si="11"/>
        <v>26427.660860655738</v>
      </c>
      <c r="K64" s="10" t="s">
        <v>9</v>
      </c>
      <c r="L64" s="10" t="str">
        <f>LOOKUP(M64,Справочники!$B$2:$B$35,Справочники!$A$2:$A$35)</f>
        <v>Отдел худ. оформления</v>
      </c>
      <c r="M64" s="6" t="s">
        <v>44</v>
      </c>
      <c r="N64" s="6" t="s">
        <v>14</v>
      </c>
      <c r="O64" s="11">
        <v>34380</v>
      </c>
      <c r="P64" s="10">
        <f t="shared" ca="1" si="12"/>
        <v>28</v>
      </c>
      <c r="Q64" s="11">
        <v>23757</v>
      </c>
      <c r="R64" s="10">
        <f t="shared" ca="1" si="13"/>
        <v>57</v>
      </c>
      <c r="S64" s="10" t="str">
        <f>LOOKUP(L64,Справочники!$F$2:$F$10,Справочники!$H$2:$H$10)</f>
        <v>+7(8332)64-32-01</v>
      </c>
    </row>
    <row r="65" spans="1:19" ht="15" x14ac:dyDescent="0.25">
      <c r="A65" s="10">
        <v>127</v>
      </c>
      <c r="B65" s="12" t="s">
        <v>130</v>
      </c>
      <c r="C65" s="12" t="s">
        <v>131</v>
      </c>
      <c r="D65" s="12" t="s">
        <v>132</v>
      </c>
      <c r="E65" s="16">
        <f>LOOKUP(M65,Справочники!$B$2:$B$35,Справочники!$C$2:$C$35)</f>
        <v>20000</v>
      </c>
      <c r="F65" s="16">
        <f t="shared" ca="1" si="7"/>
        <v>10751.801865460711</v>
      </c>
      <c r="G65" s="16">
        <f t="shared" si="8"/>
        <v>3000</v>
      </c>
      <c r="H65" s="16">
        <f t="shared" ca="1" si="9"/>
        <v>33751.801865460715</v>
      </c>
      <c r="I65" s="16">
        <f t="shared" ca="1" si="10"/>
        <v>4387.7342425098932</v>
      </c>
      <c r="J65" s="16">
        <f t="shared" ca="1" si="11"/>
        <v>29364.067622950821</v>
      </c>
      <c r="K65" s="10" t="s">
        <v>17</v>
      </c>
      <c r="L65" s="10" t="str">
        <f>LOOKUP(M65,Справочники!$B$2:$B$35,Справочники!$A$2:$A$35)</f>
        <v>Технологический отдел</v>
      </c>
      <c r="M65" s="6" t="s">
        <v>38</v>
      </c>
      <c r="N65" s="6" t="s">
        <v>14</v>
      </c>
      <c r="O65" s="11">
        <v>40810</v>
      </c>
      <c r="P65" s="10">
        <f t="shared" ca="1" si="12"/>
        <v>11</v>
      </c>
      <c r="Q65" s="11">
        <v>31390</v>
      </c>
      <c r="R65" s="10">
        <f t="shared" ca="1" si="13"/>
        <v>36</v>
      </c>
      <c r="S65" s="10" t="str">
        <f>LOOKUP(L65,Справочники!$F$2:$F$10,Справочники!$H$2:$H$10)</f>
        <v>+7(8332)64-32-18</v>
      </c>
    </row>
    <row r="66" spans="1:19" ht="15" x14ac:dyDescent="0.25">
      <c r="A66" s="10">
        <v>124</v>
      </c>
      <c r="B66" s="12" t="s">
        <v>124</v>
      </c>
      <c r="C66" s="12" t="s">
        <v>125</v>
      </c>
      <c r="D66" s="12" t="s">
        <v>96</v>
      </c>
      <c r="E66" s="16">
        <f>LOOKUP(M66,Справочники!$B$2:$B$35,Справочники!$C$2:$C$35)</f>
        <v>15000</v>
      </c>
      <c r="F66" s="16">
        <f t="shared" ca="1" si="7"/>
        <v>8063.8513990955325</v>
      </c>
      <c r="G66" s="16">
        <f t="shared" si="8"/>
        <v>2250</v>
      </c>
      <c r="H66" s="16">
        <f t="shared" ca="1" si="9"/>
        <v>25313.851399095533</v>
      </c>
      <c r="I66" s="16">
        <f t="shared" ca="1" si="10"/>
        <v>3290.8006818824192</v>
      </c>
      <c r="J66" s="16">
        <f t="shared" ca="1" si="11"/>
        <v>22023.050717213115</v>
      </c>
      <c r="K66" s="10" t="s">
        <v>9</v>
      </c>
      <c r="L66" s="10" t="str">
        <f>LOOKUP(M66,Справочники!$B$2:$B$35,Справочники!$A$2:$A$35)</f>
        <v>Технологический отдел</v>
      </c>
      <c r="M66" s="6" t="s">
        <v>32</v>
      </c>
      <c r="N66" s="6" t="s">
        <v>33</v>
      </c>
      <c r="O66" s="11">
        <v>35451</v>
      </c>
      <c r="P66" s="10">
        <f t="shared" ca="1" si="12"/>
        <v>25</v>
      </c>
      <c r="Q66" s="11">
        <v>27551</v>
      </c>
      <c r="R66" s="10">
        <f t="shared" ca="1" si="13"/>
        <v>47</v>
      </c>
      <c r="S66" s="10" t="str">
        <f>LOOKUP(L66,Справочники!$F$2:$F$10,Справочники!$H$2:$H$10)</f>
        <v>+7(8332)64-32-18</v>
      </c>
    </row>
    <row r="67" spans="1:19" ht="15" x14ac:dyDescent="0.25">
      <c r="A67" s="10">
        <v>125</v>
      </c>
      <c r="B67" s="12" t="s">
        <v>126</v>
      </c>
      <c r="C67" s="12" t="s">
        <v>98</v>
      </c>
      <c r="D67" s="12" t="s">
        <v>127</v>
      </c>
      <c r="E67" s="16">
        <f>LOOKUP(M67,Справочники!$B$2:$B$35,Справочники!$C$2:$C$35)</f>
        <v>12000</v>
      </c>
      <c r="F67" s="16">
        <f t="shared" ca="1" si="7"/>
        <v>6451.0811192764268</v>
      </c>
      <c r="G67" s="16">
        <f t="shared" si="8"/>
        <v>1800</v>
      </c>
      <c r="H67" s="16">
        <f t="shared" ca="1" si="9"/>
        <v>20251.081119276427</v>
      </c>
      <c r="I67" s="16">
        <f t="shared" ca="1" si="10"/>
        <v>2632.6405455059357</v>
      </c>
      <c r="J67" s="16">
        <f t="shared" ca="1" si="11"/>
        <v>17618.440573770491</v>
      </c>
      <c r="K67" s="10" t="s">
        <v>9</v>
      </c>
      <c r="L67" s="10" t="str">
        <f>LOOKUP(M67,Справочники!$B$2:$B$35,Справочники!$A$2:$A$35)</f>
        <v>Технологический отдел</v>
      </c>
      <c r="M67" s="6" t="s">
        <v>34</v>
      </c>
      <c r="N67" s="6" t="s">
        <v>33</v>
      </c>
      <c r="O67" s="11">
        <v>35290</v>
      </c>
      <c r="P67" s="10">
        <f t="shared" ca="1" si="12"/>
        <v>26</v>
      </c>
      <c r="Q67" s="11">
        <v>22065</v>
      </c>
      <c r="R67" s="10">
        <f t="shared" ca="1" si="13"/>
        <v>62</v>
      </c>
      <c r="S67" s="10" t="str">
        <f>LOOKUP(L67,Справочники!$F$2:$F$10,Справочники!$H$2:$H$10)</f>
        <v>+7(8332)64-32-18</v>
      </c>
    </row>
    <row r="68" spans="1:19" x14ac:dyDescent="0.2">
      <c r="I68" s="27">
        <f ca="1">SUM(I4:I67)</f>
        <v>224137.93103448278</v>
      </c>
      <c r="J68" s="27">
        <f ca="1">SUM(J4:J67)</f>
        <v>1499999.9999999998</v>
      </c>
    </row>
    <row r="69" spans="1:19" x14ac:dyDescent="0.2">
      <c r="D69" s="29" t="s">
        <v>230</v>
      </c>
    </row>
    <row r="72" spans="1:19" x14ac:dyDescent="0.2">
      <c r="B72" s="30">
        <f ca="1">MAX(J4:J67)</f>
        <v>51387.118340163928</v>
      </c>
      <c r="C72" s="28" t="s">
        <v>224</v>
      </c>
    </row>
    <row r="73" spans="1:19" x14ac:dyDescent="0.2">
      <c r="B73" s="30">
        <f ca="1">MIN(I4:I67)</f>
        <v>1644.5</v>
      </c>
      <c r="C73" s="28" t="s">
        <v>225</v>
      </c>
    </row>
    <row r="74" spans="1:19" x14ac:dyDescent="0.2">
      <c r="B74" s="30">
        <f>AVERAGE(E4:E67)</f>
        <v>16296.875</v>
      </c>
      <c r="C74" s="28" t="s">
        <v>226</v>
      </c>
    </row>
    <row r="75" spans="1:19" x14ac:dyDescent="0.2">
      <c r="B75" s="12">
        <f ca="1">COUNTIF(F4:F67, "&gt;0")</f>
        <v>60</v>
      </c>
      <c r="C75" s="28" t="s">
        <v>227</v>
      </c>
    </row>
    <row r="76" spans="1:19" x14ac:dyDescent="0.2">
      <c r="B76" s="30">
        <f ca="1">SUMIF(F4:F67, "&gt;0", I4:I67)</f>
        <v>214121.43103448278</v>
      </c>
      <c r="C76" s="28" t="s">
        <v>228</v>
      </c>
    </row>
    <row r="77" spans="1:19" x14ac:dyDescent="0.2">
      <c r="B77" s="30">
        <f ca="1">SUMIFS( E4:E67, F4:F67, "=0", E4:E67, "&gt;15000")</f>
        <v>44000</v>
      </c>
      <c r="C77" s="28" t="s">
        <v>229</v>
      </c>
    </row>
  </sheetData>
  <mergeCells count="3">
    <mergeCell ref="A1:D1"/>
    <mergeCell ref="E1:H1"/>
    <mergeCell ref="I1:J1"/>
  </mergeCells>
  <conditionalFormatting sqref="J4:J67">
    <cfRule type="cellIs" dxfId="7" priority="1" operator="lessThan">
      <formula>15000</formula>
    </cfRule>
    <cfRule type="cellIs" dxfId="6" priority="3" operator="greaterThan">
      <formula>25000</formula>
    </cfRule>
    <cfRule type="cellIs" dxfId="5" priority="4" operator="between">
      <formula>15000</formula>
      <formula>25000</formula>
    </cfRule>
  </conditionalFormatting>
  <conditionalFormatting sqref="J7:J67">
    <cfRule type="cellIs" dxfId="4" priority="2" operator="lessThan">
      <formula>15000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AE6A-D480-4413-B242-32658CDD5FE0}">
  <sheetPr filterMode="1"/>
  <dimension ref="A1:N65"/>
  <sheetViews>
    <sheetView zoomScaleNormal="100" workbookViewId="0">
      <pane ySplit="1" topLeftCell="A2" activePane="bottomLeft" state="frozen"/>
      <selection pane="bottomLeft" activeCell="M84" sqref="M84"/>
    </sheetView>
  </sheetViews>
  <sheetFormatPr defaultRowHeight="12.75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0.7109375" style="18" bestFit="1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hidden="1" x14ac:dyDescent="0.25">
      <c r="A2" s="10">
        <v>101</v>
      </c>
      <c r="B2" s="12" t="s">
        <v>68</v>
      </c>
      <c r="C2" s="12" t="s">
        <v>69</v>
      </c>
      <c r="D2" s="12" t="s">
        <v>70</v>
      </c>
      <c r="E2" s="10" t="s">
        <v>9</v>
      </c>
      <c r="F2" s="10" t="str">
        <f>LOOKUP(G2,Справочники!$B$2:$B$35,Справочники!$A$2:$A$35)</f>
        <v>Бухгалтерия</v>
      </c>
      <c r="G2" s="6" t="s">
        <v>11</v>
      </c>
      <c r="H2" s="16">
        <f>LOOKUP(G2,Справочники!$B$2:$B$35,Справочники!$C$2:$C$35)</f>
        <v>12000</v>
      </c>
      <c r="I2" s="6" t="s">
        <v>14</v>
      </c>
      <c r="J2" s="11">
        <v>38944</v>
      </c>
      <c r="K2" s="11">
        <v>30198</v>
      </c>
      <c r="L2" s="10">
        <f ca="1">DATEDIF(J2, TODAY(),"Y")</f>
        <v>16</v>
      </c>
      <c r="M2" s="10">
        <f ca="1">DATEDIF(K2, TODAY(),"Y")</f>
        <v>40</v>
      </c>
      <c r="N2" s="10" t="str">
        <f>LOOKUP(F2,Справочники!$F$2:$F$10,Справочники!$H$2:$H$10)</f>
        <v>+7(8332)64-32-01</v>
      </c>
    </row>
    <row r="3" spans="1:14" ht="15" hidden="1" x14ac:dyDescent="0.25">
      <c r="A3" s="10">
        <v>102</v>
      </c>
      <c r="B3" s="12" t="s">
        <v>71</v>
      </c>
      <c r="C3" s="12" t="s">
        <v>72</v>
      </c>
      <c r="D3" s="12" t="s">
        <v>73</v>
      </c>
      <c r="E3" s="10" t="s">
        <v>9</v>
      </c>
      <c r="F3" s="10" t="str">
        <f>LOOKUP(G3,Справочники!$B$2:$B$35,Справочники!$A$2:$A$35)</f>
        <v>Бухгалтерия</v>
      </c>
      <c r="G3" s="6" t="s">
        <v>13</v>
      </c>
      <c r="H3" s="16">
        <f>LOOKUP(G3,Справочники!$B$2:$B$35,Справочники!$C$2:$C$35)</f>
        <v>20000</v>
      </c>
      <c r="I3" s="6" t="s">
        <v>14</v>
      </c>
      <c r="J3" s="11">
        <v>34380</v>
      </c>
      <c r="K3" s="11">
        <v>25186</v>
      </c>
      <c r="L3" s="10">
        <f t="shared" ref="L3:M65" ca="1" si="0">DATEDIF(J3, TODAY(),"Y")</f>
        <v>28</v>
      </c>
      <c r="M3" s="10">
        <f t="shared" ca="1" si="0"/>
        <v>53</v>
      </c>
      <c r="N3" s="10" t="str">
        <f>LOOKUP(F3,Справочники!$F$2:$F$10,Справочники!$H$2:$H$10)</f>
        <v>+7(8332)64-32-01</v>
      </c>
    </row>
    <row r="4" spans="1:14" ht="15" hidden="1" x14ac:dyDescent="0.25">
      <c r="A4" s="10">
        <v>103</v>
      </c>
      <c r="B4" s="12" t="s">
        <v>74</v>
      </c>
      <c r="C4" s="12" t="s">
        <v>75</v>
      </c>
      <c r="D4" s="12" t="s">
        <v>76</v>
      </c>
      <c r="E4" s="10" t="s">
        <v>9</v>
      </c>
      <c r="F4" s="10" t="str">
        <f>LOOKUP(G4,Справочники!$B$2:$B$35,Справочники!$A$2:$A$35)</f>
        <v>Бухгалтерия</v>
      </c>
      <c r="G4" s="6" t="s">
        <v>15</v>
      </c>
      <c r="H4" s="16">
        <f>LOOKUP(G4,Справочники!$B$2:$B$35,Справочники!$C$2:$C$35)</f>
        <v>12000</v>
      </c>
      <c r="I4" s="6" t="s">
        <v>12</v>
      </c>
      <c r="J4" s="11">
        <v>42962</v>
      </c>
      <c r="K4" s="11">
        <v>34762</v>
      </c>
      <c r="L4" s="10">
        <f t="shared" ca="1" si="0"/>
        <v>5</v>
      </c>
      <c r="M4" s="10">
        <f t="shared" ca="1" si="0"/>
        <v>27</v>
      </c>
      <c r="N4" s="10" t="str">
        <f>LOOKUP(F4,Справочники!$F$2:$F$10,Справочники!$H$2:$H$10)</f>
        <v>+7(8332)64-32-01</v>
      </c>
    </row>
    <row r="5" spans="1:14" ht="15" hidden="1" x14ac:dyDescent="0.25">
      <c r="A5" s="10">
        <v>104</v>
      </c>
      <c r="B5" s="12" t="s">
        <v>77</v>
      </c>
      <c r="C5" s="12" t="s">
        <v>78</v>
      </c>
      <c r="D5" s="12" t="s">
        <v>79</v>
      </c>
      <c r="E5" s="10" t="s">
        <v>9</v>
      </c>
      <c r="F5" s="10" t="str">
        <f>LOOKUP(G5,Справочники!$B$2:$B$35,Справочники!$A$2:$A$35)</f>
        <v>Бухгалтерия</v>
      </c>
      <c r="G5" s="6" t="s">
        <v>16</v>
      </c>
      <c r="H5" s="16">
        <f>LOOKUP(G5,Справочники!$B$2:$B$35,Справочники!$C$2:$C$35)</f>
        <v>15000</v>
      </c>
      <c r="I5" s="6" t="s">
        <v>14</v>
      </c>
      <c r="J5" s="11">
        <v>41530</v>
      </c>
      <c r="K5" s="11">
        <v>25346</v>
      </c>
      <c r="L5" s="10">
        <f t="shared" ca="1" si="0"/>
        <v>9</v>
      </c>
      <c r="M5" s="10">
        <f t="shared" ca="1" si="0"/>
        <v>53</v>
      </c>
      <c r="N5" s="10" t="str">
        <f>LOOKUP(F5,Справочники!$F$2:$F$10,Справочники!$H$2:$H$10)</f>
        <v>+7(8332)64-32-01</v>
      </c>
    </row>
    <row r="6" spans="1:14" ht="15" hidden="1" x14ac:dyDescent="0.25">
      <c r="A6" s="10">
        <v>105</v>
      </c>
      <c r="B6" s="12" t="s">
        <v>80</v>
      </c>
      <c r="C6" s="12" t="s">
        <v>81</v>
      </c>
      <c r="D6" s="12" t="s">
        <v>82</v>
      </c>
      <c r="E6" s="10" t="s">
        <v>17</v>
      </c>
      <c r="F6" s="10" t="str">
        <f>LOOKUP(G6,Справочники!$B$2:$B$35,Справочники!$A$2:$A$35)</f>
        <v>Бухгалтерия</v>
      </c>
      <c r="G6" s="6" t="s">
        <v>18</v>
      </c>
      <c r="H6" s="16">
        <f>LOOKUP(G6,Справочники!$B$2:$B$35,Справочники!$C$2:$C$35)</f>
        <v>17000</v>
      </c>
      <c r="I6" s="6" t="s">
        <v>14</v>
      </c>
      <c r="J6" s="11">
        <v>41165</v>
      </c>
      <c r="K6" s="11">
        <v>31196</v>
      </c>
      <c r="L6" s="10">
        <f t="shared" ca="1" si="0"/>
        <v>10</v>
      </c>
      <c r="M6" s="10">
        <f t="shared" ca="1" si="0"/>
        <v>37</v>
      </c>
      <c r="N6" s="10" t="str">
        <f>LOOKUP(F6,Справочники!$F$2:$F$10,Справочники!$H$2:$H$10)</f>
        <v>+7(8332)64-32-01</v>
      </c>
    </row>
    <row r="7" spans="1:14" ht="15" hidden="1" x14ac:dyDescent="0.25">
      <c r="A7" s="10">
        <v>106</v>
      </c>
      <c r="B7" s="12" t="s">
        <v>83</v>
      </c>
      <c r="C7" s="12" t="s">
        <v>84</v>
      </c>
      <c r="D7" s="12" t="s">
        <v>85</v>
      </c>
      <c r="E7" s="10" t="s">
        <v>17</v>
      </c>
      <c r="F7" s="10" t="str">
        <f>LOOKUP(G7,Справочники!$B$2:$B$35,Справочники!$A$2:$A$35)</f>
        <v>Бухгалтерия</v>
      </c>
      <c r="G7" s="6" t="s">
        <v>11</v>
      </c>
      <c r="H7" s="16">
        <f>LOOKUP(G7,Справочники!$B$2:$B$35,Справочники!$C$2:$C$35)</f>
        <v>12000</v>
      </c>
      <c r="I7" s="6" t="s">
        <v>25</v>
      </c>
      <c r="J7" s="11">
        <v>42626</v>
      </c>
      <c r="K7" s="11">
        <v>31062</v>
      </c>
      <c r="L7" s="10">
        <f t="shared" ca="1" si="0"/>
        <v>6</v>
      </c>
      <c r="M7" s="10">
        <f t="shared" ca="1" si="0"/>
        <v>37</v>
      </c>
      <c r="N7" s="10" t="str">
        <f>LOOKUP(F7,Справочники!$F$2:$F$10,Справочники!$H$2:$H$10)</f>
        <v>+7(8332)64-32-01</v>
      </c>
    </row>
    <row r="8" spans="1:14" ht="15" hidden="1" x14ac:dyDescent="0.25">
      <c r="A8" s="10">
        <v>107</v>
      </c>
      <c r="B8" s="12" t="s">
        <v>86</v>
      </c>
      <c r="C8" s="12" t="s">
        <v>87</v>
      </c>
      <c r="D8" s="12" t="s">
        <v>88</v>
      </c>
      <c r="E8" s="10" t="s">
        <v>9</v>
      </c>
      <c r="F8" s="10" t="str">
        <f>LOOKUP(G8,Справочники!$B$2:$B$35,Справочники!$A$2:$A$35)</f>
        <v>Управление</v>
      </c>
      <c r="G8" s="6" t="s">
        <v>20</v>
      </c>
      <c r="H8" s="16">
        <f>LOOKUP(G8,Справочники!$B$2:$B$35,Справочники!$C$2:$C$35)</f>
        <v>15000</v>
      </c>
      <c r="I8" s="6" t="s">
        <v>12</v>
      </c>
      <c r="J8" s="11">
        <v>39956</v>
      </c>
      <c r="K8" s="11">
        <v>30254</v>
      </c>
      <c r="L8" s="10">
        <f t="shared" ca="1" si="0"/>
        <v>13</v>
      </c>
      <c r="M8" s="10">
        <f t="shared" ca="1" si="0"/>
        <v>40</v>
      </c>
      <c r="N8" s="10" t="str">
        <f>LOOKUP(F8,Справочники!$F$2:$F$10,Справочники!$H$2:$H$10)</f>
        <v>+7(8332)64-32-18</v>
      </c>
    </row>
    <row r="9" spans="1:14" ht="15" hidden="1" x14ac:dyDescent="0.25">
      <c r="A9" s="10">
        <v>108</v>
      </c>
      <c r="B9" s="12" t="s">
        <v>89</v>
      </c>
      <c r="C9" s="12" t="s">
        <v>90</v>
      </c>
      <c r="D9" s="12" t="s">
        <v>91</v>
      </c>
      <c r="E9" s="10" t="s">
        <v>17</v>
      </c>
      <c r="F9" s="10" t="str">
        <f>LOOKUP(G9,Справочники!$B$2:$B$35,Справочники!$A$2:$A$35)</f>
        <v>Управление</v>
      </c>
      <c r="G9" s="6" t="s">
        <v>21</v>
      </c>
      <c r="H9" s="16">
        <f>LOOKUP(G9,Справочники!$B$2:$B$35,Справочники!$C$2:$C$35)</f>
        <v>35000</v>
      </c>
      <c r="I9" s="6" t="s">
        <v>14</v>
      </c>
      <c r="J9" s="11">
        <v>38579</v>
      </c>
      <c r="K9" s="11">
        <v>28499</v>
      </c>
      <c r="L9" s="10">
        <f t="shared" ca="1" si="0"/>
        <v>17</v>
      </c>
      <c r="M9" s="10">
        <f t="shared" ca="1" si="0"/>
        <v>44</v>
      </c>
      <c r="N9" s="10" t="str">
        <f>LOOKUP(F9,Справочники!$F$2:$F$10,Справочники!$H$2:$H$10)</f>
        <v>+7(8332)64-32-18</v>
      </c>
    </row>
    <row r="10" spans="1:14" ht="15" hidden="1" x14ac:dyDescent="0.25">
      <c r="A10" s="10">
        <v>109</v>
      </c>
      <c r="B10" s="12" t="s">
        <v>92</v>
      </c>
      <c r="C10" s="12" t="s">
        <v>81</v>
      </c>
      <c r="D10" s="12" t="s">
        <v>93</v>
      </c>
      <c r="E10" s="10" t="s">
        <v>17</v>
      </c>
      <c r="F10" s="10" t="str">
        <f>LOOKUP(G10,Справочники!$B$2:$B$35,Справочники!$A$2:$A$35)</f>
        <v>Управление</v>
      </c>
      <c r="G10" s="6" t="s">
        <v>22</v>
      </c>
      <c r="H10" s="16">
        <f>LOOKUP(G10,Справочники!$B$2:$B$35,Справочники!$C$2:$C$35)</f>
        <v>28000</v>
      </c>
      <c r="I10" s="6" t="s">
        <v>14</v>
      </c>
      <c r="J10" s="11">
        <v>39103</v>
      </c>
      <c r="K10" s="11">
        <v>27786</v>
      </c>
      <c r="L10" s="10">
        <f t="shared" ca="1" si="0"/>
        <v>15</v>
      </c>
      <c r="M10" s="10">
        <f t="shared" ca="1" si="0"/>
        <v>46</v>
      </c>
      <c r="N10" s="10" t="str">
        <f>LOOKUP(F10,Справочники!$F$2:$F$10,Справочники!$H$2:$H$10)</f>
        <v>+7(8332)64-32-18</v>
      </c>
    </row>
    <row r="11" spans="1:14" ht="15" hidden="1" x14ac:dyDescent="0.25">
      <c r="A11" s="10">
        <v>110</v>
      </c>
      <c r="B11" s="12" t="s">
        <v>94</v>
      </c>
      <c r="C11" s="12" t="s">
        <v>95</v>
      </c>
      <c r="D11" s="12" t="s">
        <v>96</v>
      </c>
      <c r="E11" s="10" t="s">
        <v>9</v>
      </c>
      <c r="F11" s="10" t="str">
        <f>LOOKUP(G11,Справочники!$B$2:$B$35,Справочники!$A$2:$A$35)</f>
        <v>Управление</v>
      </c>
      <c r="G11" s="6" t="s">
        <v>23</v>
      </c>
      <c r="H11" s="16">
        <f>LOOKUP(G11,Справочники!$B$2:$B$35,Справочники!$C$2:$C$35)</f>
        <v>30000</v>
      </c>
      <c r="I11" s="6" t="s">
        <v>14</v>
      </c>
      <c r="J11" s="11">
        <v>34436</v>
      </c>
      <c r="K11" s="11">
        <v>26821</v>
      </c>
      <c r="L11" s="10">
        <f t="shared" ca="1" si="0"/>
        <v>28</v>
      </c>
      <c r="M11" s="10">
        <f t="shared" ca="1" si="0"/>
        <v>49</v>
      </c>
      <c r="N11" s="10" t="str">
        <f>LOOKUP(F11,Справочники!$F$2:$F$10,Справочники!$H$2:$H$10)</f>
        <v>+7(8332)64-32-18</v>
      </c>
    </row>
    <row r="12" spans="1:14" ht="15" x14ac:dyDescent="0.25">
      <c r="A12" s="10">
        <v>111</v>
      </c>
      <c r="B12" s="12" t="s">
        <v>97</v>
      </c>
      <c r="C12" s="12" t="s">
        <v>98</v>
      </c>
      <c r="D12" s="12" t="s">
        <v>76</v>
      </c>
      <c r="E12" s="10" t="s">
        <v>9</v>
      </c>
      <c r="F12" s="10" t="str">
        <f>LOOKUP(G12,Справочники!$B$2:$B$35,Справочники!$A$2:$A$35)</f>
        <v>Управление</v>
      </c>
      <c r="G12" s="6" t="s">
        <v>24</v>
      </c>
      <c r="H12" s="16">
        <f>LOOKUP(G12,Справочники!$B$2:$B$35,Справочники!$C$2:$C$35)</f>
        <v>15000</v>
      </c>
      <c r="I12" s="6" t="s">
        <v>25</v>
      </c>
      <c r="J12" s="11">
        <v>42960</v>
      </c>
      <c r="K12" s="11">
        <v>33207</v>
      </c>
      <c r="L12" s="10">
        <f t="shared" ca="1" si="0"/>
        <v>5</v>
      </c>
      <c r="M12" s="10">
        <f t="shared" ca="1" si="0"/>
        <v>31</v>
      </c>
      <c r="N12" s="10" t="str">
        <f>LOOKUP(F12,Справочники!$F$2:$F$10,Справочники!$H$2:$H$10)</f>
        <v>+7(8332)64-32-18</v>
      </c>
    </row>
    <row r="13" spans="1:14" ht="15" hidden="1" x14ac:dyDescent="0.25">
      <c r="A13" s="10">
        <v>112</v>
      </c>
      <c r="B13" s="12" t="s">
        <v>99</v>
      </c>
      <c r="C13" s="12" t="s">
        <v>100</v>
      </c>
      <c r="D13" s="12" t="s">
        <v>101</v>
      </c>
      <c r="E13" s="10" t="s">
        <v>17</v>
      </c>
      <c r="F13" s="10" t="str">
        <f>LOOKUP(G13,Справочники!$B$2:$B$35,Справочники!$A$2:$A$35)</f>
        <v>Рекламный отдел</v>
      </c>
      <c r="G13" s="6" t="s">
        <v>27</v>
      </c>
      <c r="H13" s="16">
        <f>LOOKUP(G13,Справочники!$B$2:$B$35,Справочники!$C$2:$C$35)</f>
        <v>22000</v>
      </c>
      <c r="I13" s="6" t="s">
        <v>14</v>
      </c>
      <c r="J13" s="11">
        <v>40966</v>
      </c>
      <c r="K13" s="11">
        <v>31390</v>
      </c>
      <c r="L13" s="10">
        <f t="shared" ca="1" si="0"/>
        <v>10</v>
      </c>
      <c r="M13" s="10">
        <f t="shared" ca="1" si="0"/>
        <v>36</v>
      </c>
      <c r="N13" s="10" t="str">
        <f>LOOKUP(F13,Справочники!$F$2:$F$10,Справочники!$H$2:$H$10)</f>
        <v>+7(8332)64-32-01</v>
      </c>
    </row>
    <row r="14" spans="1:14" ht="15" hidden="1" x14ac:dyDescent="0.25">
      <c r="A14" s="10">
        <v>113</v>
      </c>
      <c r="B14" s="12" t="s">
        <v>102</v>
      </c>
      <c r="C14" s="12" t="s">
        <v>98</v>
      </c>
      <c r="D14" s="12" t="s">
        <v>103</v>
      </c>
      <c r="E14" s="10" t="s">
        <v>9</v>
      </c>
      <c r="F14" s="10" t="str">
        <f>LOOKUP(G14,Справочники!$B$2:$B$35,Справочники!$A$2:$A$35)</f>
        <v>Рекламный отдел</v>
      </c>
      <c r="G14" s="6" t="s">
        <v>28</v>
      </c>
      <c r="H14" s="16">
        <f>LOOKUP(G14,Справочники!$B$2:$B$35,Справочники!$C$2:$C$35)</f>
        <v>18000</v>
      </c>
      <c r="I14" s="6" t="s">
        <v>14</v>
      </c>
      <c r="J14" s="11">
        <v>34788</v>
      </c>
      <c r="K14" s="11">
        <v>25186</v>
      </c>
      <c r="L14" s="10">
        <f t="shared" ca="1" si="0"/>
        <v>27</v>
      </c>
      <c r="M14" s="10">
        <f t="shared" ca="1" si="0"/>
        <v>53</v>
      </c>
      <c r="N14" s="10" t="str">
        <f>LOOKUP(F14,Справочники!$F$2:$F$10,Справочники!$H$2:$H$10)</f>
        <v>+7(8332)64-32-01</v>
      </c>
    </row>
    <row r="15" spans="1:14" ht="15" hidden="1" x14ac:dyDescent="0.25">
      <c r="A15" s="10">
        <v>114</v>
      </c>
      <c r="B15" s="12" t="s">
        <v>104</v>
      </c>
      <c r="C15" s="12" t="s">
        <v>105</v>
      </c>
      <c r="D15" s="12" t="s">
        <v>106</v>
      </c>
      <c r="E15" s="10" t="s">
        <v>9</v>
      </c>
      <c r="F15" s="10" t="str">
        <f>LOOKUP(G15,Справочники!$B$2:$B$35,Справочники!$A$2:$A$35)</f>
        <v>Технологический отдел</v>
      </c>
      <c r="G15" s="6" t="s">
        <v>30</v>
      </c>
      <c r="H15" s="16">
        <f>LOOKUP(G15,Справочники!$B$2:$B$35,Справочники!$C$2:$C$35)</f>
        <v>22000</v>
      </c>
      <c r="I15" s="6" t="s">
        <v>14</v>
      </c>
      <c r="J15" s="11">
        <v>43356</v>
      </c>
      <c r="K15" s="11">
        <v>24300</v>
      </c>
      <c r="L15" s="10">
        <f t="shared" ca="1" si="0"/>
        <v>4</v>
      </c>
      <c r="M15" s="10">
        <f t="shared" ca="1" si="0"/>
        <v>56</v>
      </c>
      <c r="N15" s="10" t="str">
        <f>LOOKUP(F15,Справочники!$F$2:$F$10,Справочники!$H$2:$H$10)</f>
        <v>+7(8332)64-32-18</v>
      </c>
    </row>
    <row r="16" spans="1:14" ht="15" hidden="1" x14ac:dyDescent="0.25">
      <c r="A16" s="10">
        <v>115</v>
      </c>
      <c r="B16" s="12" t="s">
        <v>107</v>
      </c>
      <c r="C16" s="12" t="s">
        <v>108</v>
      </c>
      <c r="D16" s="12" t="s">
        <v>76</v>
      </c>
      <c r="E16" s="10" t="s">
        <v>9</v>
      </c>
      <c r="F16" s="10" t="str">
        <f>LOOKUP(G16,Справочники!$B$2:$B$35,Справочники!$A$2:$A$35)</f>
        <v>Технологический отдел</v>
      </c>
      <c r="G16" s="6" t="s">
        <v>31</v>
      </c>
      <c r="H16" s="16">
        <f>LOOKUP(G16,Справочники!$B$2:$B$35,Справочники!$C$2:$C$35)</f>
        <v>12000</v>
      </c>
      <c r="I16" s="6" t="s">
        <v>12</v>
      </c>
      <c r="J16" s="11">
        <v>35096</v>
      </c>
      <c r="K16" s="11">
        <v>26553</v>
      </c>
      <c r="L16" s="10">
        <f t="shared" ca="1" si="0"/>
        <v>26</v>
      </c>
      <c r="M16" s="10">
        <f t="shared" ca="1" si="0"/>
        <v>50</v>
      </c>
      <c r="N16" s="10" t="str">
        <f>LOOKUP(F16,Справочники!$F$2:$F$10,Справочники!$H$2:$H$10)</f>
        <v>+7(8332)64-32-18</v>
      </c>
    </row>
    <row r="17" spans="1:14" ht="15" hidden="1" x14ac:dyDescent="0.25">
      <c r="A17" s="10">
        <v>116</v>
      </c>
      <c r="B17" s="12" t="s">
        <v>109</v>
      </c>
      <c r="C17" s="12" t="s">
        <v>110</v>
      </c>
      <c r="D17" s="12" t="s">
        <v>111</v>
      </c>
      <c r="E17" s="10" t="s">
        <v>9</v>
      </c>
      <c r="F17" s="10" t="str">
        <f>LOOKUP(G17,Справочники!$B$2:$B$35,Справочники!$A$2:$A$35)</f>
        <v>Технологический отдел</v>
      </c>
      <c r="G17" s="6" t="s">
        <v>32</v>
      </c>
      <c r="H17" s="16">
        <f>LOOKUP(G17,Справочники!$B$2:$B$35,Справочники!$C$2:$C$35)</f>
        <v>15000</v>
      </c>
      <c r="I17" s="6" t="s">
        <v>12</v>
      </c>
      <c r="J17" s="11">
        <v>35292</v>
      </c>
      <c r="K17" s="11">
        <v>25810</v>
      </c>
      <c r="L17" s="10">
        <f t="shared" ca="1" si="0"/>
        <v>26</v>
      </c>
      <c r="M17" s="10">
        <f t="shared" ca="1" si="0"/>
        <v>52</v>
      </c>
      <c r="N17" s="10" t="str">
        <f>LOOKUP(F17,Справочники!$F$2:$F$10,Справочники!$H$2:$H$10)</f>
        <v>+7(8332)64-32-18</v>
      </c>
    </row>
    <row r="18" spans="1:14" ht="15" hidden="1" x14ac:dyDescent="0.25">
      <c r="A18" s="10">
        <v>117</v>
      </c>
      <c r="B18" s="12" t="s">
        <v>112</v>
      </c>
      <c r="C18" s="12" t="s">
        <v>72</v>
      </c>
      <c r="D18" s="12" t="s">
        <v>88</v>
      </c>
      <c r="E18" s="10" t="s">
        <v>9</v>
      </c>
      <c r="F18" s="10" t="str">
        <f>LOOKUP(G18,Справочники!$B$2:$B$35,Справочники!$A$2:$A$35)</f>
        <v>Технологический отдел</v>
      </c>
      <c r="G18" s="6" t="s">
        <v>31</v>
      </c>
      <c r="H18" s="16">
        <f>LOOKUP(G18,Справочники!$B$2:$B$35,Справочники!$C$2:$C$35)</f>
        <v>12000</v>
      </c>
      <c r="I18" s="6" t="s">
        <v>33</v>
      </c>
      <c r="J18" s="11">
        <v>35445</v>
      </c>
      <c r="K18" s="11">
        <v>26821</v>
      </c>
      <c r="L18" s="10">
        <f t="shared" ca="1" si="0"/>
        <v>25</v>
      </c>
      <c r="M18" s="10">
        <f t="shared" ca="1" si="0"/>
        <v>49</v>
      </c>
      <c r="N18" s="10" t="str">
        <f>LOOKUP(F18,Справочники!$F$2:$F$10,Справочники!$H$2:$H$10)</f>
        <v>+7(8332)64-32-18</v>
      </c>
    </row>
    <row r="19" spans="1:14" ht="15" hidden="1" x14ac:dyDescent="0.25">
      <c r="A19" s="10">
        <v>118</v>
      </c>
      <c r="B19" s="12" t="s">
        <v>113</v>
      </c>
      <c r="C19" s="12" t="s">
        <v>114</v>
      </c>
      <c r="D19" s="12" t="s">
        <v>115</v>
      </c>
      <c r="E19" s="10" t="s">
        <v>9</v>
      </c>
      <c r="F19" s="10" t="str">
        <f>LOOKUP(G19,Справочники!$B$2:$B$35,Справочники!$A$2:$A$35)</f>
        <v>Технологический отдел</v>
      </c>
      <c r="G19" s="6" t="s">
        <v>34</v>
      </c>
      <c r="H19" s="16">
        <f>LOOKUP(G19,Справочники!$B$2:$B$35,Справочники!$C$2:$C$35)</f>
        <v>12000</v>
      </c>
      <c r="I19" s="6" t="s">
        <v>12</v>
      </c>
      <c r="J19" s="11">
        <v>36303</v>
      </c>
      <c r="K19" s="11">
        <v>25641</v>
      </c>
      <c r="L19" s="10">
        <f t="shared" ca="1" si="0"/>
        <v>23</v>
      </c>
      <c r="M19" s="10">
        <f t="shared" ca="1" si="0"/>
        <v>52</v>
      </c>
      <c r="N19" s="10" t="str">
        <f>LOOKUP(F19,Справочники!$F$2:$F$10,Справочники!$H$2:$H$10)</f>
        <v>+7(8332)64-32-18</v>
      </c>
    </row>
    <row r="20" spans="1:14" ht="15" hidden="1" x14ac:dyDescent="0.25">
      <c r="A20" s="10">
        <v>119</v>
      </c>
      <c r="B20" s="12" t="s">
        <v>116</v>
      </c>
      <c r="C20" s="12" t="s">
        <v>117</v>
      </c>
      <c r="D20" s="12" t="s">
        <v>70</v>
      </c>
      <c r="E20" s="10" t="s">
        <v>9</v>
      </c>
      <c r="F20" s="10" t="str">
        <f>LOOKUP(G20,Справочники!$B$2:$B$35,Справочники!$A$2:$A$35)</f>
        <v>Технологический отдел</v>
      </c>
      <c r="G20" s="6" t="s">
        <v>35</v>
      </c>
      <c r="H20" s="16">
        <f>LOOKUP(G20,Справочники!$B$2:$B$35,Справочники!$C$2:$C$35)</f>
        <v>17000</v>
      </c>
      <c r="I20" s="6" t="s">
        <v>14</v>
      </c>
      <c r="J20" s="11">
        <v>39550</v>
      </c>
      <c r="K20" s="11">
        <v>28420</v>
      </c>
      <c r="L20" s="10">
        <f t="shared" ca="1" si="0"/>
        <v>14</v>
      </c>
      <c r="M20" s="10">
        <f t="shared" ca="1" si="0"/>
        <v>45</v>
      </c>
      <c r="N20" s="10" t="str">
        <f>LOOKUP(F20,Справочники!$F$2:$F$10,Справочники!$H$2:$H$10)</f>
        <v>+7(8332)64-32-18</v>
      </c>
    </row>
    <row r="21" spans="1:14" ht="15" hidden="1" x14ac:dyDescent="0.25">
      <c r="A21" s="10">
        <v>120</v>
      </c>
      <c r="B21" s="12" t="s">
        <v>118</v>
      </c>
      <c r="C21" s="12" t="s">
        <v>98</v>
      </c>
      <c r="D21" s="12" t="s">
        <v>119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36</v>
      </c>
      <c r="H21" s="16">
        <f>LOOKUP(G21,Справочники!$B$2:$B$35,Справочники!$C$2:$C$35)</f>
        <v>14000</v>
      </c>
      <c r="I21" s="6" t="s">
        <v>12</v>
      </c>
      <c r="J21" s="11">
        <v>35442</v>
      </c>
      <c r="K21" s="11">
        <v>24134</v>
      </c>
      <c r="L21" s="10">
        <f t="shared" ca="1" si="0"/>
        <v>25</v>
      </c>
      <c r="M21" s="10">
        <f t="shared" ca="1" si="0"/>
        <v>56</v>
      </c>
      <c r="N21" s="10" t="str">
        <f>LOOKUP(F21,Справочники!$F$2:$F$10,Справочники!$H$2:$H$10)</f>
        <v>+7(8332)64-32-18</v>
      </c>
    </row>
    <row r="22" spans="1:14" ht="15" hidden="1" x14ac:dyDescent="0.25">
      <c r="A22" s="10">
        <v>121</v>
      </c>
      <c r="B22" s="12" t="s">
        <v>120</v>
      </c>
      <c r="C22" s="12" t="s">
        <v>75</v>
      </c>
      <c r="D22" s="12" t="s">
        <v>79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36</v>
      </c>
      <c r="H22" s="16">
        <f>LOOKUP(G22,Справочники!$B$2:$B$35,Справочники!$C$2:$C$35)</f>
        <v>14000</v>
      </c>
      <c r="I22" s="6" t="s">
        <v>12</v>
      </c>
      <c r="J22" s="11">
        <v>39845</v>
      </c>
      <c r="K22" s="11">
        <v>31391</v>
      </c>
      <c r="L22" s="10">
        <f t="shared" ca="1" si="0"/>
        <v>13</v>
      </c>
      <c r="M22" s="10">
        <f t="shared" ca="1" si="0"/>
        <v>36</v>
      </c>
      <c r="N22" s="10" t="str">
        <f>LOOKUP(F22,Справочники!$F$2:$F$10,Справочники!$H$2:$H$10)</f>
        <v>+7(8332)64-32-18</v>
      </c>
    </row>
    <row r="23" spans="1:14" ht="15" hidden="1" x14ac:dyDescent="0.25">
      <c r="A23" s="10">
        <v>122</v>
      </c>
      <c r="B23" s="12" t="s">
        <v>121</v>
      </c>
      <c r="C23" s="12" t="s">
        <v>122</v>
      </c>
      <c r="D23" s="12" t="s">
        <v>96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37</v>
      </c>
      <c r="H23" s="16">
        <f>LOOKUP(G23,Справочники!$B$2:$B$35,Справочники!$C$2:$C$35)</f>
        <v>14000</v>
      </c>
      <c r="I23" s="6" t="s">
        <v>12</v>
      </c>
      <c r="J23" s="11">
        <v>36427</v>
      </c>
      <c r="K23" s="11">
        <v>24846</v>
      </c>
      <c r="L23" s="10">
        <f t="shared" ca="1" si="0"/>
        <v>23</v>
      </c>
      <c r="M23" s="10">
        <f t="shared" ca="1" si="0"/>
        <v>54</v>
      </c>
      <c r="N23" s="10" t="str">
        <f>LOOKUP(F23,Справочники!$F$2:$F$10,Справочники!$H$2:$H$10)</f>
        <v>+7(8332)64-32-18</v>
      </c>
    </row>
    <row r="24" spans="1:14" ht="15" hidden="1" x14ac:dyDescent="0.25">
      <c r="A24" s="10">
        <v>123</v>
      </c>
      <c r="B24" s="12" t="s">
        <v>123</v>
      </c>
      <c r="C24" s="12" t="s">
        <v>114</v>
      </c>
      <c r="D24" s="12" t="s">
        <v>103</v>
      </c>
      <c r="E24" s="10" t="s">
        <v>9</v>
      </c>
      <c r="F24" s="10" t="str">
        <f>LOOKUP(G24,Справочники!$B$2:$B$35,Справочники!$A$2:$A$35)</f>
        <v>Технологический отдел</v>
      </c>
      <c r="G24" s="6" t="s">
        <v>34</v>
      </c>
      <c r="H24" s="16">
        <f>LOOKUP(G24,Справочники!$B$2:$B$35,Справочники!$C$2:$C$35)</f>
        <v>12000</v>
      </c>
      <c r="I24" s="6" t="s">
        <v>14</v>
      </c>
      <c r="J24" s="11">
        <v>35290</v>
      </c>
      <c r="K24" s="11">
        <v>22280</v>
      </c>
      <c r="L24" s="10">
        <f t="shared" ca="1" si="0"/>
        <v>26</v>
      </c>
      <c r="M24" s="10">
        <f t="shared" ca="1" si="0"/>
        <v>61</v>
      </c>
      <c r="N24" s="10" t="str">
        <f>LOOKUP(F24,Справочники!$F$2:$F$10,Справочники!$H$2:$H$10)</f>
        <v>+7(8332)64-32-18</v>
      </c>
    </row>
    <row r="25" spans="1:14" ht="15" hidden="1" x14ac:dyDescent="0.25">
      <c r="A25" s="10">
        <v>124</v>
      </c>
      <c r="B25" s="12" t="s">
        <v>124</v>
      </c>
      <c r="C25" s="12" t="s">
        <v>125</v>
      </c>
      <c r="D25" s="12" t="s">
        <v>96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32</v>
      </c>
      <c r="H25" s="16">
        <f>LOOKUP(G25,Справочники!$B$2:$B$35,Справочники!$C$2:$C$35)</f>
        <v>15000</v>
      </c>
      <c r="I25" s="6" t="s">
        <v>33</v>
      </c>
      <c r="J25" s="11">
        <v>35451</v>
      </c>
      <c r="K25" s="11">
        <v>27551</v>
      </c>
      <c r="L25" s="10">
        <f t="shared" ca="1" si="0"/>
        <v>25</v>
      </c>
      <c r="M25" s="10">
        <f t="shared" ca="1" si="0"/>
        <v>47</v>
      </c>
      <c r="N25" s="10" t="str">
        <f>LOOKUP(F25,Справочники!$F$2:$F$10,Справочники!$H$2:$H$10)</f>
        <v>+7(8332)64-32-18</v>
      </c>
    </row>
    <row r="26" spans="1:14" ht="15" hidden="1" x14ac:dyDescent="0.25">
      <c r="A26" s="10">
        <v>125</v>
      </c>
      <c r="B26" s="12" t="s">
        <v>126</v>
      </c>
      <c r="C26" s="12" t="s">
        <v>98</v>
      </c>
      <c r="D26" s="12" t="s">
        <v>127</v>
      </c>
      <c r="E26" s="10" t="s">
        <v>9</v>
      </c>
      <c r="F26" s="10" t="str">
        <f>LOOKUP(G26,Справочники!$B$2:$B$35,Справочники!$A$2:$A$35)</f>
        <v>Технологический отдел</v>
      </c>
      <c r="G26" s="6" t="s">
        <v>34</v>
      </c>
      <c r="H26" s="16">
        <f>LOOKUP(G26,Справочники!$B$2:$B$35,Справочники!$C$2:$C$35)</f>
        <v>12000</v>
      </c>
      <c r="I26" s="6" t="s">
        <v>33</v>
      </c>
      <c r="J26" s="11">
        <v>35290</v>
      </c>
      <c r="K26" s="11">
        <v>22065</v>
      </c>
      <c r="L26" s="10">
        <f t="shared" ca="1" si="0"/>
        <v>26</v>
      </c>
      <c r="M26" s="10">
        <f t="shared" ca="1" si="0"/>
        <v>62</v>
      </c>
      <c r="N26" s="10" t="str">
        <f>LOOKUP(F26,Справочники!$F$2:$F$10,Справочники!$H$2:$H$10)</f>
        <v>+7(8332)64-32-18</v>
      </c>
    </row>
    <row r="27" spans="1:14" ht="15" hidden="1" x14ac:dyDescent="0.25">
      <c r="A27" s="10">
        <v>126</v>
      </c>
      <c r="B27" s="12" t="s">
        <v>128</v>
      </c>
      <c r="C27" s="12" t="s">
        <v>129</v>
      </c>
      <c r="D27" s="12" t="s">
        <v>101</v>
      </c>
      <c r="E27" s="10" t="s">
        <v>17</v>
      </c>
      <c r="F27" s="10" t="str">
        <f>LOOKUP(G27,Справочники!$B$2:$B$35,Справочники!$A$2:$A$35)</f>
        <v>Рекламный отдел</v>
      </c>
      <c r="G27" s="6" t="s">
        <v>27</v>
      </c>
      <c r="H27" s="16">
        <f>LOOKUP(G27,Справочники!$B$2:$B$35,Справочники!$C$2:$C$35)</f>
        <v>22000</v>
      </c>
      <c r="I27" s="6" t="s">
        <v>14</v>
      </c>
      <c r="J27" s="11">
        <v>40321</v>
      </c>
      <c r="K27" s="11">
        <v>30232</v>
      </c>
      <c r="L27" s="10">
        <f t="shared" ca="1" si="0"/>
        <v>12</v>
      </c>
      <c r="M27" s="10">
        <f t="shared" ca="1" si="0"/>
        <v>40</v>
      </c>
      <c r="N27" s="10" t="str">
        <f>LOOKUP(F27,Справочники!$F$2:$F$10,Справочники!$H$2:$H$10)</f>
        <v>+7(8332)64-32-01</v>
      </c>
    </row>
    <row r="28" spans="1:14" ht="15" hidden="1" x14ac:dyDescent="0.25">
      <c r="A28" s="10">
        <v>127</v>
      </c>
      <c r="B28" s="12" t="s">
        <v>130</v>
      </c>
      <c r="C28" s="12" t="s">
        <v>131</v>
      </c>
      <c r="D28" s="12" t="s">
        <v>132</v>
      </c>
      <c r="E28" s="10" t="s">
        <v>17</v>
      </c>
      <c r="F28" s="10" t="str">
        <f>LOOKUP(G28,Справочники!$B$2:$B$35,Справочники!$A$2:$A$35)</f>
        <v>Технологический отдел</v>
      </c>
      <c r="G28" s="6" t="s">
        <v>38</v>
      </c>
      <c r="H28" s="16">
        <f>LOOKUP(G28,Справочники!$B$2:$B$35,Справочники!$C$2:$C$35)</f>
        <v>20000</v>
      </c>
      <c r="I28" s="6" t="s">
        <v>14</v>
      </c>
      <c r="J28" s="11">
        <v>40810</v>
      </c>
      <c r="K28" s="11">
        <v>31390</v>
      </c>
      <c r="L28" s="10">
        <f t="shared" ca="1" si="0"/>
        <v>11</v>
      </c>
      <c r="M28" s="10">
        <f t="shared" ca="1" si="0"/>
        <v>36</v>
      </c>
      <c r="N28" s="10" t="str">
        <f>LOOKUP(F28,Справочники!$F$2:$F$10,Справочники!$H$2:$H$10)</f>
        <v>+7(8332)64-32-18</v>
      </c>
    </row>
    <row r="29" spans="1:14" ht="15" hidden="1" x14ac:dyDescent="0.25">
      <c r="A29" s="10">
        <v>128</v>
      </c>
      <c r="B29" s="12" t="s">
        <v>133</v>
      </c>
      <c r="C29" s="12" t="s">
        <v>90</v>
      </c>
      <c r="D29" s="12" t="s">
        <v>132</v>
      </c>
      <c r="E29" s="10" t="s">
        <v>17</v>
      </c>
      <c r="F29" s="10" t="str">
        <f>LOOKUP(G29,Справочники!$B$2:$B$35,Справочники!$A$2:$A$35)</f>
        <v>Рекламный отдел</v>
      </c>
      <c r="G29" s="6" t="s">
        <v>39</v>
      </c>
      <c r="H29" s="16">
        <f>LOOKUP(G29,Справочники!$B$2:$B$35,Справочники!$C$2:$C$35)</f>
        <v>18000</v>
      </c>
      <c r="I29" s="6" t="s">
        <v>12</v>
      </c>
      <c r="J29" s="11">
        <v>42260</v>
      </c>
      <c r="K29" s="11">
        <v>32292</v>
      </c>
      <c r="L29" s="10">
        <f t="shared" ca="1" si="0"/>
        <v>7</v>
      </c>
      <c r="M29" s="10">
        <f t="shared" ca="1" si="0"/>
        <v>34</v>
      </c>
      <c r="N29" s="10" t="str">
        <f>LOOKUP(F29,Справочники!$F$2:$F$10,Справочники!$H$2:$H$10)</f>
        <v>+7(8332)64-32-01</v>
      </c>
    </row>
    <row r="30" spans="1:14" ht="15" hidden="1" x14ac:dyDescent="0.25">
      <c r="A30" s="10">
        <v>129</v>
      </c>
      <c r="B30" s="12" t="s">
        <v>134</v>
      </c>
      <c r="C30" s="12" t="s">
        <v>135</v>
      </c>
      <c r="D30" s="12" t="s">
        <v>136</v>
      </c>
      <c r="E30" s="10" t="s">
        <v>17</v>
      </c>
      <c r="F30" s="10" t="str">
        <f>LOOKUP(G30,Справочники!$B$2:$B$35,Справочники!$A$2:$A$35)</f>
        <v>Рекламный отдел</v>
      </c>
      <c r="G30" s="6" t="s">
        <v>40</v>
      </c>
      <c r="H30" s="16">
        <f>LOOKUP(G30,Справочники!$B$2:$B$35,Справочники!$C$2:$C$35)</f>
        <v>15000</v>
      </c>
      <c r="I30" s="6" t="s">
        <v>14</v>
      </c>
      <c r="J30" s="11">
        <v>41972</v>
      </c>
      <c r="K30" s="11">
        <v>33851</v>
      </c>
      <c r="L30" s="10">
        <f t="shared" ca="1" si="0"/>
        <v>7</v>
      </c>
      <c r="M30" s="10">
        <f t="shared" ca="1" si="0"/>
        <v>30</v>
      </c>
      <c r="N30" s="10" t="str">
        <f>LOOKUP(F30,Справочники!$F$2:$F$10,Справочники!$H$2:$H$10)</f>
        <v>+7(8332)64-32-01</v>
      </c>
    </row>
    <row r="31" spans="1:14" ht="15" hidden="1" x14ac:dyDescent="0.25">
      <c r="A31" s="10">
        <v>130</v>
      </c>
      <c r="B31" s="12" t="s">
        <v>137</v>
      </c>
      <c r="C31" s="12" t="s">
        <v>138</v>
      </c>
      <c r="D31" s="12" t="s">
        <v>139</v>
      </c>
      <c r="E31" s="10" t="s">
        <v>9</v>
      </c>
      <c r="F31" s="10" t="str">
        <f>LOOKUP(G31,Справочники!$B$2:$B$35,Справочники!$A$2:$A$35)</f>
        <v>Управление</v>
      </c>
      <c r="G31" s="6" t="s">
        <v>20</v>
      </c>
      <c r="H31" s="16">
        <f>LOOKUP(G31,Справочники!$B$2:$B$35,Справочники!$C$2:$C$35)</f>
        <v>15000</v>
      </c>
      <c r="I31" s="6" t="s">
        <v>25</v>
      </c>
      <c r="J31" s="11">
        <v>42765</v>
      </c>
      <c r="K31" s="11">
        <v>34714</v>
      </c>
      <c r="L31" s="10">
        <f t="shared" ca="1" si="0"/>
        <v>5</v>
      </c>
      <c r="M31" s="10">
        <f t="shared" ca="1" si="0"/>
        <v>27</v>
      </c>
      <c r="N31" s="10" t="str">
        <f>LOOKUP(F31,Справочники!$F$2:$F$10,Справочники!$H$2:$H$10)</f>
        <v>+7(8332)64-32-18</v>
      </c>
    </row>
    <row r="32" spans="1:14" ht="15" hidden="1" x14ac:dyDescent="0.25">
      <c r="A32" s="10">
        <v>131</v>
      </c>
      <c r="B32" s="12" t="s">
        <v>140</v>
      </c>
      <c r="C32" s="12" t="s">
        <v>141</v>
      </c>
      <c r="D32" s="12" t="s">
        <v>142</v>
      </c>
      <c r="E32" s="10" t="s">
        <v>17</v>
      </c>
      <c r="F32" s="10" t="str">
        <f>LOOKUP(G32,Справочники!$B$2:$B$35,Справочники!$A$2:$A$35)</f>
        <v>Рекламный отдел</v>
      </c>
      <c r="G32" s="6" t="s">
        <v>27</v>
      </c>
      <c r="H32" s="16">
        <f>LOOKUP(G32,Справочники!$B$2:$B$35,Справочники!$C$2:$C$35)</f>
        <v>22000</v>
      </c>
      <c r="I32" s="6" t="s">
        <v>14</v>
      </c>
      <c r="J32" s="11">
        <v>39459</v>
      </c>
      <c r="K32" s="11">
        <v>27953</v>
      </c>
      <c r="L32" s="10">
        <f t="shared" ca="1" si="0"/>
        <v>14</v>
      </c>
      <c r="M32" s="10">
        <f t="shared" ca="1" si="0"/>
        <v>46</v>
      </c>
      <c r="N32" s="10" t="str">
        <f>LOOKUP(F32,Справочники!$F$2:$F$10,Справочники!$H$2:$H$10)</f>
        <v>+7(8332)64-32-01</v>
      </c>
    </row>
    <row r="33" spans="1:14" ht="15" hidden="1" x14ac:dyDescent="0.25">
      <c r="A33" s="10">
        <v>132</v>
      </c>
      <c r="B33" s="12" t="s">
        <v>143</v>
      </c>
      <c r="C33" s="12" t="s">
        <v>141</v>
      </c>
      <c r="D33" s="12" t="s">
        <v>85</v>
      </c>
      <c r="E33" s="10" t="s">
        <v>17</v>
      </c>
      <c r="F33" s="10" t="str">
        <f>LOOKUP(G33,Справочники!$B$2:$B$35,Справочники!$A$2:$A$35)</f>
        <v>Отдел продаж</v>
      </c>
      <c r="G33" s="6" t="s">
        <v>42</v>
      </c>
      <c r="H33" s="16">
        <f>LOOKUP(G33,Справочники!$B$2:$B$35,Справочники!$C$2:$C$35)</f>
        <v>15000</v>
      </c>
      <c r="I33" s="6" t="s">
        <v>12</v>
      </c>
      <c r="J33" s="11">
        <v>41306</v>
      </c>
      <c r="K33" s="11">
        <v>33115</v>
      </c>
      <c r="L33" s="10">
        <f t="shared" ca="1" si="0"/>
        <v>9</v>
      </c>
      <c r="M33" s="10">
        <f t="shared" ca="1" si="0"/>
        <v>32</v>
      </c>
      <c r="N33" s="10" t="str">
        <f>LOOKUP(F33,Справочники!$F$2:$F$10,Справочники!$H$2:$H$10)</f>
        <v>+7(8332)64-32-01</v>
      </c>
    </row>
    <row r="34" spans="1:14" ht="15" hidden="1" x14ac:dyDescent="0.25">
      <c r="A34" s="10">
        <v>133</v>
      </c>
      <c r="B34" s="12" t="s">
        <v>144</v>
      </c>
      <c r="C34" s="12" t="s">
        <v>84</v>
      </c>
      <c r="D34" s="12" t="s">
        <v>145</v>
      </c>
      <c r="E34" s="10" t="s">
        <v>17</v>
      </c>
      <c r="F34" s="10" t="str">
        <f>LOOKUP(G34,Справочники!$B$2:$B$35,Справочники!$A$2:$A$35)</f>
        <v>Рекламный отдел</v>
      </c>
      <c r="G34" s="6" t="s">
        <v>40</v>
      </c>
      <c r="H34" s="16">
        <f>LOOKUP(G34,Справочники!$B$2:$B$35,Справочники!$C$2:$C$35)</f>
        <v>15000</v>
      </c>
      <c r="I34" s="6" t="s">
        <v>14</v>
      </c>
      <c r="J34" s="11">
        <v>41782</v>
      </c>
      <c r="K34" s="11">
        <v>33871</v>
      </c>
      <c r="L34" s="10">
        <f t="shared" ca="1" si="0"/>
        <v>8</v>
      </c>
      <c r="M34" s="10">
        <f t="shared" ca="1" si="0"/>
        <v>30</v>
      </c>
      <c r="N34" s="10" t="str">
        <f>LOOKUP(F34,Справочники!$F$2:$F$10,Справочники!$H$2:$H$10)</f>
        <v>+7(8332)64-32-01</v>
      </c>
    </row>
    <row r="35" spans="1:14" ht="15" hidden="1" x14ac:dyDescent="0.25">
      <c r="A35" s="10">
        <v>134</v>
      </c>
      <c r="B35" s="12" t="s">
        <v>146</v>
      </c>
      <c r="C35" s="12" t="s">
        <v>147</v>
      </c>
      <c r="D35" s="12" t="s">
        <v>148</v>
      </c>
      <c r="E35" s="10" t="s">
        <v>9</v>
      </c>
      <c r="F35" s="10" t="str">
        <f>LOOKUP(G35,Справочники!$B$2:$B$35,Справочники!$A$2:$A$35)</f>
        <v>Технологический отдел</v>
      </c>
      <c r="G35" s="6" t="s">
        <v>38</v>
      </c>
      <c r="H35" s="16">
        <f>LOOKUP(G35,Справочники!$B$2:$B$35,Справочники!$C$2:$C$35)</f>
        <v>20000</v>
      </c>
      <c r="I35" s="6" t="s">
        <v>14</v>
      </c>
      <c r="J35" s="11">
        <v>35208</v>
      </c>
      <c r="K35" s="11">
        <v>25186</v>
      </c>
      <c r="L35" s="10">
        <f t="shared" ca="1" si="0"/>
        <v>26</v>
      </c>
      <c r="M35" s="10">
        <f t="shared" ca="1" si="0"/>
        <v>53</v>
      </c>
      <c r="N35" s="10" t="str">
        <f>LOOKUP(F35,Справочники!$F$2:$F$10,Справочники!$H$2:$H$10)</f>
        <v>+7(8332)64-32-18</v>
      </c>
    </row>
    <row r="36" spans="1:14" ht="15" hidden="1" x14ac:dyDescent="0.25">
      <c r="A36" s="10">
        <v>135</v>
      </c>
      <c r="B36" s="12" t="s">
        <v>149</v>
      </c>
      <c r="C36" s="12" t="s">
        <v>75</v>
      </c>
      <c r="D36" s="12" t="s">
        <v>96</v>
      </c>
      <c r="E36" s="10" t="s">
        <v>9</v>
      </c>
      <c r="F36" s="10" t="str">
        <f>LOOKUP(G36,Справочники!$B$2:$B$35,Справочники!$A$2:$A$35)</f>
        <v>Технологический отдел</v>
      </c>
      <c r="G36" s="6" t="s">
        <v>38</v>
      </c>
      <c r="H36" s="16">
        <f>LOOKUP(G36,Справочники!$B$2:$B$35,Справочники!$C$2:$C$35)</f>
        <v>20000</v>
      </c>
      <c r="I36" s="6" t="s">
        <v>25</v>
      </c>
      <c r="J36" s="11">
        <v>35290</v>
      </c>
      <c r="K36" s="11">
        <v>23891</v>
      </c>
      <c r="L36" s="10">
        <f t="shared" ca="1" si="0"/>
        <v>26</v>
      </c>
      <c r="M36" s="10">
        <f t="shared" ca="1" si="0"/>
        <v>57</v>
      </c>
      <c r="N36" s="10" t="str">
        <f>LOOKUP(F36,Справочники!$F$2:$F$10,Справочники!$H$2:$H$10)</f>
        <v>+7(8332)64-32-18</v>
      </c>
    </row>
    <row r="37" spans="1:14" ht="15" hidden="1" x14ac:dyDescent="0.25">
      <c r="A37" s="10">
        <v>136</v>
      </c>
      <c r="B37" s="12" t="s">
        <v>150</v>
      </c>
      <c r="C37" s="12" t="s">
        <v>151</v>
      </c>
      <c r="D37" s="12" t="s">
        <v>152</v>
      </c>
      <c r="E37" s="10" t="s">
        <v>9</v>
      </c>
      <c r="F37" s="10" t="str">
        <f>LOOKUP(G37,Справочники!$B$2:$B$35,Справочники!$A$2:$A$35)</f>
        <v>Рекламный отдел</v>
      </c>
      <c r="G37" s="6" t="s">
        <v>27</v>
      </c>
      <c r="H37" s="16">
        <f>LOOKUP(G37,Справочники!$B$2:$B$35,Справочники!$C$2:$C$35)</f>
        <v>22000</v>
      </c>
      <c r="I37" s="6" t="s">
        <v>25</v>
      </c>
      <c r="J37" s="11">
        <v>39479</v>
      </c>
      <c r="K37" s="11">
        <v>27737</v>
      </c>
      <c r="L37" s="10">
        <f t="shared" ca="1" si="0"/>
        <v>14</v>
      </c>
      <c r="M37" s="10">
        <f t="shared" ca="1" si="0"/>
        <v>46</v>
      </c>
      <c r="N37" s="10" t="str">
        <f>LOOKUP(F37,Справочники!$F$2:$F$10,Справочники!$H$2:$H$10)</f>
        <v>+7(8332)64-32-01</v>
      </c>
    </row>
    <row r="38" spans="1:14" ht="15" hidden="1" x14ac:dyDescent="0.25">
      <c r="A38" s="10">
        <v>137</v>
      </c>
      <c r="B38" s="12" t="s">
        <v>153</v>
      </c>
      <c r="C38" s="12" t="s">
        <v>114</v>
      </c>
      <c r="D38" s="12" t="s">
        <v>154</v>
      </c>
      <c r="E38" s="10" t="s">
        <v>9</v>
      </c>
      <c r="F38" s="10" t="str">
        <f>LOOKUP(G38,Справочники!$B$2:$B$35,Справочники!$A$2:$A$35)</f>
        <v>Управление</v>
      </c>
      <c r="G38" s="6" t="s">
        <v>20</v>
      </c>
      <c r="H38" s="16">
        <f>LOOKUP(G38,Справочники!$B$2:$B$35,Справочники!$C$2:$C$35)</f>
        <v>15000</v>
      </c>
      <c r="I38" s="6" t="s">
        <v>25</v>
      </c>
      <c r="J38" s="11">
        <v>42271</v>
      </c>
      <c r="K38" s="11">
        <v>33851</v>
      </c>
      <c r="L38" s="10">
        <f t="shared" ca="1" si="0"/>
        <v>7</v>
      </c>
      <c r="M38" s="10">
        <f t="shared" ca="1" si="0"/>
        <v>30</v>
      </c>
      <c r="N38" s="10" t="str">
        <f>LOOKUP(F38,Справочники!$F$2:$F$10,Справочники!$H$2:$H$10)</f>
        <v>+7(8332)64-32-18</v>
      </c>
    </row>
    <row r="39" spans="1:14" ht="15" hidden="1" x14ac:dyDescent="0.25">
      <c r="A39" s="10">
        <v>138</v>
      </c>
      <c r="B39" s="12" t="s">
        <v>155</v>
      </c>
      <c r="C39" s="12" t="s">
        <v>108</v>
      </c>
      <c r="D39" s="12" t="s">
        <v>156</v>
      </c>
      <c r="E39" s="10" t="s">
        <v>9</v>
      </c>
      <c r="F39" s="10" t="str">
        <f>LOOKUP(G39,Справочники!$B$2:$B$35,Справочники!$A$2:$A$35)</f>
        <v>Отдел худ. оформления</v>
      </c>
      <c r="G39" s="6" t="s">
        <v>44</v>
      </c>
      <c r="H39" s="16">
        <f>LOOKUP(G39,Справочники!$B$2:$B$35,Справочники!$C$2:$C$35)</f>
        <v>18000</v>
      </c>
      <c r="I39" s="6" t="s">
        <v>14</v>
      </c>
      <c r="J39" s="11">
        <v>34380</v>
      </c>
      <c r="K39" s="11">
        <v>23757</v>
      </c>
      <c r="L39" s="10">
        <f t="shared" ca="1" si="0"/>
        <v>28</v>
      </c>
      <c r="M39" s="10">
        <f t="shared" ca="1" si="0"/>
        <v>57</v>
      </c>
      <c r="N39" s="10" t="str">
        <f>LOOKUP(F39,Справочники!$F$2:$F$10,Справочники!$H$2:$H$10)</f>
        <v>+7(8332)64-32-01</v>
      </c>
    </row>
    <row r="40" spans="1:14" ht="15" hidden="1" x14ac:dyDescent="0.25">
      <c r="A40" s="10">
        <v>139</v>
      </c>
      <c r="B40" s="12" t="s">
        <v>157</v>
      </c>
      <c r="C40" s="12" t="s">
        <v>158</v>
      </c>
      <c r="D40" s="12" t="s">
        <v>159</v>
      </c>
      <c r="E40" s="10" t="s">
        <v>9</v>
      </c>
      <c r="F40" s="10" t="str">
        <f>LOOKUP(G40,Справочники!$B$2:$B$35,Справочники!$A$2:$A$35)</f>
        <v>Управление</v>
      </c>
      <c r="G40" s="6" t="s">
        <v>20</v>
      </c>
      <c r="H40" s="16">
        <f>LOOKUP(G40,Справочники!$B$2:$B$35,Справочники!$C$2:$C$35)</f>
        <v>15000</v>
      </c>
      <c r="I40" s="6" t="s">
        <v>12</v>
      </c>
      <c r="J40" s="11">
        <v>41697</v>
      </c>
      <c r="K40" s="11">
        <v>33022</v>
      </c>
      <c r="L40" s="10">
        <f t="shared" ca="1" si="0"/>
        <v>8</v>
      </c>
      <c r="M40" s="10">
        <f t="shared" ca="1" si="0"/>
        <v>32</v>
      </c>
      <c r="N40" s="10" t="str">
        <f>LOOKUP(F40,Справочники!$F$2:$F$10,Справочники!$H$2:$H$10)</f>
        <v>+7(8332)64-32-18</v>
      </c>
    </row>
    <row r="41" spans="1:14" ht="15" hidden="1" x14ac:dyDescent="0.25">
      <c r="A41" s="10">
        <v>140</v>
      </c>
      <c r="B41" s="12" t="s">
        <v>160</v>
      </c>
      <c r="C41" s="12" t="s">
        <v>161</v>
      </c>
      <c r="D41" s="12" t="s">
        <v>162</v>
      </c>
      <c r="E41" s="10" t="s">
        <v>9</v>
      </c>
      <c r="F41" s="10" t="str">
        <f>LOOKUP(G41,Справочники!$B$2:$B$35,Справочники!$A$2:$A$35)</f>
        <v>Рекламный отдел</v>
      </c>
      <c r="G41" s="6" t="s">
        <v>40</v>
      </c>
      <c r="H41" s="16">
        <f>LOOKUP(G41,Справочники!$B$2:$B$35,Справочники!$C$2:$C$35)</f>
        <v>15000</v>
      </c>
      <c r="I41" s="6" t="s">
        <v>25</v>
      </c>
      <c r="J41" s="11">
        <v>39641</v>
      </c>
      <c r="K41" s="11">
        <v>29284</v>
      </c>
      <c r="L41" s="10">
        <f t="shared" ca="1" si="0"/>
        <v>14</v>
      </c>
      <c r="M41" s="10">
        <f t="shared" ca="1" si="0"/>
        <v>42</v>
      </c>
      <c r="N41" s="10" t="str">
        <f>LOOKUP(F41,Справочники!$F$2:$F$10,Справочники!$H$2:$H$10)</f>
        <v>+7(8332)64-32-01</v>
      </c>
    </row>
    <row r="42" spans="1:14" ht="15" hidden="1" x14ac:dyDescent="0.25">
      <c r="A42" s="10">
        <v>141</v>
      </c>
      <c r="B42" s="12" t="s">
        <v>163</v>
      </c>
      <c r="C42" s="12" t="s">
        <v>164</v>
      </c>
      <c r="D42" s="12" t="s">
        <v>93</v>
      </c>
      <c r="E42" s="10" t="s">
        <v>17</v>
      </c>
      <c r="F42" s="10" t="str">
        <f>LOOKUP(G42,Справочники!$B$2:$B$35,Справочники!$A$2:$A$35)</f>
        <v>Отдел худ. оформления</v>
      </c>
      <c r="G42" s="6" t="s">
        <v>44</v>
      </c>
      <c r="H42" s="16">
        <f>LOOKUP(G42,Справочники!$B$2:$B$35,Справочники!$C$2:$C$35)</f>
        <v>18000</v>
      </c>
      <c r="I42" s="6" t="s">
        <v>14</v>
      </c>
      <c r="J42" s="11">
        <v>35290</v>
      </c>
      <c r="K42" s="11">
        <v>27405</v>
      </c>
      <c r="L42" s="10">
        <f t="shared" ca="1" si="0"/>
        <v>26</v>
      </c>
      <c r="M42" s="10">
        <f t="shared" ca="1" si="0"/>
        <v>47</v>
      </c>
      <c r="N42" s="10" t="str">
        <f>LOOKUP(F42,Справочники!$F$2:$F$10,Справочники!$H$2:$H$10)</f>
        <v>+7(8332)64-32-01</v>
      </c>
    </row>
    <row r="43" spans="1:14" ht="15" hidden="1" x14ac:dyDescent="0.25">
      <c r="A43" s="10">
        <v>142</v>
      </c>
      <c r="B43" s="12" t="s">
        <v>165</v>
      </c>
      <c r="C43" s="12" t="s">
        <v>166</v>
      </c>
      <c r="D43" s="12" t="s">
        <v>127</v>
      </c>
      <c r="E43" s="10" t="s">
        <v>9</v>
      </c>
      <c r="F43" s="10" t="str">
        <f>LOOKUP(G43,Справочники!$B$2:$B$35,Справочники!$A$2:$A$35)</f>
        <v>Склад</v>
      </c>
      <c r="G43" s="6" t="s">
        <v>46</v>
      </c>
      <c r="H43" s="16">
        <f>LOOKUP(G43,Справочники!$B$2:$B$35,Справочники!$C$2:$C$35)</f>
        <v>15000</v>
      </c>
      <c r="I43" s="6" t="s">
        <v>33</v>
      </c>
      <c r="J43" s="11">
        <v>34955</v>
      </c>
      <c r="K43" s="11">
        <v>24134</v>
      </c>
      <c r="L43" s="10">
        <f t="shared" ca="1" si="0"/>
        <v>27</v>
      </c>
      <c r="M43" s="10">
        <f t="shared" ca="1" si="0"/>
        <v>56</v>
      </c>
      <c r="N43" s="10" t="str">
        <f>LOOKUP(F43,Справочники!$F$2:$F$10,Справочники!$H$2:$H$10)</f>
        <v>+7(8332)64-32-23</v>
      </c>
    </row>
    <row r="44" spans="1:14" ht="15" hidden="1" x14ac:dyDescent="0.25">
      <c r="A44" s="10">
        <v>143</v>
      </c>
      <c r="B44" s="12" t="s">
        <v>167</v>
      </c>
      <c r="C44" s="12" t="s">
        <v>168</v>
      </c>
      <c r="D44" s="12" t="s">
        <v>169</v>
      </c>
      <c r="E44" s="10" t="s">
        <v>17</v>
      </c>
      <c r="F44" s="10" t="str">
        <f>LOOKUP(G44,Справочники!$B$2:$B$35,Справочники!$A$2:$A$35)</f>
        <v>Склад</v>
      </c>
      <c r="G44" s="6" t="s">
        <v>47</v>
      </c>
      <c r="H44" s="16">
        <f>LOOKUP(G44,Справочники!$B$2:$B$35,Справочники!$C$2:$C$35)</f>
        <v>11000</v>
      </c>
      <c r="I44" s="6" t="s">
        <v>33</v>
      </c>
      <c r="J44" s="11">
        <v>42016</v>
      </c>
      <c r="K44" s="11">
        <v>30232</v>
      </c>
      <c r="L44" s="10">
        <f t="shared" ca="1" si="0"/>
        <v>7</v>
      </c>
      <c r="M44" s="10">
        <f t="shared" ca="1" si="0"/>
        <v>40</v>
      </c>
      <c r="N44" s="10" t="str">
        <f>LOOKUP(F44,Справочники!$F$2:$F$10,Справочники!$H$2:$H$10)</f>
        <v>+7(8332)64-32-23</v>
      </c>
    </row>
    <row r="45" spans="1:14" ht="15" x14ac:dyDescent="0.25">
      <c r="A45" s="10">
        <v>144</v>
      </c>
      <c r="B45" s="12" t="s">
        <v>170</v>
      </c>
      <c r="C45" s="12" t="s">
        <v>164</v>
      </c>
      <c r="D45" s="12" t="s">
        <v>171</v>
      </c>
      <c r="E45" s="10" t="s">
        <v>17</v>
      </c>
      <c r="F45" s="10" t="str">
        <f>LOOKUP(G45,Справочники!$B$2:$B$35,Справочники!$A$2:$A$35)</f>
        <v>Склад</v>
      </c>
      <c r="G45" s="6" t="s">
        <v>47</v>
      </c>
      <c r="H45" s="16">
        <f>LOOKUP(G45,Справочники!$B$2:$B$35,Справочники!$C$2:$C$35)</f>
        <v>11000</v>
      </c>
      <c r="I45" s="6" t="s">
        <v>33</v>
      </c>
      <c r="J45" s="11">
        <v>43115</v>
      </c>
      <c r="K45" s="11">
        <v>33207</v>
      </c>
      <c r="L45" s="10">
        <f t="shared" ca="1" si="0"/>
        <v>4</v>
      </c>
      <c r="M45" s="10">
        <f t="shared" ca="1" si="0"/>
        <v>31</v>
      </c>
      <c r="N45" s="10" t="str">
        <f>LOOKUP(F45,Справочники!$F$2:$F$10,Справочники!$H$2:$H$10)</f>
        <v>+7(8332)64-32-23</v>
      </c>
    </row>
    <row r="46" spans="1:14" ht="15" hidden="1" x14ac:dyDescent="0.25">
      <c r="A46" s="10">
        <v>145</v>
      </c>
      <c r="B46" s="12" t="s">
        <v>172</v>
      </c>
      <c r="C46" s="12" t="s">
        <v>131</v>
      </c>
      <c r="D46" s="12" t="s">
        <v>145</v>
      </c>
      <c r="E46" s="10" t="s">
        <v>17</v>
      </c>
      <c r="F46" s="10" t="str">
        <f>LOOKUP(G46,Справочники!$B$2:$B$35,Справочники!$A$2:$A$35)</f>
        <v>Склад</v>
      </c>
      <c r="G46" s="6" t="s">
        <v>48</v>
      </c>
      <c r="H46" s="16">
        <f>LOOKUP(G46,Справочники!$B$2:$B$35,Справочники!$C$2:$C$35)</f>
        <v>22000</v>
      </c>
      <c r="I46" s="6" t="s">
        <v>25</v>
      </c>
      <c r="J46" s="11">
        <v>34788</v>
      </c>
      <c r="K46" s="11">
        <v>25204</v>
      </c>
      <c r="L46" s="10">
        <f t="shared" ca="1" si="0"/>
        <v>27</v>
      </c>
      <c r="M46" s="10">
        <f t="shared" ca="1" si="0"/>
        <v>53</v>
      </c>
      <c r="N46" s="10" t="str">
        <f>LOOKUP(F46,Справочники!$F$2:$F$10,Справочники!$H$2:$H$10)</f>
        <v>+7(8332)64-32-23</v>
      </c>
    </row>
    <row r="47" spans="1:14" ht="15" hidden="1" x14ac:dyDescent="0.25">
      <c r="A47" s="10">
        <v>146</v>
      </c>
      <c r="B47" s="12" t="s">
        <v>173</v>
      </c>
      <c r="C47" s="12" t="s">
        <v>129</v>
      </c>
      <c r="D47" s="12" t="s">
        <v>174</v>
      </c>
      <c r="E47" s="10" t="s">
        <v>17</v>
      </c>
      <c r="F47" s="10" t="str">
        <f>LOOKUP(G47,Справочники!$B$2:$B$35,Справочники!$A$2:$A$35)</f>
        <v>Склад</v>
      </c>
      <c r="G47" s="6" t="s">
        <v>46</v>
      </c>
      <c r="H47" s="16">
        <f>LOOKUP(G47,Справочники!$B$2:$B$35,Справочники!$C$2:$C$35)</f>
        <v>15000</v>
      </c>
      <c r="I47" s="6" t="s">
        <v>33</v>
      </c>
      <c r="J47" s="11">
        <v>35032</v>
      </c>
      <c r="K47" s="11">
        <v>26821</v>
      </c>
      <c r="L47" s="10">
        <f t="shared" ca="1" si="0"/>
        <v>26</v>
      </c>
      <c r="M47" s="10">
        <f t="shared" ca="1" si="0"/>
        <v>49</v>
      </c>
      <c r="N47" s="10" t="str">
        <f>LOOKUP(F47,Справочники!$F$2:$F$10,Справочники!$H$2:$H$10)</f>
        <v>+7(8332)64-32-23</v>
      </c>
    </row>
    <row r="48" spans="1:14" ht="15" hidden="1" x14ac:dyDescent="0.25">
      <c r="A48" s="10">
        <v>147</v>
      </c>
      <c r="B48" s="12" t="s">
        <v>175</v>
      </c>
      <c r="C48" s="12" t="s">
        <v>176</v>
      </c>
      <c r="D48" s="12" t="s">
        <v>177</v>
      </c>
      <c r="E48" s="10" t="s">
        <v>17</v>
      </c>
      <c r="F48" s="10" t="str">
        <f>LOOKUP(G48,Справочники!$B$2:$B$35,Справочники!$A$2:$A$35)</f>
        <v>Склад</v>
      </c>
      <c r="G48" s="6" t="s">
        <v>47</v>
      </c>
      <c r="H48" s="16">
        <f>LOOKUP(G48,Справочники!$B$2:$B$35,Справочники!$C$2:$C$35)</f>
        <v>11000</v>
      </c>
      <c r="I48" s="6" t="s">
        <v>33</v>
      </c>
      <c r="J48" s="11">
        <v>42399</v>
      </c>
      <c r="K48" s="11">
        <v>33858</v>
      </c>
      <c r="L48" s="10">
        <f t="shared" ca="1" si="0"/>
        <v>6</v>
      </c>
      <c r="M48" s="10">
        <f t="shared" ca="1" si="0"/>
        <v>30</v>
      </c>
      <c r="N48" s="10" t="str">
        <f>LOOKUP(F48,Справочники!$F$2:$F$10,Справочники!$H$2:$H$10)</f>
        <v>+7(8332)64-32-23</v>
      </c>
    </row>
    <row r="49" spans="1:14" ht="15" hidden="1" x14ac:dyDescent="0.25">
      <c r="A49" s="10">
        <v>148</v>
      </c>
      <c r="B49" s="12" t="s">
        <v>178</v>
      </c>
      <c r="C49" s="12" t="s">
        <v>179</v>
      </c>
      <c r="D49" s="12" t="s">
        <v>101</v>
      </c>
      <c r="E49" s="10" t="s">
        <v>17</v>
      </c>
      <c r="F49" s="10" t="str">
        <f>LOOKUP(G49,Справочники!$B$2:$B$35,Справочники!$A$2:$A$35)</f>
        <v>Рекламный отдел</v>
      </c>
      <c r="G49" s="6" t="s">
        <v>27</v>
      </c>
      <c r="H49" s="16">
        <f>LOOKUP(G49,Справочники!$B$2:$B$35,Справочники!$C$2:$C$35)</f>
        <v>22000</v>
      </c>
      <c r="I49" s="6" t="s">
        <v>14</v>
      </c>
      <c r="J49" s="11">
        <v>43539</v>
      </c>
      <c r="K49" s="11">
        <v>27737</v>
      </c>
      <c r="L49" s="10">
        <f t="shared" ca="1" si="0"/>
        <v>3</v>
      </c>
      <c r="M49" s="10">
        <f t="shared" ca="1" si="0"/>
        <v>46</v>
      </c>
      <c r="N49" s="10" t="str">
        <f>LOOKUP(F49,Справочники!$F$2:$F$10,Справочники!$H$2:$H$10)</f>
        <v>+7(8332)64-32-01</v>
      </c>
    </row>
    <row r="50" spans="1:14" ht="15" hidden="1" x14ac:dyDescent="0.25">
      <c r="A50" s="10">
        <v>149</v>
      </c>
      <c r="B50" s="12" t="s">
        <v>180</v>
      </c>
      <c r="C50" s="12" t="s">
        <v>181</v>
      </c>
      <c r="D50" s="12" t="s">
        <v>132</v>
      </c>
      <c r="E50" s="10" t="s">
        <v>17</v>
      </c>
      <c r="F50" s="10" t="str">
        <f>LOOKUP(G50,Справочники!$B$2:$B$35,Справочники!$A$2:$A$35)</f>
        <v>Транспортный отдел</v>
      </c>
      <c r="G50" s="6" t="s">
        <v>50</v>
      </c>
      <c r="H50" s="16">
        <f>LOOKUP(G50,Справочники!$B$2:$B$35,Справочники!$C$2:$C$35)</f>
        <v>12000</v>
      </c>
      <c r="I50" s="6" t="s">
        <v>33</v>
      </c>
      <c r="J50" s="11">
        <v>34759</v>
      </c>
      <c r="K50" s="11">
        <v>25186</v>
      </c>
      <c r="L50" s="10">
        <f t="shared" ca="1" si="0"/>
        <v>27</v>
      </c>
      <c r="M50" s="10">
        <f t="shared" ca="1" si="0"/>
        <v>53</v>
      </c>
      <c r="N50" s="10" t="str">
        <f>LOOKUP(F50,Справочники!$F$2:$F$10,Справочники!$H$2:$H$10)</f>
        <v>+7(8332)64-32-18</v>
      </c>
    </row>
    <row r="51" spans="1:14" ht="15" x14ac:dyDescent="0.25">
      <c r="A51" s="10">
        <v>150</v>
      </c>
      <c r="B51" s="12" t="s">
        <v>182</v>
      </c>
      <c r="C51" s="12" t="s">
        <v>75</v>
      </c>
      <c r="D51" s="12" t="s">
        <v>76</v>
      </c>
      <c r="E51" s="10" t="s">
        <v>9</v>
      </c>
      <c r="F51" s="10" t="str">
        <f>LOOKUP(G51,Справочники!$B$2:$B$35,Справочники!$A$2:$A$35)</f>
        <v>Редакторский отдел</v>
      </c>
      <c r="G51" s="6" t="s">
        <v>52</v>
      </c>
      <c r="H51" s="16">
        <f>LOOKUP(G51,Справочники!$B$2:$B$35,Справочники!$C$2:$C$35)</f>
        <v>16000</v>
      </c>
      <c r="I51" s="6" t="s">
        <v>14</v>
      </c>
      <c r="J51" s="11">
        <v>34714</v>
      </c>
      <c r="K51" s="11">
        <v>22250</v>
      </c>
      <c r="L51" s="10">
        <f t="shared" ca="1" si="0"/>
        <v>27</v>
      </c>
      <c r="M51" s="10">
        <f t="shared" ca="1" si="0"/>
        <v>61</v>
      </c>
      <c r="N51" s="10" t="str">
        <f>LOOKUP(F51,Справочники!$F$2:$F$10,Справочники!$H$2:$H$10)</f>
        <v>+7(8332)64-32-01</v>
      </c>
    </row>
    <row r="52" spans="1:14" ht="15" hidden="1" x14ac:dyDescent="0.25">
      <c r="A52" s="10">
        <v>151</v>
      </c>
      <c r="B52" s="12" t="s">
        <v>183</v>
      </c>
      <c r="C52" s="12" t="s">
        <v>161</v>
      </c>
      <c r="D52" s="12" t="s">
        <v>184</v>
      </c>
      <c r="E52" s="10" t="s">
        <v>9</v>
      </c>
      <c r="F52" s="10" t="str">
        <f>LOOKUP(G52,Справочники!$B$2:$B$35,Справочники!$A$2:$A$35)</f>
        <v>Редакторский отдел</v>
      </c>
      <c r="G52" s="7" t="s">
        <v>53</v>
      </c>
      <c r="H52" s="16">
        <f>LOOKUP(G52,Справочники!$B$2:$B$35,Справочники!$C$2:$C$35)</f>
        <v>19000</v>
      </c>
      <c r="I52" s="6" t="s">
        <v>25</v>
      </c>
      <c r="J52" s="11">
        <v>35445</v>
      </c>
      <c r="K52" s="11">
        <v>26821</v>
      </c>
      <c r="L52" s="10">
        <f t="shared" ca="1" si="0"/>
        <v>25</v>
      </c>
      <c r="M52" s="10">
        <f t="shared" ca="1" si="0"/>
        <v>49</v>
      </c>
      <c r="N52" s="10" t="str">
        <f>LOOKUP(F52,Справочники!$F$2:$F$10,Справочники!$H$2:$H$10)</f>
        <v>+7(8332)64-32-01</v>
      </c>
    </row>
    <row r="53" spans="1:14" ht="15" hidden="1" x14ac:dyDescent="0.25">
      <c r="A53" s="10">
        <v>152</v>
      </c>
      <c r="B53" s="12" t="s">
        <v>185</v>
      </c>
      <c r="C53" s="12" t="s">
        <v>186</v>
      </c>
      <c r="D53" s="12" t="s">
        <v>76</v>
      </c>
      <c r="E53" s="10" t="s">
        <v>9</v>
      </c>
      <c r="F53" s="10" t="str">
        <f>LOOKUP(G53,Справочники!$B$2:$B$35,Справочники!$A$2:$A$35)</f>
        <v>Редакторский отдел</v>
      </c>
      <c r="G53" s="7" t="s">
        <v>54</v>
      </c>
      <c r="H53" s="16">
        <f>LOOKUP(G53,Справочники!$B$2:$B$35,Справочники!$C$2:$C$35)</f>
        <v>14000</v>
      </c>
      <c r="I53" s="6" t="s">
        <v>25</v>
      </c>
      <c r="J53" s="11">
        <v>40998</v>
      </c>
      <c r="K53" s="11">
        <v>30213</v>
      </c>
      <c r="L53" s="10">
        <f t="shared" ca="1" si="0"/>
        <v>10</v>
      </c>
      <c r="M53" s="10">
        <f t="shared" ca="1" si="0"/>
        <v>40</v>
      </c>
      <c r="N53" s="10" t="str">
        <f>LOOKUP(F53,Справочники!$F$2:$F$10,Справочники!$H$2:$H$10)</f>
        <v>+7(8332)64-32-01</v>
      </c>
    </row>
    <row r="54" spans="1:14" ht="15" hidden="1" x14ac:dyDescent="0.25">
      <c r="A54" s="10">
        <v>153</v>
      </c>
      <c r="B54" s="12" t="s">
        <v>187</v>
      </c>
      <c r="C54" s="12" t="s">
        <v>158</v>
      </c>
      <c r="D54" s="12" t="s">
        <v>111</v>
      </c>
      <c r="E54" s="10" t="s">
        <v>9</v>
      </c>
      <c r="F54" s="10" t="str">
        <f>LOOKUP(G54,Справочники!$B$2:$B$35,Справочники!$A$2:$A$35)</f>
        <v>Редакторский отдел</v>
      </c>
      <c r="G54" s="6" t="s">
        <v>52</v>
      </c>
      <c r="H54" s="16">
        <f>LOOKUP(G54,Справочники!$B$2:$B$35,Справочники!$C$2:$C$35)</f>
        <v>16000</v>
      </c>
      <c r="I54" s="6" t="s">
        <v>14</v>
      </c>
      <c r="J54" s="11">
        <v>36220</v>
      </c>
      <c r="K54" s="11">
        <v>26580</v>
      </c>
      <c r="L54" s="10">
        <f t="shared" ca="1" si="0"/>
        <v>23</v>
      </c>
      <c r="M54" s="10">
        <f t="shared" ca="1" si="0"/>
        <v>50</v>
      </c>
      <c r="N54" s="10" t="str">
        <f>LOOKUP(F54,Справочники!$F$2:$F$10,Справочники!$H$2:$H$10)</f>
        <v>+7(8332)64-32-01</v>
      </c>
    </row>
    <row r="55" spans="1:14" ht="15" hidden="1" x14ac:dyDescent="0.25">
      <c r="A55" s="10">
        <v>154</v>
      </c>
      <c r="B55" s="12" t="s">
        <v>188</v>
      </c>
      <c r="C55" s="12" t="s">
        <v>189</v>
      </c>
      <c r="D55" s="12" t="s">
        <v>162</v>
      </c>
      <c r="E55" s="10" t="s">
        <v>9</v>
      </c>
      <c r="F55" s="10" t="str">
        <f>LOOKUP(G55,Справочники!$B$2:$B$35,Справочники!$A$2:$A$35)</f>
        <v>Редакторский отдел</v>
      </c>
      <c r="G55" s="7" t="s">
        <v>54</v>
      </c>
      <c r="H55" s="16">
        <f>LOOKUP(G55,Справочники!$B$2:$B$35,Справочники!$C$2:$C$35)</f>
        <v>14000</v>
      </c>
      <c r="I55" s="6" t="s">
        <v>14</v>
      </c>
      <c r="J55" s="11">
        <v>35258</v>
      </c>
      <c r="K55" s="11">
        <v>21600</v>
      </c>
      <c r="L55" s="10">
        <f t="shared" ca="1" si="0"/>
        <v>26</v>
      </c>
      <c r="M55" s="10">
        <f t="shared" ca="1" si="0"/>
        <v>63</v>
      </c>
      <c r="N55" s="10" t="str">
        <f>LOOKUP(F55,Справочники!$F$2:$F$10,Справочники!$H$2:$H$10)</f>
        <v>+7(8332)64-32-01</v>
      </c>
    </row>
    <row r="56" spans="1:14" ht="15" hidden="1" x14ac:dyDescent="0.25">
      <c r="A56" s="10">
        <v>155</v>
      </c>
      <c r="B56" s="12" t="s">
        <v>190</v>
      </c>
      <c r="C56" s="12" t="s">
        <v>191</v>
      </c>
      <c r="D56" s="12" t="s">
        <v>192</v>
      </c>
      <c r="E56" s="10" t="s">
        <v>9</v>
      </c>
      <c r="F56" s="10" t="str">
        <f>LOOKUP(G56,Справочники!$B$2:$B$35,Справочники!$A$2:$A$35)</f>
        <v>Редакторский отдел</v>
      </c>
      <c r="G56" s="7" t="s">
        <v>55</v>
      </c>
      <c r="H56" s="16">
        <f>LOOKUP(G56,Справочники!$B$2:$B$35,Справочники!$C$2:$C$35)</f>
        <v>14000</v>
      </c>
      <c r="I56" s="6" t="s">
        <v>14</v>
      </c>
      <c r="J56" s="11">
        <v>35442</v>
      </c>
      <c r="K56" s="11">
        <v>24134</v>
      </c>
      <c r="L56" s="10">
        <f t="shared" ca="1" si="0"/>
        <v>25</v>
      </c>
      <c r="M56" s="10">
        <f t="shared" ca="1" si="0"/>
        <v>56</v>
      </c>
      <c r="N56" s="10" t="str">
        <f>LOOKUP(F56,Справочники!$F$2:$F$10,Справочники!$H$2:$H$10)</f>
        <v>+7(8332)64-32-01</v>
      </c>
    </row>
    <row r="57" spans="1:14" ht="15" hidden="1" x14ac:dyDescent="0.25">
      <c r="A57" s="10">
        <v>156</v>
      </c>
      <c r="B57" s="12" t="s">
        <v>193</v>
      </c>
      <c r="C57" s="12" t="s">
        <v>108</v>
      </c>
      <c r="D57" s="12" t="s">
        <v>194</v>
      </c>
      <c r="E57" s="10" t="s">
        <v>9</v>
      </c>
      <c r="F57" s="10" t="str">
        <f>LOOKUP(G57,Справочники!$B$2:$B$35,Справочники!$A$2:$A$35)</f>
        <v>Редакторский отдел</v>
      </c>
      <c r="G57" s="7" t="s">
        <v>55</v>
      </c>
      <c r="H57" s="16">
        <f>LOOKUP(G57,Справочники!$B$2:$B$35,Справочники!$C$2:$C$35)</f>
        <v>14000</v>
      </c>
      <c r="I57" s="6" t="s">
        <v>25</v>
      </c>
      <c r="J57" s="11">
        <v>35460</v>
      </c>
      <c r="K57" s="11">
        <v>21194</v>
      </c>
      <c r="L57" s="10">
        <f t="shared" ca="1" si="0"/>
        <v>25</v>
      </c>
      <c r="M57" s="10">
        <f t="shared" ca="1" si="0"/>
        <v>64</v>
      </c>
      <c r="N57" s="10" t="str">
        <f>LOOKUP(F57,Справочники!$F$2:$F$10,Справочники!$H$2:$H$10)</f>
        <v>+7(8332)64-32-01</v>
      </c>
    </row>
    <row r="58" spans="1:14" ht="15" hidden="1" x14ac:dyDescent="0.25">
      <c r="A58" s="10">
        <v>157</v>
      </c>
      <c r="B58" s="12" t="s">
        <v>195</v>
      </c>
      <c r="C58" s="12" t="s">
        <v>196</v>
      </c>
      <c r="D58" s="12" t="s">
        <v>197</v>
      </c>
      <c r="E58" s="10" t="s">
        <v>9</v>
      </c>
      <c r="F58" s="10" t="str">
        <f>LOOKUP(G58,Справочники!$B$2:$B$35,Справочники!$A$2:$A$35)</f>
        <v>Технологический отдел</v>
      </c>
      <c r="G58" s="6" t="s">
        <v>31</v>
      </c>
      <c r="H58" s="16">
        <f>LOOKUP(G58,Справочники!$B$2:$B$35,Справочники!$C$2:$C$35)</f>
        <v>12000</v>
      </c>
      <c r="I58" s="6" t="s">
        <v>12</v>
      </c>
      <c r="J58" s="11">
        <v>39887</v>
      </c>
      <c r="K58" s="11">
        <v>30205</v>
      </c>
      <c r="L58" s="10">
        <f t="shared" ca="1" si="0"/>
        <v>13</v>
      </c>
      <c r="M58" s="10">
        <f t="shared" ca="1" si="0"/>
        <v>40</v>
      </c>
      <c r="N58" s="10" t="str">
        <f>LOOKUP(F58,Справочники!$F$2:$F$10,Справочники!$H$2:$H$10)</f>
        <v>+7(8332)64-32-18</v>
      </c>
    </row>
    <row r="59" spans="1:14" ht="15" hidden="1" x14ac:dyDescent="0.25">
      <c r="A59" s="10">
        <v>158</v>
      </c>
      <c r="B59" s="12" t="s">
        <v>198</v>
      </c>
      <c r="C59" s="12" t="s">
        <v>199</v>
      </c>
      <c r="D59" s="12" t="s">
        <v>159</v>
      </c>
      <c r="E59" s="10" t="s">
        <v>9</v>
      </c>
      <c r="F59" s="10" t="str">
        <f>LOOKUP(G59,Справочники!$B$2:$B$35,Справочники!$A$2:$A$35)</f>
        <v>Редакторский отдел</v>
      </c>
      <c r="G59" s="7" t="s">
        <v>54</v>
      </c>
      <c r="H59" s="16">
        <f>LOOKUP(G59,Справочники!$B$2:$B$35,Справочники!$C$2:$C$35)</f>
        <v>14000</v>
      </c>
      <c r="I59" s="6" t="s">
        <v>14</v>
      </c>
      <c r="J59" s="11">
        <v>35122</v>
      </c>
      <c r="K59" s="11">
        <v>23253</v>
      </c>
      <c r="L59" s="10">
        <f t="shared" ca="1" si="0"/>
        <v>26</v>
      </c>
      <c r="M59" s="10">
        <f t="shared" ca="1" si="0"/>
        <v>59</v>
      </c>
      <c r="N59" s="10" t="str">
        <f>LOOKUP(F59,Справочники!$F$2:$F$10,Справочники!$H$2:$H$10)</f>
        <v>+7(8332)64-32-01</v>
      </c>
    </row>
    <row r="60" spans="1:14" ht="15" hidden="1" x14ac:dyDescent="0.25">
      <c r="A60" s="10">
        <v>159</v>
      </c>
      <c r="B60" s="12" t="s">
        <v>200</v>
      </c>
      <c r="C60" s="12" t="s">
        <v>158</v>
      </c>
      <c r="D60" s="12" t="s">
        <v>201</v>
      </c>
      <c r="E60" s="10" t="s">
        <v>9</v>
      </c>
      <c r="F60" s="10" t="str">
        <f>LOOKUP(G60,Справочники!$B$2:$B$35,Справочники!$A$2:$A$35)</f>
        <v>Редакторский отдел</v>
      </c>
      <c r="G60" s="7" t="s">
        <v>55</v>
      </c>
      <c r="H60" s="16">
        <f>LOOKUP(G60,Справочники!$B$2:$B$35,Справочники!$C$2:$C$35)</f>
        <v>14000</v>
      </c>
      <c r="I60" s="6" t="s">
        <v>14</v>
      </c>
      <c r="J60" s="11">
        <v>35032</v>
      </c>
      <c r="K60" s="11">
        <v>22065</v>
      </c>
      <c r="L60" s="10">
        <f t="shared" ca="1" si="0"/>
        <v>26</v>
      </c>
      <c r="M60" s="10">
        <f t="shared" ca="1" si="0"/>
        <v>62</v>
      </c>
      <c r="N60" s="10" t="str">
        <f>LOOKUP(F60,Справочники!$F$2:$F$10,Справочники!$H$2:$H$10)</f>
        <v>+7(8332)64-32-01</v>
      </c>
    </row>
    <row r="61" spans="1:14" ht="15" hidden="1" x14ac:dyDescent="0.25">
      <c r="A61" s="10">
        <v>160</v>
      </c>
      <c r="B61" s="12" t="s">
        <v>202</v>
      </c>
      <c r="C61" s="12" t="s">
        <v>203</v>
      </c>
      <c r="D61" s="12" t="s">
        <v>127</v>
      </c>
      <c r="E61" s="10" t="s">
        <v>9</v>
      </c>
      <c r="F61" s="10" t="str">
        <f>LOOKUP(G61,Справочники!$B$2:$B$35,Справочники!$A$2:$A$35)</f>
        <v>Редакторский отдел</v>
      </c>
      <c r="G61" s="7" t="s">
        <v>55</v>
      </c>
      <c r="H61" s="16">
        <f>LOOKUP(G61,Справочники!$B$2:$B$35,Справочники!$C$2:$C$35)</f>
        <v>14000</v>
      </c>
      <c r="I61" s="6" t="s">
        <v>14</v>
      </c>
      <c r="J61" s="11">
        <v>42991</v>
      </c>
      <c r="K61" s="11">
        <v>32936</v>
      </c>
      <c r="L61" s="10">
        <f t="shared" ca="1" si="0"/>
        <v>5</v>
      </c>
      <c r="M61" s="10">
        <f t="shared" ca="1" si="0"/>
        <v>32</v>
      </c>
      <c r="N61" s="10" t="str">
        <f>LOOKUP(F61,Справочники!$F$2:$F$10,Справочники!$H$2:$H$10)</f>
        <v>+7(8332)64-32-01</v>
      </c>
    </row>
    <row r="62" spans="1:14" ht="15" hidden="1" x14ac:dyDescent="0.25">
      <c r="A62" s="10">
        <v>161</v>
      </c>
      <c r="B62" s="12" t="s">
        <v>204</v>
      </c>
      <c r="C62" s="12" t="s">
        <v>205</v>
      </c>
      <c r="D62" s="12" t="s">
        <v>145</v>
      </c>
      <c r="E62" s="10" t="s">
        <v>17</v>
      </c>
      <c r="F62" s="10" t="str">
        <f>LOOKUP(G62,Справочники!$B$2:$B$35,Справочники!$A$2:$A$35)</f>
        <v>Транспортный отдел</v>
      </c>
      <c r="G62" s="6" t="s">
        <v>50</v>
      </c>
      <c r="H62" s="16">
        <f>LOOKUP(G62,Справочники!$B$2:$B$35,Справочники!$C$2:$C$35)</f>
        <v>12000</v>
      </c>
      <c r="I62" s="6" t="s">
        <v>12</v>
      </c>
      <c r="J62" s="11">
        <v>31108</v>
      </c>
      <c r="K62" s="11">
        <v>23891</v>
      </c>
      <c r="L62" s="10">
        <f t="shared" ca="1" si="0"/>
        <v>37</v>
      </c>
      <c r="M62" s="10">
        <f t="shared" ca="1" si="0"/>
        <v>57</v>
      </c>
      <c r="N62" s="10" t="str">
        <f>LOOKUP(F62,Справочники!$F$2:$F$10,Справочники!$H$2:$H$10)</f>
        <v>+7(8332)64-32-18</v>
      </c>
    </row>
    <row r="63" spans="1:14" ht="15" hidden="1" x14ac:dyDescent="0.25">
      <c r="A63" s="10">
        <v>162</v>
      </c>
      <c r="B63" s="12" t="s">
        <v>206</v>
      </c>
      <c r="C63" s="12" t="s">
        <v>100</v>
      </c>
      <c r="D63" s="12" t="s">
        <v>207</v>
      </c>
      <c r="E63" s="10" t="s">
        <v>17</v>
      </c>
      <c r="F63" s="10" t="str">
        <f>LOOKUP(G63,Справочники!$B$2:$B$35,Справочники!$A$2:$A$35)</f>
        <v>Транспортный отдел</v>
      </c>
      <c r="G63" s="6" t="s">
        <v>50</v>
      </c>
      <c r="H63" s="16">
        <f>LOOKUP(G63,Справочники!$B$2:$B$35,Справочники!$C$2:$C$35)</f>
        <v>12000</v>
      </c>
      <c r="I63" s="6" t="s">
        <v>12</v>
      </c>
      <c r="J63" s="11">
        <v>32023</v>
      </c>
      <c r="K63" s="11">
        <v>22893</v>
      </c>
      <c r="L63" s="10">
        <f t="shared" ca="1" si="0"/>
        <v>35</v>
      </c>
      <c r="M63" s="10">
        <f t="shared" ca="1" si="0"/>
        <v>60</v>
      </c>
      <c r="N63" s="10" t="str">
        <f>LOOKUP(F63,Справочники!$F$2:$F$10,Справочники!$H$2:$H$10)</f>
        <v>+7(8332)64-32-18</v>
      </c>
    </row>
    <row r="64" spans="1:14" ht="15" hidden="1" x14ac:dyDescent="0.25">
      <c r="A64" s="10">
        <v>163</v>
      </c>
      <c r="B64" s="12" t="s">
        <v>208</v>
      </c>
      <c r="C64" s="12" t="s">
        <v>209</v>
      </c>
      <c r="D64" s="12" t="s">
        <v>93</v>
      </c>
      <c r="E64" s="10" t="s">
        <v>17</v>
      </c>
      <c r="F64" s="10" t="str">
        <f>LOOKUP(G64,Справочники!$B$2:$B$35,Справочники!$A$2:$A$35)</f>
        <v>Редакторский отдел</v>
      </c>
      <c r="G64" s="7" t="s">
        <v>56</v>
      </c>
      <c r="H64" s="16">
        <f>LOOKUP(G64,Справочники!$B$2:$B$35,Справочники!$C$2:$C$35)</f>
        <v>20000</v>
      </c>
      <c r="I64" s="6" t="s">
        <v>14</v>
      </c>
      <c r="J64" s="11">
        <v>35153</v>
      </c>
      <c r="K64" s="11">
        <v>24814</v>
      </c>
      <c r="L64" s="10">
        <f t="shared" ca="1" si="0"/>
        <v>26</v>
      </c>
      <c r="M64" s="10">
        <f t="shared" ca="1" si="0"/>
        <v>54</v>
      </c>
      <c r="N64" s="10" t="str">
        <f>LOOKUP(F64,Справочники!$F$2:$F$10,Справочники!$H$2:$H$10)</f>
        <v>+7(8332)64-32-01</v>
      </c>
    </row>
    <row r="65" spans="1:14" ht="15" hidden="1" x14ac:dyDescent="0.25">
      <c r="A65" s="10">
        <v>164</v>
      </c>
      <c r="B65" s="12" t="s">
        <v>210</v>
      </c>
      <c r="C65" s="12" t="s">
        <v>211</v>
      </c>
      <c r="D65" s="12" t="s">
        <v>148</v>
      </c>
      <c r="E65" s="10" t="s">
        <v>9</v>
      </c>
      <c r="F65" s="10" t="str">
        <f>LOOKUP(G65,Справочники!$B$2:$B$35,Справочники!$A$2:$A$35)</f>
        <v>Транспортный отдел</v>
      </c>
      <c r="G65" s="6" t="s">
        <v>57</v>
      </c>
      <c r="H65" s="16">
        <f>LOOKUP(G65,Справочники!$B$2:$B$35,Справочники!$C$2:$C$35)</f>
        <v>12000</v>
      </c>
      <c r="I65" s="6" t="s">
        <v>33</v>
      </c>
      <c r="J65" s="11">
        <v>43438</v>
      </c>
      <c r="K65" s="11">
        <v>34714</v>
      </c>
      <c r="L65" s="10">
        <f t="shared" ca="1" si="0"/>
        <v>3</v>
      </c>
      <c r="M65" s="10">
        <f t="shared" ca="1" si="0"/>
        <v>27</v>
      </c>
      <c r="N65" s="10" t="str">
        <f>LOOKUP(F65,Справочники!$F$2:$F$10,Справочники!$H$2:$H$10)</f>
        <v>+7(8332)64-32-18</v>
      </c>
    </row>
  </sheetData>
  <autoFilter ref="A1:N65" xr:uid="{68B76041-4970-41A2-B583-0F26EBA91FA8}">
    <filterColumn colId="10">
      <dynamicFilter type="M11"/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61D5-34B8-41F0-B321-A0CFE0709721}">
  <sheetPr filterMode="1"/>
  <dimension ref="A1:N65"/>
  <sheetViews>
    <sheetView zoomScaleNormal="100" workbookViewId="0">
      <pane ySplit="1" topLeftCell="A2" activePane="bottomLeft" state="frozen"/>
      <selection pane="bottomLeft" activeCell="D74" sqref="D74"/>
    </sheetView>
  </sheetViews>
  <sheetFormatPr defaultRowHeight="12.75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0.7109375" style="18" bestFit="1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hidden="1" x14ac:dyDescent="0.25">
      <c r="A2" s="10">
        <v>101</v>
      </c>
      <c r="B2" s="12" t="s">
        <v>68</v>
      </c>
      <c r="C2" s="12" t="s">
        <v>69</v>
      </c>
      <c r="D2" s="12" t="s">
        <v>70</v>
      </c>
      <c r="E2" s="10" t="s">
        <v>9</v>
      </c>
      <c r="F2" s="10" t="str">
        <f>LOOKUP(G2,Справочники!$B$2:$B$35,Справочники!$A$2:$A$35)</f>
        <v>Бухгалтерия</v>
      </c>
      <c r="G2" s="6" t="s">
        <v>11</v>
      </c>
      <c r="H2" s="16">
        <f>LOOKUP(G2,Справочники!$B$2:$B$35,Справочники!$C$2:$C$35)</f>
        <v>12000</v>
      </c>
      <c r="I2" s="6" t="s">
        <v>14</v>
      </c>
      <c r="J2" s="11">
        <v>38944</v>
      </c>
      <c r="K2" s="11">
        <v>30198</v>
      </c>
      <c r="L2" s="10">
        <f ca="1">DATEDIF(J2, TODAY(),"Y")</f>
        <v>16</v>
      </c>
      <c r="M2" s="10">
        <f ca="1">DATEDIF(K2, TODAY(),"Y")</f>
        <v>40</v>
      </c>
      <c r="N2" s="10" t="str">
        <f>LOOKUP(F2,Справочники!$F$2:$F$10,Справочники!$H$2:$H$10)</f>
        <v>+7(8332)64-32-01</v>
      </c>
    </row>
    <row r="3" spans="1:14" ht="15" x14ac:dyDescent="0.25">
      <c r="A3" s="10">
        <v>102</v>
      </c>
      <c r="B3" s="12" t="s">
        <v>71</v>
      </c>
      <c r="C3" s="12" t="s">
        <v>72</v>
      </c>
      <c r="D3" s="12" t="s">
        <v>73</v>
      </c>
      <c r="E3" s="10" t="s">
        <v>9</v>
      </c>
      <c r="F3" s="10" t="str">
        <f>LOOKUP(G3,Справочники!$B$2:$B$35,Справочники!$A$2:$A$35)</f>
        <v>Бухгалтерия</v>
      </c>
      <c r="G3" s="6" t="s">
        <v>13</v>
      </c>
      <c r="H3" s="16">
        <f>LOOKUP(G3,Справочники!$B$2:$B$35,Справочники!$C$2:$C$35)</f>
        <v>20000</v>
      </c>
      <c r="I3" s="6" t="s">
        <v>14</v>
      </c>
      <c r="J3" s="11">
        <v>34380</v>
      </c>
      <c r="K3" s="11">
        <v>25186</v>
      </c>
      <c r="L3" s="10">
        <f t="shared" ref="L3:M65" ca="1" si="0">DATEDIF(J3, TODAY(),"Y")</f>
        <v>28</v>
      </c>
      <c r="M3" s="10">
        <f t="shared" ca="1" si="0"/>
        <v>53</v>
      </c>
      <c r="N3" s="10" t="str">
        <f>LOOKUP(F3,Справочники!$F$2:$F$10,Справочники!$H$2:$H$10)</f>
        <v>+7(8332)64-32-01</v>
      </c>
    </row>
    <row r="4" spans="1:14" ht="15" hidden="1" x14ac:dyDescent="0.25">
      <c r="A4" s="10">
        <v>103</v>
      </c>
      <c r="B4" s="12" t="s">
        <v>74</v>
      </c>
      <c r="C4" s="12" t="s">
        <v>75</v>
      </c>
      <c r="D4" s="12" t="s">
        <v>76</v>
      </c>
      <c r="E4" s="10" t="s">
        <v>9</v>
      </c>
      <c r="F4" s="10" t="str">
        <f>LOOKUP(G4,Справочники!$B$2:$B$35,Справочники!$A$2:$A$35)</f>
        <v>Бухгалтерия</v>
      </c>
      <c r="G4" s="6" t="s">
        <v>15</v>
      </c>
      <c r="H4" s="16">
        <f>LOOKUP(G4,Справочники!$B$2:$B$35,Справочники!$C$2:$C$35)</f>
        <v>12000</v>
      </c>
      <c r="I4" s="6" t="s">
        <v>12</v>
      </c>
      <c r="J4" s="11">
        <v>42962</v>
      </c>
      <c r="K4" s="11">
        <v>34762</v>
      </c>
      <c r="L4" s="10">
        <f t="shared" ca="1" si="0"/>
        <v>5</v>
      </c>
      <c r="M4" s="10">
        <f t="shared" ca="1" si="0"/>
        <v>27</v>
      </c>
      <c r="N4" s="10" t="str">
        <f>LOOKUP(F4,Справочники!$F$2:$F$10,Справочники!$H$2:$H$10)</f>
        <v>+7(8332)64-32-01</v>
      </c>
    </row>
    <row r="5" spans="1:14" ht="15" hidden="1" x14ac:dyDescent="0.25">
      <c r="A5" s="10">
        <v>104</v>
      </c>
      <c r="B5" s="12" t="s">
        <v>77</v>
      </c>
      <c r="C5" s="12" t="s">
        <v>78</v>
      </c>
      <c r="D5" s="12" t="s">
        <v>79</v>
      </c>
      <c r="E5" s="10" t="s">
        <v>9</v>
      </c>
      <c r="F5" s="10" t="str">
        <f>LOOKUP(G5,Справочники!$B$2:$B$35,Справочники!$A$2:$A$35)</f>
        <v>Бухгалтерия</v>
      </c>
      <c r="G5" s="6" t="s">
        <v>16</v>
      </c>
      <c r="H5" s="16">
        <f>LOOKUP(G5,Справочники!$B$2:$B$35,Справочники!$C$2:$C$35)</f>
        <v>15000</v>
      </c>
      <c r="I5" s="6" t="s">
        <v>14</v>
      </c>
      <c r="J5" s="11">
        <v>41530</v>
      </c>
      <c r="K5" s="11">
        <v>25346</v>
      </c>
      <c r="L5" s="10">
        <f t="shared" ca="1" si="0"/>
        <v>9</v>
      </c>
      <c r="M5" s="10">
        <f t="shared" ca="1" si="0"/>
        <v>53</v>
      </c>
      <c r="N5" s="10" t="str">
        <f>LOOKUP(F5,Справочники!$F$2:$F$10,Справочники!$H$2:$H$10)</f>
        <v>+7(8332)64-32-01</v>
      </c>
    </row>
    <row r="6" spans="1:14" ht="15" x14ac:dyDescent="0.25">
      <c r="A6" s="10">
        <v>105</v>
      </c>
      <c r="B6" s="12" t="s">
        <v>80</v>
      </c>
      <c r="C6" s="12" t="s">
        <v>81</v>
      </c>
      <c r="D6" s="12" t="s">
        <v>82</v>
      </c>
      <c r="E6" s="10" t="s">
        <v>17</v>
      </c>
      <c r="F6" s="10" t="str">
        <f>LOOKUP(G6,Справочники!$B$2:$B$35,Справочники!$A$2:$A$35)</f>
        <v>Бухгалтерия</v>
      </c>
      <c r="G6" s="6" t="s">
        <v>18</v>
      </c>
      <c r="H6" s="16">
        <f>LOOKUP(G6,Справочники!$B$2:$B$35,Справочники!$C$2:$C$35)</f>
        <v>17000</v>
      </c>
      <c r="I6" s="6" t="s">
        <v>14</v>
      </c>
      <c r="J6" s="11">
        <v>41165</v>
      </c>
      <c r="K6" s="11">
        <v>31196</v>
      </c>
      <c r="L6" s="10">
        <f t="shared" ca="1" si="0"/>
        <v>10</v>
      </c>
      <c r="M6" s="10">
        <f t="shared" ca="1" si="0"/>
        <v>37</v>
      </c>
      <c r="N6" s="10" t="str">
        <f>LOOKUP(F6,Справочники!$F$2:$F$10,Справочники!$H$2:$H$10)</f>
        <v>+7(8332)64-32-01</v>
      </c>
    </row>
    <row r="7" spans="1:14" ht="15" hidden="1" x14ac:dyDescent="0.25">
      <c r="A7" s="10">
        <v>106</v>
      </c>
      <c r="B7" s="12" t="s">
        <v>83</v>
      </c>
      <c r="C7" s="12" t="s">
        <v>84</v>
      </c>
      <c r="D7" s="12" t="s">
        <v>85</v>
      </c>
      <c r="E7" s="10" t="s">
        <v>17</v>
      </c>
      <c r="F7" s="10" t="str">
        <f>LOOKUP(G7,Справочники!$B$2:$B$35,Справочники!$A$2:$A$35)</f>
        <v>Бухгалтерия</v>
      </c>
      <c r="G7" s="6" t="s">
        <v>11</v>
      </c>
      <c r="H7" s="16">
        <f>LOOKUP(G7,Справочники!$B$2:$B$35,Справочники!$C$2:$C$35)</f>
        <v>12000</v>
      </c>
      <c r="I7" s="6" t="s">
        <v>25</v>
      </c>
      <c r="J7" s="11">
        <v>42626</v>
      </c>
      <c r="K7" s="11">
        <v>31062</v>
      </c>
      <c r="L7" s="10">
        <f t="shared" ca="1" si="0"/>
        <v>6</v>
      </c>
      <c r="M7" s="10">
        <f t="shared" ca="1" si="0"/>
        <v>37</v>
      </c>
      <c r="N7" s="10" t="str">
        <f>LOOKUP(F7,Справочники!$F$2:$F$10,Справочники!$H$2:$H$10)</f>
        <v>+7(8332)64-32-01</v>
      </c>
    </row>
    <row r="8" spans="1:14" ht="15" hidden="1" x14ac:dyDescent="0.25">
      <c r="A8" s="10">
        <v>107</v>
      </c>
      <c r="B8" s="12" t="s">
        <v>86</v>
      </c>
      <c r="C8" s="12" t="s">
        <v>87</v>
      </c>
      <c r="D8" s="12" t="s">
        <v>88</v>
      </c>
      <c r="E8" s="10" t="s">
        <v>9</v>
      </c>
      <c r="F8" s="10" t="str">
        <f>LOOKUP(G8,Справочники!$B$2:$B$35,Справочники!$A$2:$A$35)</f>
        <v>Управление</v>
      </c>
      <c r="G8" s="6" t="s">
        <v>20</v>
      </c>
      <c r="H8" s="16">
        <f>LOOKUP(G8,Справочники!$B$2:$B$35,Справочники!$C$2:$C$35)</f>
        <v>15000</v>
      </c>
      <c r="I8" s="6" t="s">
        <v>12</v>
      </c>
      <c r="J8" s="11">
        <v>39956</v>
      </c>
      <c r="K8" s="11">
        <v>30254</v>
      </c>
      <c r="L8" s="10">
        <f t="shared" ca="1" si="0"/>
        <v>13</v>
      </c>
      <c r="M8" s="10">
        <f t="shared" ca="1" si="0"/>
        <v>40</v>
      </c>
      <c r="N8" s="10" t="str">
        <f>LOOKUP(F8,Справочники!$F$2:$F$10,Справочники!$H$2:$H$10)</f>
        <v>+7(8332)64-32-18</v>
      </c>
    </row>
    <row r="9" spans="1:14" ht="15" hidden="1" x14ac:dyDescent="0.25">
      <c r="A9" s="10">
        <v>108</v>
      </c>
      <c r="B9" s="12" t="s">
        <v>89</v>
      </c>
      <c r="C9" s="12" t="s">
        <v>90</v>
      </c>
      <c r="D9" s="12" t="s">
        <v>91</v>
      </c>
      <c r="E9" s="10" t="s">
        <v>17</v>
      </c>
      <c r="F9" s="10" t="str">
        <f>LOOKUP(G9,Справочники!$B$2:$B$35,Справочники!$A$2:$A$35)</f>
        <v>Управление</v>
      </c>
      <c r="G9" s="6" t="s">
        <v>21</v>
      </c>
      <c r="H9" s="16">
        <f>LOOKUP(G9,Справочники!$B$2:$B$35,Справочники!$C$2:$C$35)</f>
        <v>35000</v>
      </c>
      <c r="I9" s="6" t="s">
        <v>14</v>
      </c>
      <c r="J9" s="11">
        <v>38579</v>
      </c>
      <c r="K9" s="11">
        <v>28499</v>
      </c>
      <c r="L9" s="10">
        <f t="shared" ca="1" si="0"/>
        <v>17</v>
      </c>
      <c r="M9" s="10">
        <f t="shared" ca="1" si="0"/>
        <v>44</v>
      </c>
      <c r="N9" s="10" t="str">
        <f>LOOKUP(F9,Справочники!$F$2:$F$10,Справочники!$H$2:$H$10)</f>
        <v>+7(8332)64-32-18</v>
      </c>
    </row>
    <row r="10" spans="1:14" ht="15" hidden="1" x14ac:dyDescent="0.25">
      <c r="A10" s="10">
        <v>109</v>
      </c>
      <c r="B10" s="12" t="s">
        <v>92</v>
      </c>
      <c r="C10" s="12" t="s">
        <v>81</v>
      </c>
      <c r="D10" s="12" t="s">
        <v>93</v>
      </c>
      <c r="E10" s="10" t="s">
        <v>17</v>
      </c>
      <c r="F10" s="10" t="str">
        <f>LOOKUP(G10,Справочники!$B$2:$B$35,Справочники!$A$2:$A$35)</f>
        <v>Управление</v>
      </c>
      <c r="G10" s="6" t="s">
        <v>22</v>
      </c>
      <c r="H10" s="16">
        <f>LOOKUP(G10,Справочники!$B$2:$B$35,Справочники!$C$2:$C$35)</f>
        <v>28000</v>
      </c>
      <c r="I10" s="6" t="s">
        <v>14</v>
      </c>
      <c r="J10" s="11">
        <v>39103</v>
      </c>
      <c r="K10" s="11">
        <v>27786</v>
      </c>
      <c r="L10" s="10">
        <f t="shared" ca="1" si="0"/>
        <v>15</v>
      </c>
      <c r="M10" s="10">
        <f t="shared" ca="1" si="0"/>
        <v>46</v>
      </c>
      <c r="N10" s="10" t="str">
        <f>LOOKUP(F10,Справочники!$F$2:$F$10,Справочники!$H$2:$H$10)</f>
        <v>+7(8332)64-32-18</v>
      </c>
    </row>
    <row r="11" spans="1:14" ht="15" hidden="1" x14ac:dyDescent="0.25">
      <c r="A11" s="10">
        <v>110</v>
      </c>
      <c r="B11" s="12" t="s">
        <v>94</v>
      </c>
      <c r="C11" s="12" t="s">
        <v>95</v>
      </c>
      <c r="D11" s="12" t="s">
        <v>96</v>
      </c>
      <c r="E11" s="10" t="s">
        <v>9</v>
      </c>
      <c r="F11" s="10" t="str">
        <f>LOOKUP(G11,Справочники!$B$2:$B$35,Справочники!$A$2:$A$35)</f>
        <v>Управление</v>
      </c>
      <c r="G11" s="6" t="s">
        <v>23</v>
      </c>
      <c r="H11" s="16">
        <f>LOOKUP(G11,Справочники!$B$2:$B$35,Справочники!$C$2:$C$35)</f>
        <v>30000</v>
      </c>
      <c r="I11" s="6" t="s">
        <v>14</v>
      </c>
      <c r="J11" s="11">
        <v>34436</v>
      </c>
      <c r="K11" s="11">
        <v>26821</v>
      </c>
      <c r="L11" s="10">
        <f t="shared" ca="1" si="0"/>
        <v>28</v>
      </c>
      <c r="M11" s="10">
        <f t="shared" ca="1" si="0"/>
        <v>49</v>
      </c>
      <c r="N11" s="10" t="str">
        <f>LOOKUP(F11,Справочники!$F$2:$F$10,Справочники!$H$2:$H$10)</f>
        <v>+7(8332)64-32-18</v>
      </c>
    </row>
    <row r="12" spans="1:14" ht="15" hidden="1" x14ac:dyDescent="0.25">
      <c r="A12" s="10">
        <v>111</v>
      </c>
      <c r="B12" s="12" t="s">
        <v>97</v>
      </c>
      <c r="C12" s="12" t="s">
        <v>98</v>
      </c>
      <c r="D12" s="12" t="s">
        <v>76</v>
      </c>
      <c r="E12" s="10" t="s">
        <v>9</v>
      </c>
      <c r="F12" s="10" t="str">
        <f>LOOKUP(G12,Справочники!$B$2:$B$35,Справочники!$A$2:$A$35)</f>
        <v>Управление</v>
      </c>
      <c r="G12" s="6" t="s">
        <v>24</v>
      </c>
      <c r="H12" s="16">
        <f>LOOKUP(G12,Справочники!$B$2:$B$35,Справочники!$C$2:$C$35)</f>
        <v>15000</v>
      </c>
      <c r="I12" s="6" t="s">
        <v>25</v>
      </c>
      <c r="J12" s="11">
        <v>42960</v>
      </c>
      <c r="K12" s="11">
        <v>33207</v>
      </c>
      <c r="L12" s="10">
        <f t="shared" ca="1" si="0"/>
        <v>5</v>
      </c>
      <c r="M12" s="10">
        <f t="shared" ca="1" si="0"/>
        <v>31</v>
      </c>
      <c r="N12" s="10" t="str">
        <f>LOOKUP(F12,Справочники!$F$2:$F$10,Справочники!$H$2:$H$10)</f>
        <v>+7(8332)64-32-18</v>
      </c>
    </row>
    <row r="13" spans="1:14" ht="15" hidden="1" x14ac:dyDescent="0.25">
      <c r="A13" s="10">
        <v>112</v>
      </c>
      <c r="B13" s="12" t="s">
        <v>99</v>
      </c>
      <c r="C13" s="12" t="s">
        <v>100</v>
      </c>
      <c r="D13" s="12" t="s">
        <v>101</v>
      </c>
      <c r="E13" s="10" t="s">
        <v>17</v>
      </c>
      <c r="F13" s="10" t="str">
        <f>LOOKUP(G13,Справочники!$B$2:$B$35,Справочники!$A$2:$A$35)</f>
        <v>Рекламный отдел</v>
      </c>
      <c r="G13" s="6" t="s">
        <v>27</v>
      </c>
      <c r="H13" s="16">
        <f>LOOKUP(G13,Справочники!$B$2:$B$35,Справочники!$C$2:$C$35)</f>
        <v>22000</v>
      </c>
      <c r="I13" s="6" t="s">
        <v>14</v>
      </c>
      <c r="J13" s="11">
        <v>40966</v>
      </c>
      <c r="K13" s="11">
        <v>31390</v>
      </c>
      <c r="L13" s="10">
        <f t="shared" ca="1" si="0"/>
        <v>10</v>
      </c>
      <c r="M13" s="10">
        <f t="shared" ca="1" si="0"/>
        <v>36</v>
      </c>
      <c r="N13" s="10" t="str">
        <f>LOOKUP(F13,Справочники!$F$2:$F$10,Справочники!$H$2:$H$10)</f>
        <v>+7(8332)64-32-01</v>
      </c>
    </row>
    <row r="14" spans="1:14" ht="15" hidden="1" x14ac:dyDescent="0.25">
      <c r="A14" s="10">
        <v>113</v>
      </c>
      <c r="B14" s="12" t="s">
        <v>102</v>
      </c>
      <c r="C14" s="12" t="s">
        <v>98</v>
      </c>
      <c r="D14" s="12" t="s">
        <v>103</v>
      </c>
      <c r="E14" s="10" t="s">
        <v>9</v>
      </c>
      <c r="F14" s="10" t="str">
        <f>LOOKUP(G14,Справочники!$B$2:$B$35,Справочники!$A$2:$A$35)</f>
        <v>Рекламный отдел</v>
      </c>
      <c r="G14" s="6" t="s">
        <v>28</v>
      </c>
      <c r="H14" s="16">
        <f>LOOKUP(G14,Справочники!$B$2:$B$35,Справочники!$C$2:$C$35)</f>
        <v>18000</v>
      </c>
      <c r="I14" s="6" t="s">
        <v>14</v>
      </c>
      <c r="J14" s="11">
        <v>34788</v>
      </c>
      <c r="K14" s="11">
        <v>25186</v>
      </c>
      <c r="L14" s="10">
        <f t="shared" ca="1" si="0"/>
        <v>27</v>
      </c>
      <c r="M14" s="10">
        <f t="shared" ca="1" si="0"/>
        <v>53</v>
      </c>
      <c r="N14" s="10" t="str">
        <f>LOOKUP(F14,Справочники!$F$2:$F$10,Справочники!$H$2:$H$10)</f>
        <v>+7(8332)64-32-01</v>
      </c>
    </row>
    <row r="15" spans="1:14" ht="15" x14ac:dyDescent="0.25">
      <c r="A15" s="10">
        <v>114</v>
      </c>
      <c r="B15" s="12" t="s">
        <v>104</v>
      </c>
      <c r="C15" s="12" t="s">
        <v>105</v>
      </c>
      <c r="D15" s="12" t="s">
        <v>106</v>
      </c>
      <c r="E15" s="10" t="s">
        <v>9</v>
      </c>
      <c r="F15" s="10" t="str">
        <f>LOOKUP(G15,Справочники!$B$2:$B$35,Справочники!$A$2:$A$35)</f>
        <v>Технологический отдел</v>
      </c>
      <c r="G15" s="6" t="s">
        <v>30</v>
      </c>
      <c r="H15" s="16">
        <f>LOOKUP(G15,Справочники!$B$2:$B$35,Справочники!$C$2:$C$35)</f>
        <v>22000</v>
      </c>
      <c r="I15" s="6" t="s">
        <v>14</v>
      </c>
      <c r="J15" s="11">
        <v>43356</v>
      </c>
      <c r="K15" s="11">
        <v>24300</v>
      </c>
      <c r="L15" s="10">
        <f t="shared" ca="1" si="0"/>
        <v>4</v>
      </c>
      <c r="M15" s="10">
        <f t="shared" ca="1" si="0"/>
        <v>56</v>
      </c>
      <c r="N15" s="10" t="str">
        <f>LOOKUP(F15,Справочники!$F$2:$F$10,Справочники!$H$2:$H$10)</f>
        <v>+7(8332)64-32-18</v>
      </c>
    </row>
    <row r="16" spans="1:14" ht="15" hidden="1" x14ac:dyDescent="0.25">
      <c r="A16" s="10">
        <v>115</v>
      </c>
      <c r="B16" s="12" t="s">
        <v>107</v>
      </c>
      <c r="C16" s="12" t="s">
        <v>108</v>
      </c>
      <c r="D16" s="12" t="s">
        <v>76</v>
      </c>
      <c r="E16" s="10" t="s">
        <v>9</v>
      </c>
      <c r="F16" s="10" t="str">
        <f>LOOKUP(G16,Справочники!$B$2:$B$35,Справочники!$A$2:$A$35)</f>
        <v>Технологический отдел</v>
      </c>
      <c r="G16" s="6" t="s">
        <v>31</v>
      </c>
      <c r="H16" s="16">
        <f>LOOKUP(G16,Справочники!$B$2:$B$35,Справочники!$C$2:$C$35)</f>
        <v>12000</v>
      </c>
      <c r="I16" s="6" t="s">
        <v>12</v>
      </c>
      <c r="J16" s="11">
        <v>35096</v>
      </c>
      <c r="K16" s="11">
        <v>26553</v>
      </c>
      <c r="L16" s="10">
        <f t="shared" ca="1" si="0"/>
        <v>26</v>
      </c>
      <c r="M16" s="10">
        <f t="shared" ca="1" si="0"/>
        <v>50</v>
      </c>
      <c r="N16" s="10" t="str">
        <f>LOOKUP(F16,Справочники!$F$2:$F$10,Справочники!$H$2:$H$10)</f>
        <v>+7(8332)64-32-18</v>
      </c>
    </row>
    <row r="17" spans="1:14" ht="15" hidden="1" x14ac:dyDescent="0.25">
      <c r="A17" s="10">
        <v>116</v>
      </c>
      <c r="B17" s="12" t="s">
        <v>109</v>
      </c>
      <c r="C17" s="12" t="s">
        <v>110</v>
      </c>
      <c r="D17" s="12" t="s">
        <v>111</v>
      </c>
      <c r="E17" s="10" t="s">
        <v>9</v>
      </c>
      <c r="F17" s="10" t="str">
        <f>LOOKUP(G17,Справочники!$B$2:$B$35,Справочники!$A$2:$A$35)</f>
        <v>Технологический отдел</v>
      </c>
      <c r="G17" s="6" t="s">
        <v>32</v>
      </c>
      <c r="H17" s="16">
        <f>LOOKUP(G17,Справочники!$B$2:$B$35,Справочники!$C$2:$C$35)</f>
        <v>15000</v>
      </c>
      <c r="I17" s="6" t="s">
        <v>12</v>
      </c>
      <c r="J17" s="11">
        <v>35292</v>
      </c>
      <c r="K17" s="11">
        <v>25810</v>
      </c>
      <c r="L17" s="10">
        <f t="shared" ca="1" si="0"/>
        <v>26</v>
      </c>
      <c r="M17" s="10">
        <f t="shared" ca="1" si="0"/>
        <v>52</v>
      </c>
      <c r="N17" s="10" t="str">
        <f>LOOKUP(F17,Справочники!$F$2:$F$10,Справочники!$H$2:$H$10)</f>
        <v>+7(8332)64-32-18</v>
      </c>
    </row>
    <row r="18" spans="1:14" ht="15" hidden="1" x14ac:dyDescent="0.25">
      <c r="A18" s="10">
        <v>117</v>
      </c>
      <c r="B18" s="12" t="s">
        <v>112</v>
      </c>
      <c r="C18" s="12" t="s">
        <v>72</v>
      </c>
      <c r="D18" s="12" t="s">
        <v>88</v>
      </c>
      <c r="E18" s="10" t="s">
        <v>9</v>
      </c>
      <c r="F18" s="10" t="str">
        <f>LOOKUP(G18,Справочники!$B$2:$B$35,Справочники!$A$2:$A$35)</f>
        <v>Технологический отдел</v>
      </c>
      <c r="G18" s="6" t="s">
        <v>31</v>
      </c>
      <c r="H18" s="16">
        <f>LOOKUP(G18,Справочники!$B$2:$B$35,Справочники!$C$2:$C$35)</f>
        <v>12000</v>
      </c>
      <c r="I18" s="6" t="s">
        <v>33</v>
      </c>
      <c r="J18" s="11">
        <v>35445</v>
      </c>
      <c r="K18" s="11">
        <v>26821</v>
      </c>
      <c r="L18" s="10">
        <f t="shared" ca="1" si="0"/>
        <v>25</v>
      </c>
      <c r="M18" s="10">
        <f t="shared" ca="1" si="0"/>
        <v>49</v>
      </c>
      <c r="N18" s="10" t="str">
        <f>LOOKUP(F18,Справочники!$F$2:$F$10,Справочники!$H$2:$H$10)</f>
        <v>+7(8332)64-32-18</v>
      </c>
    </row>
    <row r="19" spans="1:14" ht="15" hidden="1" x14ac:dyDescent="0.25">
      <c r="A19" s="10">
        <v>118</v>
      </c>
      <c r="B19" s="12" t="s">
        <v>113</v>
      </c>
      <c r="C19" s="12" t="s">
        <v>114</v>
      </c>
      <c r="D19" s="12" t="s">
        <v>115</v>
      </c>
      <c r="E19" s="10" t="s">
        <v>9</v>
      </c>
      <c r="F19" s="10" t="str">
        <f>LOOKUP(G19,Справочники!$B$2:$B$35,Справочники!$A$2:$A$35)</f>
        <v>Технологический отдел</v>
      </c>
      <c r="G19" s="6" t="s">
        <v>34</v>
      </c>
      <c r="H19" s="16">
        <f>LOOKUP(G19,Справочники!$B$2:$B$35,Справочники!$C$2:$C$35)</f>
        <v>12000</v>
      </c>
      <c r="I19" s="6" t="s">
        <v>12</v>
      </c>
      <c r="J19" s="11">
        <v>36303</v>
      </c>
      <c r="K19" s="11">
        <v>25641</v>
      </c>
      <c r="L19" s="10">
        <f t="shared" ca="1" si="0"/>
        <v>23</v>
      </c>
      <c r="M19" s="10">
        <f t="shared" ca="1" si="0"/>
        <v>52</v>
      </c>
      <c r="N19" s="10" t="str">
        <f>LOOKUP(F19,Справочники!$F$2:$F$10,Справочники!$H$2:$H$10)</f>
        <v>+7(8332)64-32-18</v>
      </c>
    </row>
    <row r="20" spans="1:14" ht="15" hidden="1" x14ac:dyDescent="0.25">
      <c r="A20" s="10">
        <v>119</v>
      </c>
      <c r="B20" s="12" t="s">
        <v>116</v>
      </c>
      <c r="C20" s="12" t="s">
        <v>117</v>
      </c>
      <c r="D20" s="12" t="s">
        <v>70</v>
      </c>
      <c r="E20" s="10" t="s">
        <v>9</v>
      </c>
      <c r="F20" s="10" t="str">
        <f>LOOKUP(G20,Справочники!$B$2:$B$35,Справочники!$A$2:$A$35)</f>
        <v>Технологический отдел</v>
      </c>
      <c r="G20" s="6" t="s">
        <v>35</v>
      </c>
      <c r="H20" s="16">
        <f>LOOKUP(G20,Справочники!$B$2:$B$35,Справочники!$C$2:$C$35)</f>
        <v>17000</v>
      </c>
      <c r="I20" s="6" t="s">
        <v>14</v>
      </c>
      <c r="J20" s="11">
        <v>39550</v>
      </c>
      <c r="K20" s="11">
        <v>28420</v>
      </c>
      <c r="L20" s="10">
        <f t="shared" ca="1" si="0"/>
        <v>14</v>
      </c>
      <c r="M20" s="10">
        <f t="shared" ca="1" si="0"/>
        <v>45</v>
      </c>
      <c r="N20" s="10" t="str">
        <f>LOOKUP(F20,Справочники!$F$2:$F$10,Справочники!$H$2:$H$10)</f>
        <v>+7(8332)64-32-18</v>
      </c>
    </row>
    <row r="21" spans="1:14" ht="15" hidden="1" x14ac:dyDescent="0.25">
      <c r="A21" s="10">
        <v>120</v>
      </c>
      <c r="B21" s="12" t="s">
        <v>118</v>
      </c>
      <c r="C21" s="12" t="s">
        <v>98</v>
      </c>
      <c r="D21" s="12" t="s">
        <v>119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36</v>
      </c>
      <c r="H21" s="16">
        <f>LOOKUP(G21,Справочники!$B$2:$B$35,Справочники!$C$2:$C$35)</f>
        <v>14000</v>
      </c>
      <c r="I21" s="6" t="s">
        <v>12</v>
      </c>
      <c r="J21" s="11">
        <v>35442</v>
      </c>
      <c r="K21" s="11">
        <v>24134</v>
      </c>
      <c r="L21" s="10">
        <f t="shared" ca="1" si="0"/>
        <v>25</v>
      </c>
      <c r="M21" s="10">
        <f t="shared" ca="1" si="0"/>
        <v>56</v>
      </c>
      <c r="N21" s="10" t="str">
        <f>LOOKUP(F21,Справочники!$F$2:$F$10,Справочники!$H$2:$H$10)</f>
        <v>+7(8332)64-32-18</v>
      </c>
    </row>
    <row r="22" spans="1:14" ht="15" hidden="1" x14ac:dyDescent="0.25">
      <c r="A22" s="10">
        <v>121</v>
      </c>
      <c r="B22" s="12" t="s">
        <v>120</v>
      </c>
      <c r="C22" s="12" t="s">
        <v>75</v>
      </c>
      <c r="D22" s="12" t="s">
        <v>79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36</v>
      </c>
      <c r="H22" s="16">
        <f>LOOKUP(G22,Справочники!$B$2:$B$35,Справочники!$C$2:$C$35)</f>
        <v>14000</v>
      </c>
      <c r="I22" s="6" t="s">
        <v>12</v>
      </c>
      <c r="J22" s="11">
        <v>39845</v>
      </c>
      <c r="K22" s="11">
        <v>31391</v>
      </c>
      <c r="L22" s="10">
        <f t="shared" ca="1" si="0"/>
        <v>13</v>
      </c>
      <c r="M22" s="10">
        <f t="shared" ca="1" si="0"/>
        <v>36</v>
      </c>
      <c r="N22" s="10" t="str">
        <f>LOOKUP(F22,Справочники!$F$2:$F$10,Справочники!$H$2:$H$10)</f>
        <v>+7(8332)64-32-18</v>
      </c>
    </row>
    <row r="23" spans="1:14" ht="15" hidden="1" x14ac:dyDescent="0.25">
      <c r="A23" s="10">
        <v>122</v>
      </c>
      <c r="B23" s="12" t="s">
        <v>121</v>
      </c>
      <c r="C23" s="12" t="s">
        <v>122</v>
      </c>
      <c r="D23" s="12" t="s">
        <v>96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37</v>
      </c>
      <c r="H23" s="16">
        <f>LOOKUP(G23,Справочники!$B$2:$B$35,Справочники!$C$2:$C$35)</f>
        <v>14000</v>
      </c>
      <c r="I23" s="6" t="s">
        <v>12</v>
      </c>
      <c r="J23" s="11">
        <v>36427</v>
      </c>
      <c r="K23" s="11">
        <v>24846</v>
      </c>
      <c r="L23" s="10">
        <f t="shared" ca="1" si="0"/>
        <v>23</v>
      </c>
      <c r="M23" s="10">
        <f t="shared" ca="1" si="0"/>
        <v>54</v>
      </c>
      <c r="N23" s="10" t="str">
        <f>LOOKUP(F23,Справочники!$F$2:$F$10,Справочники!$H$2:$H$10)</f>
        <v>+7(8332)64-32-18</v>
      </c>
    </row>
    <row r="24" spans="1:14" ht="15" hidden="1" x14ac:dyDescent="0.25">
      <c r="A24" s="10">
        <v>123</v>
      </c>
      <c r="B24" s="12" t="s">
        <v>123</v>
      </c>
      <c r="C24" s="12" t="s">
        <v>114</v>
      </c>
      <c r="D24" s="12" t="s">
        <v>103</v>
      </c>
      <c r="E24" s="10" t="s">
        <v>9</v>
      </c>
      <c r="F24" s="10" t="str">
        <f>LOOKUP(G24,Справочники!$B$2:$B$35,Справочники!$A$2:$A$35)</f>
        <v>Технологический отдел</v>
      </c>
      <c r="G24" s="6" t="s">
        <v>34</v>
      </c>
      <c r="H24" s="16">
        <f>LOOKUP(G24,Справочники!$B$2:$B$35,Справочники!$C$2:$C$35)</f>
        <v>12000</v>
      </c>
      <c r="I24" s="6" t="s">
        <v>14</v>
      </c>
      <c r="J24" s="11">
        <v>35290</v>
      </c>
      <c r="K24" s="11">
        <v>22280</v>
      </c>
      <c r="L24" s="10">
        <f t="shared" ca="1" si="0"/>
        <v>26</v>
      </c>
      <c r="M24" s="10">
        <f t="shared" ca="1" si="0"/>
        <v>61</v>
      </c>
      <c r="N24" s="10" t="str">
        <f>LOOKUP(F24,Справочники!$F$2:$F$10,Справочники!$H$2:$H$10)</f>
        <v>+7(8332)64-32-18</v>
      </c>
    </row>
    <row r="25" spans="1:14" ht="15" hidden="1" x14ac:dyDescent="0.25">
      <c r="A25" s="10">
        <v>124</v>
      </c>
      <c r="B25" s="12" t="s">
        <v>124</v>
      </c>
      <c r="C25" s="12" t="s">
        <v>125</v>
      </c>
      <c r="D25" s="12" t="s">
        <v>96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32</v>
      </c>
      <c r="H25" s="16">
        <f>LOOKUP(G25,Справочники!$B$2:$B$35,Справочники!$C$2:$C$35)</f>
        <v>15000</v>
      </c>
      <c r="I25" s="6" t="s">
        <v>33</v>
      </c>
      <c r="J25" s="11">
        <v>35451</v>
      </c>
      <c r="K25" s="11">
        <v>27551</v>
      </c>
      <c r="L25" s="10">
        <f t="shared" ca="1" si="0"/>
        <v>25</v>
      </c>
      <c r="M25" s="10">
        <f t="shared" ca="1" si="0"/>
        <v>47</v>
      </c>
      <c r="N25" s="10" t="str">
        <f>LOOKUP(F25,Справочники!$F$2:$F$10,Справочники!$H$2:$H$10)</f>
        <v>+7(8332)64-32-18</v>
      </c>
    </row>
    <row r="26" spans="1:14" ht="15" hidden="1" x14ac:dyDescent="0.25">
      <c r="A26" s="10">
        <v>125</v>
      </c>
      <c r="B26" s="12" t="s">
        <v>126</v>
      </c>
      <c r="C26" s="12" t="s">
        <v>98</v>
      </c>
      <c r="D26" s="12" t="s">
        <v>127</v>
      </c>
      <c r="E26" s="10" t="s">
        <v>9</v>
      </c>
      <c r="F26" s="10" t="str">
        <f>LOOKUP(G26,Справочники!$B$2:$B$35,Справочники!$A$2:$A$35)</f>
        <v>Технологический отдел</v>
      </c>
      <c r="G26" s="6" t="s">
        <v>34</v>
      </c>
      <c r="H26" s="16">
        <f>LOOKUP(G26,Справочники!$B$2:$B$35,Справочники!$C$2:$C$35)</f>
        <v>12000</v>
      </c>
      <c r="I26" s="6" t="s">
        <v>33</v>
      </c>
      <c r="J26" s="11">
        <v>35290</v>
      </c>
      <c r="K26" s="11">
        <v>22065</v>
      </c>
      <c r="L26" s="10">
        <f t="shared" ca="1" si="0"/>
        <v>26</v>
      </c>
      <c r="M26" s="10">
        <f t="shared" ca="1" si="0"/>
        <v>62</v>
      </c>
      <c r="N26" s="10" t="str">
        <f>LOOKUP(F26,Справочники!$F$2:$F$10,Справочники!$H$2:$H$10)</f>
        <v>+7(8332)64-32-18</v>
      </c>
    </row>
    <row r="27" spans="1:14" ht="15" hidden="1" x14ac:dyDescent="0.25">
      <c r="A27" s="10">
        <v>126</v>
      </c>
      <c r="B27" s="12" t="s">
        <v>128</v>
      </c>
      <c r="C27" s="12" t="s">
        <v>129</v>
      </c>
      <c r="D27" s="12" t="s">
        <v>101</v>
      </c>
      <c r="E27" s="10" t="s">
        <v>17</v>
      </c>
      <c r="F27" s="10" t="str">
        <f>LOOKUP(G27,Справочники!$B$2:$B$35,Справочники!$A$2:$A$35)</f>
        <v>Рекламный отдел</v>
      </c>
      <c r="G27" s="6" t="s">
        <v>27</v>
      </c>
      <c r="H27" s="16">
        <f>LOOKUP(G27,Справочники!$B$2:$B$35,Справочники!$C$2:$C$35)</f>
        <v>22000</v>
      </c>
      <c r="I27" s="6" t="s">
        <v>14</v>
      </c>
      <c r="J27" s="11">
        <v>40321</v>
      </c>
      <c r="K27" s="11">
        <v>30232</v>
      </c>
      <c r="L27" s="10">
        <f t="shared" ca="1" si="0"/>
        <v>12</v>
      </c>
      <c r="M27" s="10">
        <f t="shared" ca="1" si="0"/>
        <v>40</v>
      </c>
      <c r="N27" s="10" t="str">
        <f>LOOKUP(F27,Справочники!$F$2:$F$10,Справочники!$H$2:$H$10)</f>
        <v>+7(8332)64-32-01</v>
      </c>
    </row>
    <row r="28" spans="1:14" ht="15" hidden="1" x14ac:dyDescent="0.25">
      <c r="A28" s="10">
        <v>127</v>
      </c>
      <c r="B28" s="12" t="s">
        <v>130</v>
      </c>
      <c r="C28" s="12" t="s">
        <v>131</v>
      </c>
      <c r="D28" s="12" t="s">
        <v>132</v>
      </c>
      <c r="E28" s="10" t="s">
        <v>17</v>
      </c>
      <c r="F28" s="10" t="str">
        <f>LOOKUP(G28,Справочники!$B$2:$B$35,Справочники!$A$2:$A$35)</f>
        <v>Технологический отдел</v>
      </c>
      <c r="G28" s="6" t="s">
        <v>38</v>
      </c>
      <c r="H28" s="16">
        <f>LOOKUP(G28,Справочники!$B$2:$B$35,Справочники!$C$2:$C$35)</f>
        <v>20000</v>
      </c>
      <c r="I28" s="6" t="s">
        <v>14</v>
      </c>
      <c r="J28" s="11">
        <v>40810</v>
      </c>
      <c r="K28" s="11">
        <v>31390</v>
      </c>
      <c r="L28" s="10">
        <f t="shared" ca="1" si="0"/>
        <v>11</v>
      </c>
      <c r="M28" s="10">
        <f t="shared" ca="1" si="0"/>
        <v>36</v>
      </c>
      <c r="N28" s="10" t="str">
        <f>LOOKUP(F28,Справочники!$F$2:$F$10,Справочники!$H$2:$H$10)</f>
        <v>+7(8332)64-32-18</v>
      </c>
    </row>
    <row r="29" spans="1:14" ht="15" hidden="1" x14ac:dyDescent="0.25">
      <c r="A29" s="10">
        <v>128</v>
      </c>
      <c r="B29" s="12" t="s">
        <v>133</v>
      </c>
      <c r="C29" s="12" t="s">
        <v>90</v>
      </c>
      <c r="D29" s="12" t="s">
        <v>132</v>
      </c>
      <c r="E29" s="10" t="s">
        <v>17</v>
      </c>
      <c r="F29" s="10" t="str">
        <f>LOOKUP(G29,Справочники!$B$2:$B$35,Справочники!$A$2:$A$35)</f>
        <v>Рекламный отдел</v>
      </c>
      <c r="G29" s="6" t="s">
        <v>39</v>
      </c>
      <c r="H29" s="16">
        <f>LOOKUP(G29,Справочники!$B$2:$B$35,Справочники!$C$2:$C$35)</f>
        <v>18000</v>
      </c>
      <c r="I29" s="6" t="s">
        <v>12</v>
      </c>
      <c r="J29" s="11">
        <v>42260</v>
      </c>
      <c r="K29" s="11">
        <v>32292</v>
      </c>
      <c r="L29" s="10">
        <f t="shared" ca="1" si="0"/>
        <v>7</v>
      </c>
      <c r="M29" s="10">
        <f t="shared" ca="1" si="0"/>
        <v>34</v>
      </c>
      <c r="N29" s="10" t="str">
        <f>LOOKUP(F29,Справочники!$F$2:$F$10,Справочники!$H$2:$H$10)</f>
        <v>+7(8332)64-32-01</v>
      </c>
    </row>
    <row r="30" spans="1:14" ht="15" hidden="1" x14ac:dyDescent="0.25">
      <c r="A30" s="10">
        <v>129</v>
      </c>
      <c r="B30" s="12" t="s">
        <v>134</v>
      </c>
      <c r="C30" s="12" t="s">
        <v>135</v>
      </c>
      <c r="D30" s="12" t="s">
        <v>136</v>
      </c>
      <c r="E30" s="10" t="s">
        <v>17</v>
      </c>
      <c r="F30" s="10" t="str">
        <f>LOOKUP(G30,Справочники!$B$2:$B$35,Справочники!$A$2:$A$35)</f>
        <v>Рекламный отдел</v>
      </c>
      <c r="G30" s="6" t="s">
        <v>40</v>
      </c>
      <c r="H30" s="16">
        <f>LOOKUP(G30,Справочники!$B$2:$B$35,Справочники!$C$2:$C$35)</f>
        <v>15000</v>
      </c>
      <c r="I30" s="6" t="s">
        <v>14</v>
      </c>
      <c r="J30" s="11">
        <v>41972</v>
      </c>
      <c r="K30" s="11">
        <v>33851</v>
      </c>
      <c r="L30" s="10">
        <f t="shared" ca="1" si="0"/>
        <v>7</v>
      </c>
      <c r="M30" s="10">
        <f t="shared" ca="1" si="0"/>
        <v>30</v>
      </c>
      <c r="N30" s="10" t="str">
        <f>LOOKUP(F30,Справочники!$F$2:$F$10,Справочники!$H$2:$H$10)</f>
        <v>+7(8332)64-32-01</v>
      </c>
    </row>
    <row r="31" spans="1:14" ht="15" hidden="1" x14ac:dyDescent="0.25">
      <c r="A31" s="10">
        <v>130</v>
      </c>
      <c r="B31" s="12" t="s">
        <v>137</v>
      </c>
      <c r="C31" s="12" t="s">
        <v>138</v>
      </c>
      <c r="D31" s="12" t="s">
        <v>139</v>
      </c>
      <c r="E31" s="10" t="s">
        <v>9</v>
      </c>
      <c r="F31" s="10" t="str">
        <f>LOOKUP(G31,Справочники!$B$2:$B$35,Справочники!$A$2:$A$35)</f>
        <v>Управление</v>
      </c>
      <c r="G31" s="6" t="s">
        <v>20</v>
      </c>
      <c r="H31" s="16">
        <f>LOOKUP(G31,Справочники!$B$2:$B$35,Справочники!$C$2:$C$35)</f>
        <v>15000</v>
      </c>
      <c r="I31" s="6" t="s">
        <v>25</v>
      </c>
      <c r="J31" s="11">
        <v>42765</v>
      </c>
      <c r="K31" s="11">
        <v>34714</v>
      </c>
      <c r="L31" s="10">
        <f t="shared" ca="1" si="0"/>
        <v>5</v>
      </c>
      <c r="M31" s="10">
        <f t="shared" ca="1" si="0"/>
        <v>27</v>
      </c>
      <c r="N31" s="10" t="str">
        <f>LOOKUP(F31,Справочники!$F$2:$F$10,Справочники!$H$2:$H$10)</f>
        <v>+7(8332)64-32-18</v>
      </c>
    </row>
    <row r="32" spans="1:14" ht="15" hidden="1" x14ac:dyDescent="0.25">
      <c r="A32" s="10">
        <v>131</v>
      </c>
      <c r="B32" s="12" t="s">
        <v>140</v>
      </c>
      <c r="C32" s="12" t="s">
        <v>141</v>
      </c>
      <c r="D32" s="12" t="s">
        <v>142</v>
      </c>
      <c r="E32" s="10" t="s">
        <v>17</v>
      </c>
      <c r="F32" s="10" t="str">
        <f>LOOKUP(G32,Справочники!$B$2:$B$35,Справочники!$A$2:$A$35)</f>
        <v>Рекламный отдел</v>
      </c>
      <c r="G32" s="6" t="s">
        <v>27</v>
      </c>
      <c r="H32" s="16">
        <f>LOOKUP(G32,Справочники!$B$2:$B$35,Справочники!$C$2:$C$35)</f>
        <v>22000</v>
      </c>
      <c r="I32" s="6" t="s">
        <v>14</v>
      </c>
      <c r="J32" s="11">
        <v>39459</v>
      </c>
      <c r="K32" s="11">
        <v>27953</v>
      </c>
      <c r="L32" s="10">
        <f t="shared" ca="1" si="0"/>
        <v>14</v>
      </c>
      <c r="M32" s="10">
        <f t="shared" ca="1" si="0"/>
        <v>46</v>
      </c>
      <c r="N32" s="10" t="str">
        <f>LOOKUP(F32,Справочники!$F$2:$F$10,Справочники!$H$2:$H$10)</f>
        <v>+7(8332)64-32-01</v>
      </c>
    </row>
    <row r="33" spans="1:14" ht="15" hidden="1" x14ac:dyDescent="0.25">
      <c r="A33" s="10">
        <v>132</v>
      </c>
      <c r="B33" s="12" t="s">
        <v>143</v>
      </c>
      <c r="C33" s="12" t="s">
        <v>141</v>
      </c>
      <c r="D33" s="12" t="s">
        <v>85</v>
      </c>
      <c r="E33" s="10" t="s">
        <v>17</v>
      </c>
      <c r="F33" s="10" t="str">
        <f>LOOKUP(G33,Справочники!$B$2:$B$35,Справочники!$A$2:$A$35)</f>
        <v>Отдел продаж</v>
      </c>
      <c r="G33" s="6" t="s">
        <v>42</v>
      </c>
      <c r="H33" s="16">
        <f>LOOKUP(G33,Справочники!$B$2:$B$35,Справочники!$C$2:$C$35)</f>
        <v>15000</v>
      </c>
      <c r="I33" s="6" t="s">
        <v>12</v>
      </c>
      <c r="J33" s="11">
        <v>41306</v>
      </c>
      <c r="K33" s="11">
        <v>33115</v>
      </c>
      <c r="L33" s="10">
        <f t="shared" ca="1" si="0"/>
        <v>9</v>
      </c>
      <c r="M33" s="10">
        <f t="shared" ca="1" si="0"/>
        <v>32</v>
      </c>
      <c r="N33" s="10" t="str">
        <f>LOOKUP(F33,Справочники!$F$2:$F$10,Справочники!$H$2:$H$10)</f>
        <v>+7(8332)64-32-01</v>
      </c>
    </row>
    <row r="34" spans="1:14" ht="15" hidden="1" x14ac:dyDescent="0.25">
      <c r="A34" s="10">
        <v>133</v>
      </c>
      <c r="B34" s="12" t="s">
        <v>144</v>
      </c>
      <c r="C34" s="12" t="s">
        <v>84</v>
      </c>
      <c r="D34" s="12" t="s">
        <v>145</v>
      </c>
      <c r="E34" s="10" t="s">
        <v>17</v>
      </c>
      <c r="F34" s="10" t="str">
        <f>LOOKUP(G34,Справочники!$B$2:$B$35,Справочники!$A$2:$A$35)</f>
        <v>Рекламный отдел</v>
      </c>
      <c r="G34" s="6" t="s">
        <v>40</v>
      </c>
      <c r="H34" s="16">
        <f>LOOKUP(G34,Справочники!$B$2:$B$35,Справочники!$C$2:$C$35)</f>
        <v>15000</v>
      </c>
      <c r="I34" s="6" t="s">
        <v>14</v>
      </c>
      <c r="J34" s="11">
        <v>41782</v>
      </c>
      <c r="K34" s="11">
        <v>33871</v>
      </c>
      <c r="L34" s="10">
        <f t="shared" ca="1" si="0"/>
        <v>8</v>
      </c>
      <c r="M34" s="10">
        <f t="shared" ca="1" si="0"/>
        <v>30</v>
      </c>
      <c r="N34" s="10" t="str">
        <f>LOOKUP(F34,Справочники!$F$2:$F$10,Справочники!$H$2:$H$10)</f>
        <v>+7(8332)64-32-01</v>
      </c>
    </row>
    <row r="35" spans="1:14" ht="15" hidden="1" x14ac:dyDescent="0.25">
      <c r="A35" s="10">
        <v>134</v>
      </c>
      <c r="B35" s="12" t="s">
        <v>146</v>
      </c>
      <c r="C35" s="12" t="s">
        <v>147</v>
      </c>
      <c r="D35" s="12" t="s">
        <v>148</v>
      </c>
      <c r="E35" s="10" t="s">
        <v>9</v>
      </c>
      <c r="F35" s="10" t="str">
        <f>LOOKUP(G35,Справочники!$B$2:$B$35,Справочники!$A$2:$A$35)</f>
        <v>Технологический отдел</v>
      </c>
      <c r="G35" s="6" t="s">
        <v>38</v>
      </c>
      <c r="H35" s="16">
        <f>LOOKUP(G35,Справочники!$B$2:$B$35,Справочники!$C$2:$C$35)</f>
        <v>20000</v>
      </c>
      <c r="I35" s="6" t="s">
        <v>14</v>
      </c>
      <c r="J35" s="11">
        <v>35208</v>
      </c>
      <c r="K35" s="11">
        <v>25186</v>
      </c>
      <c r="L35" s="10">
        <f t="shared" ca="1" si="0"/>
        <v>26</v>
      </c>
      <c r="M35" s="10">
        <f t="shared" ca="1" si="0"/>
        <v>53</v>
      </c>
      <c r="N35" s="10" t="str">
        <f>LOOKUP(F35,Справочники!$F$2:$F$10,Справочники!$H$2:$H$10)</f>
        <v>+7(8332)64-32-18</v>
      </c>
    </row>
    <row r="36" spans="1:14" ht="15" hidden="1" x14ac:dyDescent="0.25">
      <c r="A36" s="10">
        <v>135</v>
      </c>
      <c r="B36" s="12" t="s">
        <v>149</v>
      </c>
      <c r="C36" s="12" t="s">
        <v>75</v>
      </c>
      <c r="D36" s="12" t="s">
        <v>96</v>
      </c>
      <c r="E36" s="10" t="s">
        <v>9</v>
      </c>
      <c r="F36" s="10" t="str">
        <f>LOOKUP(G36,Справочники!$B$2:$B$35,Справочники!$A$2:$A$35)</f>
        <v>Технологический отдел</v>
      </c>
      <c r="G36" s="6" t="s">
        <v>38</v>
      </c>
      <c r="H36" s="16">
        <f>LOOKUP(G36,Справочники!$B$2:$B$35,Справочники!$C$2:$C$35)</f>
        <v>20000</v>
      </c>
      <c r="I36" s="6" t="s">
        <v>25</v>
      </c>
      <c r="J36" s="11">
        <v>35290</v>
      </c>
      <c r="K36" s="11">
        <v>23891</v>
      </c>
      <c r="L36" s="10">
        <f t="shared" ca="1" si="0"/>
        <v>26</v>
      </c>
      <c r="M36" s="10">
        <f t="shared" ca="1" si="0"/>
        <v>57</v>
      </c>
      <c r="N36" s="10" t="str">
        <f>LOOKUP(F36,Справочники!$F$2:$F$10,Справочники!$H$2:$H$10)</f>
        <v>+7(8332)64-32-18</v>
      </c>
    </row>
    <row r="37" spans="1:14" ht="15" hidden="1" x14ac:dyDescent="0.25">
      <c r="A37" s="10">
        <v>136</v>
      </c>
      <c r="B37" s="12" t="s">
        <v>150</v>
      </c>
      <c r="C37" s="12" t="s">
        <v>151</v>
      </c>
      <c r="D37" s="12" t="s">
        <v>152</v>
      </c>
      <c r="E37" s="10" t="s">
        <v>9</v>
      </c>
      <c r="F37" s="10" t="str">
        <f>LOOKUP(G37,Справочники!$B$2:$B$35,Справочники!$A$2:$A$35)</f>
        <v>Рекламный отдел</v>
      </c>
      <c r="G37" s="6" t="s">
        <v>27</v>
      </c>
      <c r="H37" s="16">
        <f>LOOKUP(G37,Справочники!$B$2:$B$35,Справочники!$C$2:$C$35)</f>
        <v>22000</v>
      </c>
      <c r="I37" s="6" t="s">
        <v>25</v>
      </c>
      <c r="J37" s="11">
        <v>39479</v>
      </c>
      <c r="K37" s="11">
        <v>27737</v>
      </c>
      <c r="L37" s="10">
        <f t="shared" ca="1" si="0"/>
        <v>14</v>
      </c>
      <c r="M37" s="10">
        <f t="shared" ca="1" si="0"/>
        <v>46</v>
      </c>
      <c r="N37" s="10" t="str">
        <f>LOOKUP(F37,Справочники!$F$2:$F$10,Справочники!$H$2:$H$10)</f>
        <v>+7(8332)64-32-01</v>
      </c>
    </row>
    <row r="38" spans="1:14" ht="15" hidden="1" x14ac:dyDescent="0.25">
      <c r="A38" s="10">
        <v>137</v>
      </c>
      <c r="B38" s="12" t="s">
        <v>153</v>
      </c>
      <c r="C38" s="12" t="s">
        <v>114</v>
      </c>
      <c r="D38" s="12" t="s">
        <v>154</v>
      </c>
      <c r="E38" s="10" t="s">
        <v>9</v>
      </c>
      <c r="F38" s="10" t="str">
        <f>LOOKUP(G38,Справочники!$B$2:$B$35,Справочники!$A$2:$A$35)</f>
        <v>Управление</v>
      </c>
      <c r="G38" s="6" t="s">
        <v>20</v>
      </c>
      <c r="H38" s="16">
        <f>LOOKUP(G38,Справочники!$B$2:$B$35,Справочники!$C$2:$C$35)</f>
        <v>15000</v>
      </c>
      <c r="I38" s="6" t="s">
        <v>25</v>
      </c>
      <c r="J38" s="11">
        <v>42271</v>
      </c>
      <c r="K38" s="11">
        <v>33851</v>
      </c>
      <c r="L38" s="10">
        <f t="shared" ca="1" si="0"/>
        <v>7</v>
      </c>
      <c r="M38" s="10">
        <f t="shared" ca="1" si="0"/>
        <v>30</v>
      </c>
      <c r="N38" s="10" t="str">
        <f>LOOKUP(F38,Справочники!$F$2:$F$10,Справочники!$H$2:$H$10)</f>
        <v>+7(8332)64-32-18</v>
      </c>
    </row>
    <row r="39" spans="1:14" ht="15" hidden="1" x14ac:dyDescent="0.25">
      <c r="A39" s="10">
        <v>138</v>
      </c>
      <c r="B39" s="12" t="s">
        <v>155</v>
      </c>
      <c r="C39" s="12" t="s">
        <v>108</v>
      </c>
      <c r="D39" s="12" t="s">
        <v>156</v>
      </c>
      <c r="E39" s="10" t="s">
        <v>9</v>
      </c>
      <c r="F39" s="10" t="str">
        <f>LOOKUP(G39,Справочники!$B$2:$B$35,Справочники!$A$2:$A$35)</f>
        <v>Отдел худ. оформления</v>
      </c>
      <c r="G39" s="6" t="s">
        <v>44</v>
      </c>
      <c r="H39" s="16">
        <f>LOOKUP(G39,Справочники!$B$2:$B$35,Справочники!$C$2:$C$35)</f>
        <v>18000</v>
      </c>
      <c r="I39" s="6" t="s">
        <v>14</v>
      </c>
      <c r="J39" s="11">
        <v>34380</v>
      </c>
      <c r="K39" s="11">
        <v>23757</v>
      </c>
      <c r="L39" s="10">
        <f t="shared" ca="1" si="0"/>
        <v>28</v>
      </c>
      <c r="M39" s="10">
        <f t="shared" ca="1" si="0"/>
        <v>57</v>
      </c>
      <c r="N39" s="10" t="str">
        <f>LOOKUP(F39,Справочники!$F$2:$F$10,Справочники!$H$2:$H$10)</f>
        <v>+7(8332)64-32-01</v>
      </c>
    </row>
    <row r="40" spans="1:14" ht="15" hidden="1" x14ac:dyDescent="0.25">
      <c r="A40" s="10">
        <v>139</v>
      </c>
      <c r="B40" s="12" t="s">
        <v>157</v>
      </c>
      <c r="C40" s="12" t="s">
        <v>158</v>
      </c>
      <c r="D40" s="12" t="s">
        <v>159</v>
      </c>
      <c r="E40" s="10" t="s">
        <v>9</v>
      </c>
      <c r="F40" s="10" t="str">
        <f>LOOKUP(G40,Справочники!$B$2:$B$35,Справочники!$A$2:$A$35)</f>
        <v>Управление</v>
      </c>
      <c r="G40" s="6" t="s">
        <v>20</v>
      </c>
      <c r="H40" s="16">
        <f>LOOKUP(G40,Справочники!$B$2:$B$35,Справочники!$C$2:$C$35)</f>
        <v>15000</v>
      </c>
      <c r="I40" s="6" t="s">
        <v>12</v>
      </c>
      <c r="J40" s="11">
        <v>41697</v>
      </c>
      <c r="K40" s="11">
        <v>33022</v>
      </c>
      <c r="L40" s="10">
        <f t="shared" ca="1" si="0"/>
        <v>8</v>
      </c>
      <c r="M40" s="10">
        <f t="shared" ca="1" si="0"/>
        <v>32</v>
      </c>
      <c r="N40" s="10" t="str">
        <f>LOOKUP(F40,Справочники!$F$2:$F$10,Справочники!$H$2:$H$10)</f>
        <v>+7(8332)64-32-18</v>
      </c>
    </row>
    <row r="41" spans="1:14" ht="15" hidden="1" x14ac:dyDescent="0.25">
      <c r="A41" s="10">
        <v>140</v>
      </c>
      <c r="B41" s="12" t="s">
        <v>160</v>
      </c>
      <c r="C41" s="12" t="s">
        <v>161</v>
      </c>
      <c r="D41" s="12" t="s">
        <v>162</v>
      </c>
      <c r="E41" s="10" t="s">
        <v>9</v>
      </c>
      <c r="F41" s="10" t="str">
        <f>LOOKUP(G41,Справочники!$B$2:$B$35,Справочники!$A$2:$A$35)</f>
        <v>Рекламный отдел</v>
      </c>
      <c r="G41" s="6" t="s">
        <v>40</v>
      </c>
      <c r="H41" s="16">
        <f>LOOKUP(G41,Справочники!$B$2:$B$35,Справочники!$C$2:$C$35)</f>
        <v>15000</v>
      </c>
      <c r="I41" s="6" t="s">
        <v>25</v>
      </c>
      <c r="J41" s="11">
        <v>39641</v>
      </c>
      <c r="K41" s="11">
        <v>29284</v>
      </c>
      <c r="L41" s="10">
        <f t="shared" ca="1" si="0"/>
        <v>14</v>
      </c>
      <c r="M41" s="10">
        <f t="shared" ca="1" si="0"/>
        <v>42</v>
      </c>
      <c r="N41" s="10" t="str">
        <f>LOOKUP(F41,Справочники!$F$2:$F$10,Справочники!$H$2:$H$10)</f>
        <v>+7(8332)64-32-01</v>
      </c>
    </row>
    <row r="42" spans="1:14" ht="15" hidden="1" x14ac:dyDescent="0.25">
      <c r="A42" s="10">
        <v>141</v>
      </c>
      <c r="B42" s="12" t="s">
        <v>163</v>
      </c>
      <c r="C42" s="12" t="s">
        <v>164</v>
      </c>
      <c r="D42" s="12" t="s">
        <v>93</v>
      </c>
      <c r="E42" s="10" t="s">
        <v>17</v>
      </c>
      <c r="F42" s="10" t="str">
        <f>LOOKUP(G42,Справочники!$B$2:$B$35,Справочники!$A$2:$A$35)</f>
        <v>Отдел худ. оформления</v>
      </c>
      <c r="G42" s="6" t="s">
        <v>44</v>
      </c>
      <c r="H42" s="16">
        <f>LOOKUP(G42,Справочники!$B$2:$B$35,Справочники!$C$2:$C$35)</f>
        <v>18000</v>
      </c>
      <c r="I42" s="6" t="s">
        <v>14</v>
      </c>
      <c r="J42" s="11">
        <v>35290</v>
      </c>
      <c r="K42" s="11">
        <v>27405</v>
      </c>
      <c r="L42" s="10">
        <f t="shared" ca="1" si="0"/>
        <v>26</v>
      </c>
      <c r="M42" s="10">
        <f t="shared" ca="1" si="0"/>
        <v>47</v>
      </c>
      <c r="N42" s="10" t="str">
        <f>LOOKUP(F42,Справочники!$F$2:$F$10,Справочники!$H$2:$H$10)</f>
        <v>+7(8332)64-32-01</v>
      </c>
    </row>
    <row r="43" spans="1:14" ht="15" hidden="1" x14ac:dyDescent="0.25">
      <c r="A43" s="10">
        <v>142</v>
      </c>
      <c r="B43" s="12" t="s">
        <v>165</v>
      </c>
      <c r="C43" s="12" t="s">
        <v>166</v>
      </c>
      <c r="D43" s="12" t="s">
        <v>127</v>
      </c>
      <c r="E43" s="10" t="s">
        <v>9</v>
      </c>
      <c r="F43" s="10" t="str">
        <f>LOOKUP(G43,Справочники!$B$2:$B$35,Справочники!$A$2:$A$35)</f>
        <v>Склад</v>
      </c>
      <c r="G43" s="6" t="s">
        <v>46</v>
      </c>
      <c r="H43" s="16">
        <f>LOOKUP(G43,Справочники!$B$2:$B$35,Справочники!$C$2:$C$35)</f>
        <v>15000</v>
      </c>
      <c r="I43" s="6" t="s">
        <v>33</v>
      </c>
      <c r="J43" s="11">
        <v>34955</v>
      </c>
      <c r="K43" s="11">
        <v>24134</v>
      </c>
      <c r="L43" s="10">
        <f t="shared" ca="1" si="0"/>
        <v>27</v>
      </c>
      <c r="M43" s="10">
        <f t="shared" ca="1" si="0"/>
        <v>56</v>
      </c>
      <c r="N43" s="10" t="str">
        <f>LOOKUP(F43,Справочники!$F$2:$F$10,Справочники!$H$2:$H$10)</f>
        <v>+7(8332)64-32-23</v>
      </c>
    </row>
    <row r="44" spans="1:14" ht="15" hidden="1" x14ac:dyDescent="0.25">
      <c r="A44" s="10">
        <v>143</v>
      </c>
      <c r="B44" s="12" t="s">
        <v>167</v>
      </c>
      <c r="C44" s="12" t="s">
        <v>168</v>
      </c>
      <c r="D44" s="12" t="s">
        <v>169</v>
      </c>
      <c r="E44" s="10" t="s">
        <v>17</v>
      </c>
      <c r="F44" s="10" t="str">
        <f>LOOKUP(G44,Справочники!$B$2:$B$35,Справочники!$A$2:$A$35)</f>
        <v>Склад</v>
      </c>
      <c r="G44" s="6" t="s">
        <v>47</v>
      </c>
      <c r="H44" s="16">
        <f>LOOKUP(G44,Справочники!$B$2:$B$35,Справочники!$C$2:$C$35)</f>
        <v>11000</v>
      </c>
      <c r="I44" s="6" t="s">
        <v>33</v>
      </c>
      <c r="J44" s="11">
        <v>42016</v>
      </c>
      <c r="K44" s="11">
        <v>30232</v>
      </c>
      <c r="L44" s="10">
        <f t="shared" ca="1" si="0"/>
        <v>7</v>
      </c>
      <c r="M44" s="10">
        <f t="shared" ca="1" si="0"/>
        <v>40</v>
      </c>
      <c r="N44" s="10" t="str">
        <f>LOOKUP(F44,Справочники!$F$2:$F$10,Справочники!$H$2:$H$10)</f>
        <v>+7(8332)64-32-23</v>
      </c>
    </row>
    <row r="45" spans="1:14" ht="15" hidden="1" x14ac:dyDescent="0.25">
      <c r="A45" s="10">
        <v>144</v>
      </c>
      <c r="B45" s="12" t="s">
        <v>170</v>
      </c>
      <c r="C45" s="12" t="s">
        <v>164</v>
      </c>
      <c r="D45" s="12" t="s">
        <v>171</v>
      </c>
      <c r="E45" s="10" t="s">
        <v>17</v>
      </c>
      <c r="F45" s="10" t="str">
        <f>LOOKUP(G45,Справочники!$B$2:$B$35,Справочники!$A$2:$A$35)</f>
        <v>Склад</v>
      </c>
      <c r="G45" s="6" t="s">
        <v>47</v>
      </c>
      <c r="H45" s="16">
        <f>LOOKUP(G45,Справочники!$B$2:$B$35,Справочники!$C$2:$C$35)</f>
        <v>11000</v>
      </c>
      <c r="I45" s="6" t="s">
        <v>33</v>
      </c>
      <c r="J45" s="11">
        <v>43115</v>
      </c>
      <c r="K45" s="11">
        <v>33207</v>
      </c>
      <c r="L45" s="10">
        <f t="shared" ca="1" si="0"/>
        <v>4</v>
      </c>
      <c r="M45" s="10">
        <f t="shared" ca="1" si="0"/>
        <v>31</v>
      </c>
      <c r="N45" s="10" t="str">
        <f>LOOKUP(F45,Справочники!$F$2:$F$10,Справочники!$H$2:$H$10)</f>
        <v>+7(8332)64-32-23</v>
      </c>
    </row>
    <row r="46" spans="1:14" ht="15" hidden="1" x14ac:dyDescent="0.25">
      <c r="A46" s="10">
        <v>145</v>
      </c>
      <c r="B46" s="12" t="s">
        <v>172</v>
      </c>
      <c r="C46" s="12" t="s">
        <v>131</v>
      </c>
      <c r="D46" s="12" t="s">
        <v>145</v>
      </c>
      <c r="E46" s="10" t="s">
        <v>17</v>
      </c>
      <c r="F46" s="10" t="str">
        <f>LOOKUP(G46,Справочники!$B$2:$B$35,Справочники!$A$2:$A$35)</f>
        <v>Склад</v>
      </c>
      <c r="G46" s="6" t="s">
        <v>48</v>
      </c>
      <c r="H46" s="16">
        <f>LOOKUP(G46,Справочники!$B$2:$B$35,Справочники!$C$2:$C$35)</f>
        <v>22000</v>
      </c>
      <c r="I46" s="6" t="s">
        <v>25</v>
      </c>
      <c r="J46" s="11">
        <v>34788</v>
      </c>
      <c r="K46" s="11">
        <v>25204</v>
      </c>
      <c r="L46" s="10">
        <f t="shared" ca="1" si="0"/>
        <v>27</v>
      </c>
      <c r="M46" s="10">
        <f t="shared" ca="1" si="0"/>
        <v>53</v>
      </c>
      <c r="N46" s="10" t="str">
        <f>LOOKUP(F46,Справочники!$F$2:$F$10,Справочники!$H$2:$H$10)</f>
        <v>+7(8332)64-32-23</v>
      </c>
    </row>
    <row r="47" spans="1:14" ht="15" hidden="1" x14ac:dyDescent="0.25">
      <c r="A47" s="10">
        <v>146</v>
      </c>
      <c r="B47" s="12" t="s">
        <v>173</v>
      </c>
      <c r="C47" s="12" t="s">
        <v>129</v>
      </c>
      <c r="D47" s="12" t="s">
        <v>174</v>
      </c>
      <c r="E47" s="10" t="s">
        <v>17</v>
      </c>
      <c r="F47" s="10" t="str">
        <f>LOOKUP(G47,Справочники!$B$2:$B$35,Справочники!$A$2:$A$35)</f>
        <v>Склад</v>
      </c>
      <c r="G47" s="6" t="s">
        <v>46</v>
      </c>
      <c r="H47" s="16">
        <f>LOOKUP(G47,Справочники!$B$2:$B$35,Справочники!$C$2:$C$35)</f>
        <v>15000</v>
      </c>
      <c r="I47" s="6" t="s">
        <v>33</v>
      </c>
      <c r="J47" s="11">
        <v>35032</v>
      </c>
      <c r="K47" s="11">
        <v>26821</v>
      </c>
      <c r="L47" s="10">
        <f t="shared" ca="1" si="0"/>
        <v>26</v>
      </c>
      <c r="M47" s="10">
        <f t="shared" ca="1" si="0"/>
        <v>49</v>
      </c>
      <c r="N47" s="10" t="str">
        <f>LOOKUP(F47,Справочники!$F$2:$F$10,Справочники!$H$2:$H$10)</f>
        <v>+7(8332)64-32-23</v>
      </c>
    </row>
    <row r="48" spans="1:14" ht="15" hidden="1" x14ac:dyDescent="0.25">
      <c r="A48" s="10">
        <v>147</v>
      </c>
      <c r="B48" s="12" t="s">
        <v>175</v>
      </c>
      <c r="C48" s="12" t="s">
        <v>176</v>
      </c>
      <c r="D48" s="12" t="s">
        <v>177</v>
      </c>
      <c r="E48" s="10" t="s">
        <v>17</v>
      </c>
      <c r="F48" s="10" t="str">
        <f>LOOKUP(G48,Справочники!$B$2:$B$35,Справочники!$A$2:$A$35)</f>
        <v>Склад</v>
      </c>
      <c r="G48" s="6" t="s">
        <v>47</v>
      </c>
      <c r="H48" s="16">
        <f>LOOKUP(G48,Справочники!$B$2:$B$35,Справочники!$C$2:$C$35)</f>
        <v>11000</v>
      </c>
      <c r="I48" s="6" t="s">
        <v>33</v>
      </c>
      <c r="J48" s="11">
        <v>42399</v>
      </c>
      <c r="K48" s="11">
        <v>33858</v>
      </c>
      <c r="L48" s="10">
        <f t="shared" ca="1" si="0"/>
        <v>6</v>
      </c>
      <c r="M48" s="10">
        <f t="shared" ca="1" si="0"/>
        <v>30</v>
      </c>
      <c r="N48" s="10" t="str">
        <f>LOOKUP(F48,Справочники!$F$2:$F$10,Справочники!$H$2:$H$10)</f>
        <v>+7(8332)64-32-23</v>
      </c>
    </row>
    <row r="49" spans="1:14" ht="15" hidden="1" x14ac:dyDescent="0.25">
      <c r="A49" s="10">
        <v>148</v>
      </c>
      <c r="B49" s="12" t="s">
        <v>178</v>
      </c>
      <c r="C49" s="12" t="s">
        <v>179</v>
      </c>
      <c r="D49" s="12" t="s">
        <v>101</v>
      </c>
      <c r="E49" s="10" t="s">
        <v>17</v>
      </c>
      <c r="F49" s="10" t="str">
        <f>LOOKUP(G49,Справочники!$B$2:$B$35,Справочники!$A$2:$A$35)</f>
        <v>Рекламный отдел</v>
      </c>
      <c r="G49" s="6" t="s">
        <v>27</v>
      </c>
      <c r="H49" s="16">
        <f>LOOKUP(G49,Справочники!$B$2:$B$35,Справочники!$C$2:$C$35)</f>
        <v>22000</v>
      </c>
      <c r="I49" s="6" t="s">
        <v>14</v>
      </c>
      <c r="J49" s="11">
        <v>43539</v>
      </c>
      <c r="K49" s="11">
        <v>27737</v>
      </c>
      <c r="L49" s="10">
        <f t="shared" ca="1" si="0"/>
        <v>3</v>
      </c>
      <c r="M49" s="10">
        <f t="shared" ca="1" si="0"/>
        <v>46</v>
      </c>
      <c r="N49" s="10" t="str">
        <f>LOOKUP(F49,Справочники!$F$2:$F$10,Справочники!$H$2:$H$10)</f>
        <v>+7(8332)64-32-01</v>
      </c>
    </row>
    <row r="50" spans="1:14" ht="15" hidden="1" x14ac:dyDescent="0.25">
      <c r="A50" s="10">
        <v>149</v>
      </c>
      <c r="B50" s="12" t="s">
        <v>180</v>
      </c>
      <c r="C50" s="12" t="s">
        <v>181</v>
      </c>
      <c r="D50" s="12" t="s">
        <v>132</v>
      </c>
      <c r="E50" s="10" t="s">
        <v>17</v>
      </c>
      <c r="F50" s="10" t="str">
        <f>LOOKUP(G50,Справочники!$B$2:$B$35,Справочники!$A$2:$A$35)</f>
        <v>Транспортный отдел</v>
      </c>
      <c r="G50" s="6" t="s">
        <v>50</v>
      </c>
      <c r="H50" s="16">
        <f>LOOKUP(G50,Справочники!$B$2:$B$35,Справочники!$C$2:$C$35)</f>
        <v>12000</v>
      </c>
      <c r="I50" s="6" t="s">
        <v>33</v>
      </c>
      <c r="J50" s="11">
        <v>34759</v>
      </c>
      <c r="K50" s="11">
        <v>25186</v>
      </c>
      <c r="L50" s="10">
        <f t="shared" ca="1" si="0"/>
        <v>27</v>
      </c>
      <c r="M50" s="10">
        <f t="shared" ca="1" si="0"/>
        <v>53</v>
      </c>
      <c r="N50" s="10" t="str">
        <f>LOOKUP(F50,Справочники!$F$2:$F$10,Справочники!$H$2:$H$10)</f>
        <v>+7(8332)64-32-18</v>
      </c>
    </row>
    <row r="51" spans="1:14" ht="15" hidden="1" x14ac:dyDescent="0.25">
      <c r="A51" s="10">
        <v>150</v>
      </c>
      <c r="B51" s="12" t="s">
        <v>182</v>
      </c>
      <c r="C51" s="12" t="s">
        <v>75</v>
      </c>
      <c r="D51" s="12" t="s">
        <v>76</v>
      </c>
      <c r="E51" s="10" t="s">
        <v>9</v>
      </c>
      <c r="F51" s="10" t="str">
        <f>LOOKUP(G51,Справочники!$B$2:$B$35,Справочники!$A$2:$A$35)</f>
        <v>Редакторский отдел</v>
      </c>
      <c r="G51" s="6" t="s">
        <v>52</v>
      </c>
      <c r="H51" s="16">
        <f>LOOKUP(G51,Справочники!$B$2:$B$35,Справочники!$C$2:$C$35)</f>
        <v>16000</v>
      </c>
      <c r="I51" s="6" t="s">
        <v>14</v>
      </c>
      <c r="J51" s="11">
        <v>34714</v>
      </c>
      <c r="K51" s="11">
        <v>22250</v>
      </c>
      <c r="L51" s="10">
        <f t="shared" ca="1" si="0"/>
        <v>27</v>
      </c>
      <c r="M51" s="10">
        <f t="shared" ca="1" si="0"/>
        <v>61</v>
      </c>
      <c r="N51" s="10" t="str">
        <f>LOOKUP(F51,Справочники!$F$2:$F$10,Справочники!$H$2:$H$10)</f>
        <v>+7(8332)64-32-01</v>
      </c>
    </row>
    <row r="52" spans="1:14" ht="15" x14ac:dyDescent="0.25">
      <c r="A52" s="10">
        <v>151</v>
      </c>
      <c r="B52" s="12" t="s">
        <v>183</v>
      </c>
      <c r="C52" s="12" t="s">
        <v>161</v>
      </c>
      <c r="D52" s="12" t="s">
        <v>184</v>
      </c>
      <c r="E52" s="10" t="s">
        <v>9</v>
      </c>
      <c r="F52" s="10" t="str">
        <f>LOOKUP(G52,Справочники!$B$2:$B$35,Справочники!$A$2:$A$35)</f>
        <v>Редакторский отдел</v>
      </c>
      <c r="G52" s="7" t="s">
        <v>53</v>
      </c>
      <c r="H52" s="16">
        <f>LOOKUP(G52,Справочники!$B$2:$B$35,Справочники!$C$2:$C$35)</f>
        <v>19000</v>
      </c>
      <c r="I52" s="6" t="s">
        <v>25</v>
      </c>
      <c r="J52" s="11">
        <v>35445</v>
      </c>
      <c r="K52" s="11">
        <v>26821</v>
      </c>
      <c r="L52" s="10">
        <f t="shared" ca="1" si="0"/>
        <v>25</v>
      </c>
      <c r="M52" s="10">
        <f t="shared" ca="1" si="0"/>
        <v>49</v>
      </c>
      <c r="N52" s="10" t="str">
        <f>LOOKUP(F52,Справочники!$F$2:$F$10,Справочники!$H$2:$H$10)</f>
        <v>+7(8332)64-32-01</v>
      </c>
    </row>
    <row r="53" spans="1:14" ht="15" hidden="1" x14ac:dyDescent="0.25">
      <c r="A53" s="10">
        <v>152</v>
      </c>
      <c r="B53" s="12" t="s">
        <v>185</v>
      </c>
      <c r="C53" s="12" t="s">
        <v>186</v>
      </c>
      <c r="D53" s="12" t="s">
        <v>76</v>
      </c>
      <c r="E53" s="10" t="s">
        <v>9</v>
      </c>
      <c r="F53" s="10" t="str">
        <f>LOOKUP(G53,Справочники!$B$2:$B$35,Справочники!$A$2:$A$35)</f>
        <v>Редакторский отдел</v>
      </c>
      <c r="G53" s="7" t="s">
        <v>54</v>
      </c>
      <c r="H53" s="16">
        <f>LOOKUP(G53,Справочники!$B$2:$B$35,Справочники!$C$2:$C$35)</f>
        <v>14000</v>
      </c>
      <c r="I53" s="6" t="s">
        <v>25</v>
      </c>
      <c r="J53" s="11">
        <v>40998</v>
      </c>
      <c r="K53" s="11">
        <v>30213</v>
      </c>
      <c r="L53" s="10">
        <f t="shared" ca="1" si="0"/>
        <v>10</v>
      </c>
      <c r="M53" s="10">
        <f t="shared" ca="1" si="0"/>
        <v>40</v>
      </c>
      <c r="N53" s="10" t="str">
        <f>LOOKUP(F53,Справочники!$F$2:$F$10,Справочники!$H$2:$H$10)</f>
        <v>+7(8332)64-32-01</v>
      </c>
    </row>
    <row r="54" spans="1:14" ht="15" hidden="1" x14ac:dyDescent="0.25">
      <c r="A54" s="10">
        <v>153</v>
      </c>
      <c r="B54" s="12" t="s">
        <v>187</v>
      </c>
      <c r="C54" s="12" t="s">
        <v>158</v>
      </c>
      <c r="D54" s="12" t="s">
        <v>111</v>
      </c>
      <c r="E54" s="10" t="s">
        <v>9</v>
      </c>
      <c r="F54" s="10" t="str">
        <f>LOOKUP(G54,Справочники!$B$2:$B$35,Справочники!$A$2:$A$35)</f>
        <v>Редакторский отдел</v>
      </c>
      <c r="G54" s="6" t="s">
        <v>52</v>
      </c>
      <c r="H54" s="16">
        <f>LOOKUP(G54,Справочники!$B$2:$B$35,Справочники!$C$2:$C$35)</f>
        <v>16000</v>
      </c>
      <c r="I54" s="6" t="s">
        <v>14</v>
      </c>
      <c r="J54" s="11">
        <v>36220</v>
      </c>
      <c r="K54" s="11">
        <v>26580</v>
      </c>
      <c r="L54" s="10">
        <f t="shared" ca="1" si="0"/>
        <v>23</v>
      </c>
      <c r="M54" s="10">
        <f t="shared" ca="1" si="0"/>
        <v>50</v>
      </c>
      <c r="N54" s="10" t="str">
        <f>LOOKUP(F54,Справочники!$F$2:$F$10,Справочники!$H$2:$H$10)</f>
        <v>+7(8332)64-32-01</v>
      </c>
    </row>
    <row r="55" spans="1:14" ht="15" hidden="1" x14ac:dyDescent="0.25">
      <c r="A55" s="10">
        <v>154</v>
      </c>
      <c r="B55" s="12" t="s">
        <v>188</v>
      </c>
      <c r="C55" s="12" t="s">
        <v>189</v>
      </c>
      <c r="D55" s="12" t="s">
        <v>162</v>
      </c>
      <c r="E55" s="10" t="s">
        <v>9</v>
      </c>
      <c r="F55" s="10" t="str">
        <f>LOOKUP(G55,Справочники!$B$2:$B$35,Справочники!$A$2:$A$35)</f>
        <v>Редакторский отдел</v>
      </c>
      <c r="G55" s="7" t="s">
        <v>54</v>
      </c>
      <c r="H55" s="16">
        <f>LOOKUP(G55,Справочники!$B$2:$B$35,Справочники!$C$2:$C$35)</f>
        <v>14000</v>
      </c>
      <c r="I55" s="6" t="s">
        <v>14</v>
      </c>
      <c r="J55" s="11">
        <v>35258</v>
      </c>
      <c r="K55" s="11">
        <v>21600</v>
      </c>
      <c r="L55" s="10">
        <f t="shared" ca="1" si="0"/>
        <v>26</v>
      </c>
      <c r="M55" s="10">
        <f t="shared" ca="1" si="0"/>
        <v>63</v>
      </c>
      <c r="N55" s="10" t="str">
        <f>LOOKUP(F55,Справочники!$F$2:$F$10,Справочники!$H$2:$H$10)</f>
        <v>+7(8332)64-32-01</v>
      </c>
    </row>
    <row r="56" spans="1:14" ht="15" hidden="1" x14ac:dyDescent="0.25">
      <c r="A56" s="10">
        <v>155</v>
      </c>
      <c r="B56" s="12" t="s">
        <v>190</v>
      </c>
      <c r="C56" s="12" t="s">
        <v>191</v>
      </c>
      <c r="D56" s="12" t="s">
        <v>192</v>
      </c>
      <c r="E56" s="10" t="s">
        <v>9</v>
      </c>
      <c r="F56" s="10" t="str">
        <f>LOOKUP(G56,Справочники!$B$2:$B$35,Справочники!$A$2:$A$35)</f>
        <v>Редакторский отдел</v>
      </c>
      <c r="G56" s="7" t="s">
        <v>55</v>
      </c>
      <c r="H56" s="16">
        <f>LOOKUP(G56,Справочники!$B$2:$B$35,Справочники!$C$2:$C$35)</f>
        <v>14000</v>
      </c>
      <c r="I56" s="6" t="s">
        <v>14</v>
      </c>
      <c r="J56" s="11">
        <v>35442</v>
      </c>
      <c r="K56" s="11">
        <v>24134</v>
      </c>
      <c r="L56" s="10">
        <f t="shared" ca="1" si="0"/>
        <v>25</v>
      </c>
      <c r="M56" s="10">
        <f t="shared" ca="1" si="0"/>
        <v>56</v>
      </c>
      <c r="N56" s="10" t="str">
        <f>LOOKUP(F56,Справочники!$F$2:$F$10,Справочники!$H$2:$H$10)</f>
        <v>+7(8332)64-32-01</v>
      </c>
    </row>
    <row r="57" spans="1:14" ht="15" hidden="1" x14ac:dyDescent="0.25">
      <c r="A57" s="10">
        <v>156</v>
      </c>
      <c r="B57" s="12" t="s">
        <v>193</v>
      </c>
      <c r="C57" s="12" t="s">
        <v>108</v>
      </c>
      <c r="D57" s="12" t="s">
        <v>194</v>
      </c>
      <c r="E57" s="10" t="s">
        <v>9</v>
      </c>
      <c r="F57" s="10" t="str">
        <f>LOOKUP(G57,Справочники!$B$2:$B$35,Справочники!$A$2:$A$35)</f>
        <v>Редакторский отдел</v>
      </c>
      <c r="G57" s="7" t="s">
        <v>55</v>
      </c>
      <c r="H57" s="16">
        <f>LOOKUP(G57,Справочники!$B$2:$B$35,Справочники!$C$2:$C$35)</f>
        <v>14000</v>
      </c>
      <c r="I57" s="6" t="s">
        <v>25</v>
      </c>
      <c r="J57" s="11">
        <v>35460</v>
      </c>
      <c r="K57" s="11">
        <v>21194</v>
      </c>
      <c r="L57" s="10">
        <f t="shared" ca="1" si="0"/>
        <v>25</v>
      </c>
      <c r="M57" s="10">
        <f t="shared" ca="1" si="0"/>
        <v>64</v>
      </c>
      <c r="N57" s="10" t="str">
        <f>LOOKUP(F57,Справочники!$F$2:$F$10,Справочники!$H$2:$H$10)</f>
        <v>+7(8332)64-32-01</v>
      </c>
    </row>
    <row r="58" spans="1:14" ht="15" hidden="1" x14ac:dyDescent="0.25">
      <c r="A58" s="10">
        <v>157</v>
      </c>
      <c r="B58" s="12" t="s">
        <v>195</v>
      </c>
      <c r="C58" s="12" t="s">
        <v>196</v>
      </c>
      <c r="D58" s="12" t="s">
        <v>197</v>
      </c>
      <c r="E58" s="10" t="s">
        <v>9</v>
      </c>
      <c r="F58" s="10" t="str">
        <f>LOOKUP(G58,Справочники!$B$2:$B$35,Справочники!$A$2:$A$35)</f>
        <v>Технологический отдел</v>
      </c>
      <c r="G58" s="6" t="s">
        <v>31</v>
      </c>
      <c r="H58" s="16">
        <f>LOOKUP(G58,Справочники!$B$2:$B$35,Справочники!$C$2:$C$35)</f>
        <v>12000</v>
      </c>
      <c r="I58" s="6" t="s">
        <v>12</v>
      </c>
      <c r="J58" s="11">
        <v>39887</v>
      </c>
      <c r="K58" s="11">
        <v>30205</v>
      </c>
      <c r="L58" s="10">
        <f t="shared" ca="1" si="0"/>
        <v>13</v>
      </c>
      <c r="M58" s="10">
        <f t="shared" ca="1" si="0"/>
        <v>40</v>
      </c>
      <c r="N58" s="10" t="str">
        <f>LOOKUP(F58,Справочники!$F$2:$F$10,Справочники!$H$2:$H$10)</f>
        <v>+7(8332)64-32-18</v>
      </c>
    </row>
    <row r="59" spans="1:14" ht="15" hidden="1" x14ac:dyDescent="0.25">
      <c r="A59" s="10">
        <v>158</v>
      </c>
      <c r="B59" s="12" t="s">
        <v>198</v>
      </c>
      <c r="C59" s="12" t="s">
        <v>199</v>
      </c>
      <c r="D59" s="12" t="s">
        <v>159</v>
      </c>
      <c r="E59" s="10" t="s">
        <v>9</v>
      </c>
      <c r="F59" s="10" t="str">
        <f>LOOKUP(G59,Справочники!$B$2:$B$35,Справочники!$A$2:$A$35)</f>
        <v>Редакторский отдел</v>
      </c>
      <c r="G59" s="7" t="s">
        <v>54</v>
      </c>
      <c r="H59" s="16">
        <f>LOOKUP(G59,Справочники!$B$2:$B$35,Справочники!$C$2:$C$35)</f>
        <v>14000</v>
      </c>
      <c r="I59" s="6" t="s">
        <v>14</v>
      </c>
      <c r="J59" s="11">
        <v>35122</v>
      </c>
      <c r="K59" s="11">
        <v>23253</v>
      </c>
      <c r="L59" s="10">
        <f t="shared" ca="1" si="0"/>
        <v>26</v>
      </c>
      <c r="M59" s="10">
        <f t="shared" ca="1" si="0"/>
        <v>59</v>
      </c>
      <c r="N59" s="10" t="str">
        <f>LOOKUP(F59,Справочники!$F$2:$F$10,Справочники!$H$2:$H$10)</f>
        <v>+7(8332)64-32-01</v>
      </c>
    </row>
    <row r="60" spans="1:14" ht="15" hidden="1" x14ac:dyDescent="0.25">
      <c r="A60" s="10">
        <v>159</v>
      </c>
      <c r="B60" s="12" t="s">
        <v>200</v>
      </c>
      <c r="C60" s="12" t="s">
        <v>158</v>
      </c>
      <c r="D60" s="12" t="s">
        <v>201</v>
      </c>
      <c r="E60" s="10" t="s">
        <v>9</v>
      </c>
      <c r="F60" s="10" t="str">
        <f>LOOKUP(G60,Справочники!$B$2:$B$35,Справочники!$A$2:$A$35)</f>
        <v>Редакторский отдел</v>
      </c>
      <c r="G60" s="7" t="s">
        <v>55</v>
      </c>
      <c r="H60" s="16">
        <f>LOOKUP(G60,Справочники!$B$2:$B$35,Справочники!$C$2:$C$35)</f>
        <v>14000</v>
      </c>
      <c r="I60" s="6" t="s">
        <v>14</v>
      </c>
      <c r="J60" s="11">
        <v>35032</v>
      </c>
      <c r="K60" s="11">
        <v>22065</v>
      </c>
      <c r="L60" s="10">
        <f t="shared" ca="1" si="0"/>
        <v>26</v>
      </c>
      <c r="M60" s="10">
        <f t="shared" ca="1" si="0"/>
        <v>62</v>
      </c>
      <c r="N60" s="10" t="str">
        <f>LOOKUP(F60,Справочники!$F$2:$F$10,Справочники!$H$2:$H$10)</f>
        <v>+7(8332)64-32-01</v>
      </c>
    </row>
    <row r="61" spans="1:14" ht="15" hidden="1" x14ac:dyDescent="0.25">
      <c r="A61" s="10">
        <v>160</v>
      </c>
      <c r="B61" s="12" t="s">
        <v>202</v>
      </c>
      <c r="C61" s="12" t="s">
        <v>203</v>
      </c>
      <c r="D61" s="12" t="s">
        <v>127</v>
      </c>
      <c r="E61" s="10" t="s">
        <v>9</v>
      </c>
      <c r="F61" s="10" t="str">
        <f>LOOKUP(G61,Справочники!$B$2:$B$35,Справочники!$A$2:$A$35)</f>
        <v>Редакторский отдел</v>
      </c>
      <c r="G61" s="7" t="s">
        <v>55</v>
      </c>
      <c r="H61" s="16">
        <f>LOOKUP(G61,Справочники!$B$2:$B$35,Справочники!$C$2:$C$35)</f>
        <v>14000</v>
      </c>
      <c r="I61" s="6" t="s">
        <v>14</v>
      </c>
      <c r="J61" s="11">
        <v>42991</v>
      </c>
      <c r="K61" s="11">
        <v>32936</v>
      </c>
      <c r="L61" s="10">
        <f t="shared" ca="1" si="0"/>
        <v>5</v>
      </c>
      <c r="M61" s="10">
        <f t="shared" ca="1" si="0"/>
        <v>32</v>
      </c>
      <c r="N61" s="10" t="str">
        <f>LOOKUP(F61,Справочники!$F$2:$F$10,Справочники!$H$2:$H$10)</f>
        <v>+7(8332)64-32-01</v>
      </c>
    </row>
    <row r="62" spans="1:14" ht="15" hidden="1" x14ac:dyDescent="0.25">
      <c r="A62" s="10">
        <v>161</v>
      </c>
      <c r="B62" s="12" t="s">
        <v>204</v>
      </c>
      <c r="C62" s="12" t="s">
        <v>205</v>
      </c>
      <c r="D62" s="12" t="s">
        <v>145</v>
      </c>
      <c r="E62" s="10" t="s">
        <v>17</v>
      </c>
      <c r="F62" s="10" t="str">
        <f>LOOKUP(G62,Справочники!$B$2:$B$35,Справочники!$A$2:$A$35)</f>
        <v>Транспортный отдел</v>
      </c>
      <c r="G62" s="6" t="s">
        <v>50</v>
      </c>
      <c r="H62" s="16">
        <f>LOOKUP(G62,Справочники!$B$2:$B$35,Справочники!$C$2:$C$35)</f>
        <v>12000</v>
      </c>
      <c r="I62" s="6" t="s">
        <v>12</v>
      </c>
      <c r="J62" s="11">
        <v>31108</v>
      </c>
      <c r="K62" s="11">
        <v>23891</v>
      </c>
      <c r="L62" s="10">
        <f t="shared" ca="1" si="0"/>
        <v>37</v>
      </c>
      <c r="M62" s="10">
        <f t="shared" ca="1" si="0"/>
        <v>57</v>
      </c>
      <c r="N62" s="10" t="str">
        <f>LOOKUP(F62,Справочники!$F$2:$F$10,Справочники!$H$2:$H$10)</f>
        <v>+7(8332)64-32-18</v>
      </c>
    </row>
    <row r="63" spans="1:14" ht="15" hidden="1" x14ac:dyDescent="0.25">
      <c r="A63" s="10">
        <v>162</v>
      </c>
      <c r="B63" s="12" t="s">
        <v>206</v>
      </c>
      <c r="C63" s="12" t="s">
        <v>100</v>
      </c>
      <c r="D63" s="12" t="s">
        <v>207</v>
      </c>
      <c r="E63" s="10" t="s">
        <v>17</v>
      </c>
      <c r="F63" s="10" t="str">
        <f>LOOKUP(G63,Справочники!$B$2:$B$35,Справочники!$A$2:$A$35)</f>
        <v>Транспортный отдел</v>
      </c>
      <c r="G63" s="6" t="s">
        <v>50</v>
      </c>
      <c r="H63" s="16">
        <f>LOOKUP(G63,Справочники!$B$2:$B$35,Справочники!$C$2:$C$35)</f>
        <v>12000</v>
      </c>
      <c r="I63" s="6" t="s">
        <v>12</v>
      </c>
      <c r="J63" s="11">
        <v>32023</v>
      </c>
      <c r="K63" s="11">
        <v>22893</v>
      </c>
      <c r="L63" s="10">
        <f t="shared" ca="1" si="0"/>
        <v>35</v>
      </c>
      <c r="M63" s="10">
        <f t="shared" ca="1" si="0"/>
        <v>60</v>
      </c>
      <c r="N63" s="10" t="str">
        <f>LOOKUP(F63,Справочники!$F$2:$F$10,Справочники!$H$2:$H$10)</f>
        <v>+7(8332)64-32-18</v>
      </c>
    </row>
    <row r="64" spans="1:14" ht="15" x14ac:dyDescent="0.25">
      <c r="A64" s="10">
        <v>163</v>
      </c>
      <c r="B64" s="12" t="s">
        <v>208</v>
      </c>
      <c r="C64" s="12" t="s">
        <v>209</v>
      </c>
      <c r="D64" s="12" t="s">
        <v>93</v>
      </c>
      <c r="E64" s="10" t="s">
        <v>17</v>
      </c>
      <c r="F64" s="10" t="str">
        <f>LOOKUP(G64,Справочники!$B$2:$B$35,Справочники!$A$2:$A$35)</f>
        <v>Редакторский отдел</v>
      </c>
      <c r="G64" s="7" t="s">
        <v>56</v>
      </c>
      <c r="H64" s="16">
        <f>LOOKUP(G64,Справочники!$B$2:$B$35,Справочники!$C$2:$C$35)</f>
        <v>20000</v>
      </c>
      <c r="I64" s="6" t="s">
        <v>14</v>
      </c>
      <c r="J64" s="11">
        <v>35153</v>
      </c>
      <c r="K64" s="11">
        <v>24814</v>
      </c>
      <c r="L64" s="10">
        <f t="shared" ca="1" si="0"/>
        <v>26</v>
      </c>
      <c r="M64" s="10">
        <f t="shared" ca="1" si="0"/>
        <v>54</v>
      </c>
      <c r="N64" s="10" t="str">
        <f>LOOKUP(F64,Справочники!$F$2:$F$10,Справочники!$H$2:$H$10)</f>
        <v>+7(8332)64-32-01</v>
      </c>
    </row>
    <row r="65" spans="1:14" ht="15" hidden="1" x14ac:dyDescent="0.25">
      <c r="A65" s="10">
        <v>164</v>
      </c>
      <c r="B65" s="12" t="s">
        <v>210</v>
      </c>
      <c r="C65" s="12" t="s">
        <v>211</v>
      </c>
      <c r="D65" s="12" t="s">
        <v>148</v>
      </c>
      <c r="E65" s="10" t="s">
        <v>9</v>
      </c>
      <c r="F65" s="10" t="str">
        <f>LOOKUP(G65,Справочники!$B$2:$B$35,Справочники!$A$2:$A$35)</f>
        <v>Транспортный отдел</v>
      </c>
      <c r="G65" s="6" t="s">
        <v>57</v>
      </c>
      <c r="H65" s="16">
        <f>LOOKUP(G65,Справочники!$B$2:$B$35,Справочники!$C$2:$C$35)</f>
        <v>12000</v>
      </c>
      <c r="I65" s="6" t="s">
        <v>33</v>
      </c>
      <c r="J65" s="11">
        <v>43438</v>
      </c>
      <c r="K65" s="11">
        <v>34714</v>
      </c>
      <c r="L65" s="10">
        <f t="shared" ca="1" si="0"/>
        <v>3</v>
      </c>
      <c r="M65" s="10">
        <f t="shared" ca="1" si="0"/>
        <v>27</v>
      </c>
      <c r="N65" s="10" t="str">
        <f>LOOKUP(F65,Справочники!$F$2:$F$10,Справочники!$H$2:$H$10)</f>
        <v>+7(8332)64-32-18</v>
      </c>
    </row>
  </sheetData>
  <autoFilter ref="A1:N65" xr:uid="{1B4B8218-DBD3-4256-8C11-AF7AA2070BE1}">
    <filterColumn colId="6">
      <customFilters>
        <customFilter val="*гл*"/>
      </custom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4A5C-24E0-43E1-A790-DD3C7EB4551E}">
  <sheetPr filterMode="1"/>
  <dimension ref="A1:N65"/>
  <sheetViews>
    <sheetView zoomScaleNormal="100" workbookViewId="0">
      <pane ySplit="1" topLeftCell="A2" activePane="bottomLeft" state="frozen"/>
      <selection pane="bottomLeft" activeCell="M73" sqref="M73"/>
    </sheetView>
  </sheetViews>
  <sheetFormatPr defaultRowHeight="12.75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0.7109375" style="18" bestFit="1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hidden="1" x14ac:dyDescent="0.25">
      <c r="A2" s="10">
        <v>101</v>
      </c>
      <c r="B2" s="12" t="s">
        <v>68</v>
      </c>
      <c r="C2" s="12" t="s">
        <v>69</v>
      </c>
      <c r="D2" s="12" t="s">
        <v>70</v>
      </c>
      <c r="E2" s="10" t="s">
        <v>9</v>
      </c>
      <c r="F2" s="10" t="str">
        <f>LOOKUP(G2,Справочники!$B$2:$B$35,Справочники!$A$2:$A$35)</f>
        <v>Бухгалтерия</v>
      </c>
      <c r="G2" s="6" t="s">
        <v>11</v>
      </c>
      <c r="H2" s="16">
        <f>LOOKUP(G2,Справочники!$B$2:$B$35,Справочники!$C$2:$C$35)</f>
        <v>12000</v>
      </c>
      <c r="I2" s="6" t="s">
        <v>14</v>
      </c>
      <c r="J2" s="11">
        <v>38944</v>
      </c>
      <c r="K2" s="11">
        <v>30198</v>
      </c>
      <c r="L2" s="10">
        <f ca="1">DATEDIF(J2, TODAY(),"Y")</f>
        <v>16</v>
      </c>
      <c r="M2" s="10">
        <f ca="1">DATEDIF(K2, TODAY(),"Y")</f>
        <v>40</v>
      </c>
      <c r="N2" s="10" t="str">
        <f>LOOKUP(F2,Справочники!$F$2:$F$10,Справочники!$H$2:$H$10)</f>
        <v>+7(8332)64-32-01</v>
      </c>
    </row>
    <row r="3" spans="1:14" ht="15" hidden="1" x14ac:dyDescent="0.25">
      <c r="A3" s="10">
        <v>102</v>
      </c>
      <c r="B3" s="12" t="s">
        <v>71</v>
      </c>
      <c r="C3" s="12" t="s">
        <v>72</v>
      </c>
      <c r="D3" s="12" t="s">
        <v>73</v>
      </c>
      <c r="E3" s="10" t="s">
        <v>9</v>
      </c>
      <c r="F3" s="10" t="str">
        <f>LOOKUP(G3,Справочники!$B$2:$B$35,Справочники!$A$2:$A$35)</f>
        <v>Бухгалтерия</v>
      </c>
      <c r="G3" s="6" t="s">
        <v>13</v>
      </c>
      <c r="H3" s="16">
        <f>LOOKUP(G3,Справочники!$B$2:$B$35,Справочники!$C$2:$C$35)</f>
        <v>20000</v>
      </c>
      <c r="I3" s="6" t="s">
        <v>14</v>
      </c>
      <c r="J3" s="11">
        <v>34380</v>
      </c>
      <c r="K3" s="11">
        <v>25186</v>
      </c>
      <c r="L3" s="10">
        <f t="shared" ref="L3:M65" ca="1" si="0">DATEDIF(J3, TODAY(),"Y")</f>
        <v>28</v>
      </c>
      <c r="M3" s="10">
        <f t="shared" ca="1" si="0"/>
        <v>53</v>
      </c>
      <c r="N3" s="10" t="str">
        <f>LOOKUP(F3,Справочники!$F$2:$F$10,Справочники!$H$2:$H$10)</f>
        <v>+7(8332)64-32-01</v>
      </c>
    </row>
    <row r="4" spans="1:14" ht="15" hidden="1" x14ac:dyDescent="0.25">
      <c r="A4" s="10">
        <v>103</v>
      </c>
      <c r="B4" s="12" t="s">
        <v>74</v>
      </c>
      <c r="C4" s="12" t="s">
        <v>75</v>
      </c>
      <c r="D4" s="12" t="s">
        <v>76</v>
      </c>
      <c r="E4" s="10" t="s">
        <v>9</v>
      </c>
      <c r="F4" s="10" t="str">
        <f>LOOKUP(G4,Справочники!$B$2:$B$35,Справочники!$A$2:$A$35)</f>
        <v>Бухгалтерия</v>
      </c>
      <c r="G4" s="6" t="s">
        <v>15</v>
      </c>
      <c r="H4" s="16">
        <f>LOOKUP(G4,Справочники!$B$2:$B$35,Справочники!$C$2:$C$35)</f>
        <v>12000</v>
      </c>
      <c r="I4" s="6" t="s">
        <v>12</v>
      </c>
      <c r="J4" s="11">
        <v>42962</v>
      </c>
      <c r="K4" s="11">
        <v>34762</v>
      </c>
      <c r="L4" s="10">
        <f t="shared" ca="1" si="0"/>
        <v>5</v>
      </c>
      <c r="M4" s="10">
        <f t="shared" ca="1" si="0"/>
        <v>27</v>
      </c>
      <c r="N4" s="10" t="str">
        <f>LOOKUP(F4,Справочники!$F$2:$F$10,Справочники!$H$2:$H$10)</f>
        <v>+7(8332)64-32-01</v>
      </c>
    </row>
    <row r="5" spans="1:14" ht="15" hidden="1" x14ac:dyDescent="0.25">
      <c r="A5" s="10">
        <v>104</v>
      </c>
      <c r="B5" s="12" t="s">
        <v>77</v>
      </c>
      <c r="C5" s="12" t="s">
        <v>78</v>
      </c>
      <c r="D5" s="12" t="s">
        <v>79</v>
      </c>
      <c r="E5" s="10" t="s">
        <v>9</v>
      </c>
      <c r="F5" s="10" t="str">
        <f>LOOKUP(G5,Справочники!$B$2:$B$35,Справочники!$A$2:$A$35)</f>
        <v>Бухгалтерия</v>
      </c>
      <c r="G5" s="6" t="s">
        <v>16</v>
      </c>
      <c r="H5" s="16">
        <f>LOOKUP(G5,Справочники!$B$2:$B$35,Справочники!$C$2:$C$35)</f>
        <v>15000</v>
      </c>
      <c r="I5" s="6" t="s">
        <v>14</v>
      </c>
      <c r="J5" s="11">
        <v>41530</v>
      </c>
      <c r="K5" s="11">
        <v>25346</v>
      </c>
      <c r="L5" s="10">
        <f t="shared" ca="1" si="0"/>
        <v>9</v>
      </c>
      <c r="M5" s="10">
        <f t="shared" ca="1" si="0"/>
        <v>53</v>
      </c>
      <c r="N5" s="10" t="str">
        <f>LOOKUP(F5,Справочники!$F$2:$F$10,Справочники!$H$2:$H$10)</f>
        <v>+7(8332)64-32-01</v>
      </c>
    </row>
    <row r="6" spans="1:14" ht="15" hidden="1" x14ac:dyDescent="0.25">
      <c r="A6" s="10">
        <v>105</v>
      </c>
      <c r="B6" s="12" t="s">
        <v>80</v>
      </c>
      <c r="C6" s="12" t="s">
        <v>81</v>
      </c>
      <c r="D6" s="12" t="s">
        <v>82</v>
      </c>
      <c r="E6" s="10" t="s">
        <v>17</v>
      </c>
      <c r="F6" s="10" t="str">
        <f>LOOKUP(G6,Справочники!$B$2:$B$35,Справочники!$A$2:$A$35)</f>
        <v>Бухгалтерия</v>
      </c>
      <c r="G6" s="6" t="s">
        <v>18</v>
      </c>
      <c r="H6" s="16">
        <f>LOOKUP(G6,Справочники!$B$2:$B$35,Справочники!$C$2:$C$35)</f>
        <v>17000</v>
      </c>
      <c r="I6" s="6" t="s">
        <v>14</v>
      </c>
      <c r="J6" s="11">
        <v>41165</v>
      </c>
      <c r="K6" s="11">
        <v>31196</v>
      </c>
      <c r="L6" s="10">
        <f t="shared" ca="1" si="0"/>
        <v>10</v>
      </c>
      <c r="M6" s="10">
        <f t="shared" ca="1" si="0"/>
        <v>37</v>
      </c>
      <c r="N6" s="10" t="str">
        <f>LOOKUP(F6,Справочники!$F$2:$F$10,Справочники!$H$2:$H$10)</f>
        <v>+7(8332)64-32-01</v>
      </c>
    </row>
    <row r="7" spans="1:14" ht="15" hidden="1" x14ac:dyDescent="0.25">
      <c r="A7" s="10">
        <v>106</v>
      </c>
      <c r="B7" s="12" t="s">
        <v>83</v>
      </c>
      <c r="C7" s="12" t="s">
        <v>84</v>
      </c>
      <c r="D7" s="12" t="s">
        <v>85</v>
      </c>
      <c r="E7" s="10" t="s">
        <v>17</v>
      </c>
      <c r="F7" s="10" t="str">
        <f>LOOKUP(G7,Справочники!$B$2:$B$35,Справочники!$A$2:$A$35)</f>
        <v>Бухгалтерия</v>
      </c>
      <c r="G7" s="6" t="s">
        <v>11</v>
      </c>
      <c r="H7" s="16">
        <f>LOOKUP(G7,Справочники!$B$2:$B$35,Справочники!$C$2:$C$35)</f>
        <v>12000</v>
      </c>
      <c r="I7" s="6" t="s">
        <v>25</v>
      </c>
      <c r="J7" s="11">
        <v>42626</v>
      </c>
      <c r="K7" s="11">
        <v>31062</v>
      </c>
      <c r="L7" s="10">
        <f t="shared" ca="1" si="0"/>
        <v>6</v>
      </c>
      <c r="M7" s="10">
        <f t="shared" ca="1" si="0"/>
        <v>37</v>
      </c>
      <c r="N7" s="10" t="str">
        <f>LOOKUP(F7,Справочники!$F$2:$F$10,Справочники!$H$2:$H$10)</f>
        <v>+7(8332)64-32-01</v>
      </c>
    </row>
    <row r="8" spans="1:14" ht="15" hidden="1" x14ac:dyDescent="0.25">
      <c r="A8" s="10">
        <v>107</v>
      </c>
      <c r="B8" s="12" t="s">
        <v>86</v>
      </c>
      <c r="C8" s="12" t="s">
        <v>87</v>
      </c>
      <c r="D8" s="12" t="s">
        <v>88</v>
      </c>
      <c r="E8" s="10" t="s">
        <v>9</v>
      </c>
      <c r="F8" s="10" t="str">
        <f>LOOKUP(G8,Справочники!$B$2:$B$35,Справочники!$A$2:$A$35)</f>
        <v>Управление</v>
      </c>
      <c r="G8" s="6" t="s">
        <v>20</v>
      </c>
      <c r="H8" s="16">
        <f>LOOKUP(G8,Справочники!$B$2:$B$35,Справочники!$C$2:$C$35)</f>
        <v>15000</v>
      </c>
      <c r="I8" s="6" t="s">
        <v>12</v>
      </c>
      <c r="J8" s="11">
        <v>39956</v>
      </c>
      <c r="K8" s="11">
        <v>30254</v>
      </c>
      <c r="L8" s="10">
        <f t="shared" ca="1" si="0"/>
        <v>13</v>
      </c>
      <c r="M8" s="10">
        <f t="shared" ca="1" si="0"/>
        <v>40</v>
      </c>
      <c r="N8" s="10" t="str">
        <f>LOOKUP(F8,Справочники!$F$2:$F$10,Справочники!$H$2:$H$10)</f>
        <v>+7(8332)64-32-18</v>
      </c>
    </row>
    <row r="9" spans="1:14" ht="15" hidden="1" x14ac:dyDescent="0.25">
      <c r="A9" s="10">
        <v>108</v>
      </c>
      <c r="B9" s="12" t="s">
        <v>89</v>
      </c>
      <c r="C9" s="12" t="s">
        <v>90</v>
      </c>
      <c r="D9" s="12" t="s">
        <v>91</v>
      </c>
      <c r="E9" s="10" t="s">
        <v>17</v>
      </c>
      <c r="F9" s="10" t="str">
        <f>LOOKUP(G9,Справочники!$B$2:$B$35,Справочники!$A$2:$A$35)</f>
        <v>Управление</v>
      </c>
      <c r="G9" s="6" t="s">
        <v>21</v>
      </c>
      <c r="H9" s="16">
        <f>LOOKUP(G9,Справочники!$B$2:$B$35,Справочники!$C$2:$C$35)</f>
        <v>35000</v>
      </c>
      <c r="I9" s="6" t="s">
        <v>14</v>
      </c>
      <c r="J9" s="11">
        <v>38579</v>
      </c>
      <c r="K9" s="11">
        <v>28499</v>
      </c>
      <c r="L9" s="10">
        <f t="shared" ca="1" si="0"/>
        <v>17</v>
      </c>
      <c r="M9" s="10">
        <f t="shared" ca="1" si="0"/>
        <v>44</v>
      </c>
      <c r="N9" s="10" t="str">
        <f>LOOKUP(F9,Справочники!$F$2:$F$10,Справочники!$H$2:$H$10)</f>
        <v>+7(8332)64-32-18</v>
      </c>
    </row>
    <row r="10" spans="1:14" ht="15" hidden="1" x14ac:dyDescent="0.25">
      <c r="A10" s="10">
        <v>109</v>
      </c>
      <c r="B10" s="12" t="s">
        <v>92</v>
      </c>
      <c r="C10" s="12" t="s">
        <v>81</v>
      </c>
      <c r="D10" s="12" t="s">
        <v>93</v>
      </c>
      <c r="E10" s="10" t="s">
        <v>17</v>
      </c>
      <c r="F10" s="10" t="str">
        <f>LOOKUP(G10,Справочники!$B$2:$B$35,Справочники!$A$2:$A$35)</f>
        <v>Управление</v>
      </c>
      <c r="G10" s="6" t="s">
        <v>22</v>
      </c>
      <c r="H10" s="16">
        <f>LOOKUP(G10,Справочники!$B$2:$B$35,Справочники!$C$2:$C$35)</f>
        <v>28000</v>
      </c>
      <c r="I10" s="6" t="s">
        <v>14</v>
      </c>
      <c r="J10" s="11">
        <v>39103</v>
      </c>
      <c r="K10" s="11">
        <v>27786</v>
      </c>
      <c r="L10" s="10">
        <f t="shared" ca="1" si="0"/>
        <v>15</v>
      </c>
      <c r="M10" s="10">
        <f t="shared" ca="1" si="0"/>
        <v>46</v>
      </c>
      <c r="N10" s="10" t="str">
        <f>LOOKUP(F10,Справочники!$F$2:$F$10,Справочники!$H$2:$H$10)</f>
        <v>+7(8332)64-32-18</v>
      </c>
    </row>
    <row r="11" spans="1:14" ht="15" hidden="1" x14ac:dyDescent="0.25">
      <c r="A11" s="10">
        <v>110</v>
      </c>
      <c r="B11" s="12" t="s">
        <v>94</v>
      </c>
      <c r="C11" s="12" t="s">
        <v>95</v>
      </c>
      <c r="D11" s="12" t="s">
        <v>96</v>
      </c>
      <c r="E11" s="10" t="s">
        <v>9</v>
      </c>
      <c r="F11" s="10" t="str">
        <f>LOOKUP(G11,Справочники!$B$2:$B$35,Справочники!$A$2:$A$35)</f>
        <v>Управление</v>
      </c>
      <c r="G11" s="6" t="s">
        <v>23</v>
      </c>
      <c r="H11" s="16">
        <f>LOOKUP(G11,Справочники!$B$2:$B$35,Справочники!$C$2:$C$35)</f>
        <v>30000</v>
      </c>
      <c r="I11" s="6" t="s">
        <v>14</v>
      </c>
      <c r="J11" s="11">
        <v>34436</v>
      </c>
      <c r="K11" s="11">
        <v>26821</v>
      </c>
      <c r="L11" s="10">
        <f t="shared" ca="1" si="0"/>
        <v>28</v>
      </c>
      <c r="M11" s="10">
        <f t="shared" ca="1" si="0"/>
        <v>49</v>
      </c>
      <c r="N11" s="10" t="str">
        <f>LOOKUP(F11,Справочники!$F$2:$F$10,Справочники!$H$2:$H$10)</f>
        <v>+7(8332)64-32-18</v>
      </c>
    </row>
    <row r="12" spans="1:14" ht="15" x14ac:dyDescent="0.25">
      <c r="A12" s="10">
        <v>111</v>
      </c>
      <c r="B12" s="12" t="s">
        <v>97</v>
      </c>
      <c r="C12" s="12" t="s">
        <v>98</v>
      </c>
      <c r="D12" s="12" t="s">
        <v>76</v>
      </c>
      <c r="E12" s="10" t="s">
        <v>9</v>
      </c>
      <c r="F12" s="10" t="str">
        <f>LOOKUP(G12,Справочники!$B$2:$B$35,Справочники!$A$2:$A$35)</f>
        <v>Управление</v>
      </c>
      <c r="G12" s="6" t="s">
        <v>24</v>
      </c>
      <c r="H12" s="16">
        <f>LOOKUP(G12,Справочники!$B$2:$B$35,Справочники!$C$2:$C$35)</f>
        <v>15000</v>
      </c>
      <c r="I12" s="6" t="s">
        <v>25</v>
      </c>
      <c r="J12" s="11">
        <v>42960</v>
      </c>
      <c r="K12" s="11">
        <v>33207</v>
      </c>
      <c r="L12" s="10">
        <f t="shared" ca="1" si="0"/>
        <v>5</v>
      </c>
      <c r="M12" s="10">
        <f t="shared" ca="1" si="0"/>
        <v>31</v>
      </c>
      <c r="N12" s="10" t="str">
        <f>LOOKUP(F12,Справочники!$F$2:$F$10,Справочники!$H$2:$H$10)</f>
        <v>+7(8332)64-32-18</v>
      </c>
    </row>
    <row r="13" spans="1:14" ht="15" hidden="1" x14ac:dyDescent="0.25">
      <c r="A13" s="10">
        <v>112</v>
      </c>
      <c r="B13" s="12" t="s">
        <v>99</v>
      </c>
      <c r="C13" s="12" t="s">
        <v>100</v>
      </c>
      <c r="D13" s="12" t="s">
        <v>101</v>
      </c>
      <c r="E13" s="10" t="s">
        <v>17</v>
      </c>
      <c r="F13" s="10" t="str">
        <f>LOOKUP(G13,Справочники!$B$2:$B$35,Справочники!$A$2:$A$35)</f>
        <v>Рекламный отдел</v>
      </c>
      <c r="G13" s="6" t="s">
        <v>27</v>
      </c>
      <c r="H13" s="16">
        <f>LOOKUP(G13,Справочники!$B$2:$B$35,Справочники!$C$2:$C$35)</f>
        <v>22000</v>
      </c>
      <c r="I13" s="6" t="s">
        <v>14</v>
      </c>
      <c r="J13" s="11">
        <v>40966</v>
      </c>
      <c r="K13" s="11">
        <v>31390</v>
      </c>
      <c r="L13" s="10">
        <f t="shared" ca="1" si="0"/>
        <v>10</v>
      </c>
      <c r="M13" s="10">
        <f t="shared" ca="1" si="0"/>
        <v>36</v>
      </c>
      <c r="N13" s="10" t="str">
        <f>LOOKUP(F13,Справочники!$F$2:$F$10,Справочники!$H$2:$H$10)</f>
        <v>+7(8332)64-32-01</v>
      </c>
    </row>
    <row r="14" spans="1:14" ht="15" hidden="1" x14ac:dyDescent="0.25">
      <c r="A14" s="10">
        <v>113</v>
      </c>
      <c r="B14" s="12" t="s">
        <v>102</v>
      </c>
      <c r="C14" s="12" t="s">
        <v>98</v>
      </c>
      <c r="D14" s="12" t="s">
        <v>103</v>
      </c>
      <c r="E14" s="10" t="s">
        <v>9</v>
      </c>
      <c r="F14" s="10" t="str">
        <f>LOOKUP(G14,Справочники!$B$2:$B$35,Справочники!$A$2:$A$35)</f>
        <v>Рекламный отдел</v>
      </c>
      <c r="G14" s="6" t="s">
        <v>28</v>
      </c>
      <c r="H14" s="16">
        <f>LOOKUP(G14,Справочники!$B$2:$B$35,Справочники!$C$2:$C$35)</f>
        <v>18000</v>
      </c>
      <c r="I14" s="6" t="s">
        <v>14</v>
      </c>
      <c r="J14" s="11">
        <v>34788</v>
      </c>
      <c r="K14" s="11">
        <v>25186</v>
      </c>
      <c r="L14" s="10">
        <f t="shared" ca="1" si="0"/>
        <v>27</v>
      </c>
      <c r="M14" s="10">
        <f t="shared" ca="1" si="0"/>
        <v>53</v>
      </c>
      <c r="N14" s="10" t="str">
        <f>LOOKUP(F14,Справочники!$F$2:$F$10,Справочники!$H$2:$H$10)</f>
        <v>+7(8332)64-32-01</v>
      </c>
    </row>
    <row r="15" spans="1:14" ht="15" hidden="1" x14ac:dyDescent="0.25">
      <c r="A15" s="10">
        <v>114</v>
      </c>
      <c r="B15" s="12" t="s">
        <v>104</v>
      </c>
      <c r="C15" s="12" t="s">
        <v>105</v>
      </c>
      <c r="D15" s="12" t="s">
        <v>106</v>
      </c>
      <c r="E15" s="10" t="s">
        <v>9</v>
      </c>
      <c r="F15" s="10" t="str">
        <f>LOOKUP(G15,Справочники!$B$2:$B$35,Справочники!$A$2:$A$35)</f>
        <v>Технологический отдел</v>
      </c>
      <c r="G15" s="6" t="s">
        <v>30</v>
      </c>
      <c r="H15" s="16">
        <f>LOOKUP(G15,Справочники!$B$2:$B$35,Справочники!$C$2:$C$35)</f>
        <v>22000</v>
      </c>
      <c r="I15" s="6" t="s">
        <v>14</v>
      </c>
      <c r="J15" s="11">
        <v>43356</v>
      </c>
      <c r="K15" s="11">
        <v>24300</v>
      </c>
      <c r="L15" s="10">
        <f t="shared" ca="1" si="0"/>
        <v>4</v>
      </c>
      <c r="M15" s="10">
        <f t="shared" ca="1" si="0"/>
        <v>56</v>
      </c>
      <c r="N15" s="10" t="str">
        <f>LOOKUP(F15,Справочники!$F$2:$F$10,Справочники!$H$2:$H$10)</f>
        <v>+7(8332)64-32-18</v>
      </c>
    </row>
    <row r="16" spans="1:14" ht="15" hidden="1" x14ac:dyDescent="0.25">
      <c r="A16" s="10">
        <v>115</v>
      </c>
      <c r="B16" s="12" t="s">
        <v>107</v>
      </c>
      <c r="C16" s="12" t="s">
        <v>108</v>
      </c>
      <c r="D16" s="12" t="s">
        <v>76</v>
      </c>
      <c r="E16" s="10" t="s">
        <v>9</v>
      </c>
      <c r="F16" s="10" t="str">
        <f>LOOKUP(G16,Справочники!$B$2:$B$35,Справочники!$A$2:$A$35)</f>
        <v>Технологический отдел</v>
      </c>
      <c r="G16" s="6" t="s">
        <v>31</v>
      </c>
      <c r="H16" s="16">
        <f>LOOKUP(G16,Справочники!$B$2:$B$35,Справочники!$C$2:$C$35)</f>
        <v>12000</v>
      </c>
      <c r="I16" s="6" t="s">
        <v>12</v>
      </c>
      <c r="J16" s="11">
        <v>35096</v>
      </c>
      <c r="K16" s="11">
        <v>26553</v>
      </c>
      <c r="L16" s="10">
        <f t="shared" ca="1" si="0"/>
        <v>26</v>
      </c>
      <c r="M16" s="10">
        <f t="shared" ca="1" si="0"/>
        <v>50</v>
      </c>
      <c r="N16" s="10" t="str">
        <f>LOOKUP(F16,Справочники!$F$2:$F$10,Справочники!$H$2:$H$10)</f>
        <v>+7(8332)64-32-18</v>
      </c>
    </row>
    <row r="17" spans="1:14" ht="15" hidden="1" x14ac:dyDescent="0.25">
      <c r="A17" s="10">
        <v>116</v>
      </c>
      <c r="B17" s="12" t="s">
        <v>109</v>
      </c>
      <c r="C17" s="12" t="s">
        <v>110</v>
      </c>
      <c r="D17" s="12" t="s">
        <v>111</v>
      </c>
      <c r="E17" s="10" t="s">
        <v>9</v>
      </c>
      <c r="F17" s="10" t="str">
        <f>LOOKUP(G17,Справочники!$B$2:$B$35,Справочники!$A$2:$A$35)</f>
        <v>Технологический отдел</v>
      </c>
      <c r="G17" s="6" t="s">
        <v>32</v>
      </c>
      <c r="H17" s="16">
        <f>LOOKUP(G17,Справочники!$B$2:$B$35,Справочники!$C$2:$C$35)</f>
        <v>15000</v>
      </c>
      <c r="I17" s="6" t="s">
        <v>12</v>
      </c>
      <c r="J17" s="11">
        <v>35292</v>
      </c>
      <c r="K17" s="11">
        <v>25810</v>
      </c>
      <c r="L17" s="10">
        <f t="shared" ca="1" si="0"/>
        <v>26</v>
      </c>
      <c r="M17" s="10">
        <f t="shared" ca="1" si="0"/>
        <v>52</v>
      </c>
      <c r="N17" s="10" t="str">
        <f>LOOKUP(F17,Справочники!$F$2:$F$10,Справочники!$H$2:$H$10)</f>
        <v>+7(8332)64-32-18</v>
      </c>
    </row>
    <row r="18" spans="1:14" ht="15" hidden="1" x14ac:dyDescent="0.25">
      <c r="A18" s="10">
        <v>117</v>
      </c>
      <c r="B18" s="12" t="s">
        <v>112</v>
      </c>
      <c r="C18" s="12" t="s">
        <v>72</v>
      </c>
      <c r="D18" s="12" t="s">
        <v>88</v>
      </c>
      <c r="E18" s="10" t="s">
        <v>9</v>
      </c>
      <c r="F18" s="10" t="str">
        <f>LOOKUP(G18,Справочники!$B$2:$B$35,Справочники!$A$2:$A$35)</f>
        <v>Технологический отдел</v>
      </c>
      <c r="G18" s="6" t="s">
        <v>31</v>
      </c>
      <c r="H18" s="16">
        <f>LOOKUP(G18,Справочники!$B$2:$B$35,Справочники!$C$2:$C$35)</f>
        <v>12000</v>
      </c>
      <c r="I18" s="6" t="s">
        <v>33</v>
      </c>
      <c r="J18" s="11">
        <v>35445</v>
      </c>
      <c r="K18" s="11">
        <v>26821</v>
      </c>
      <c r="L18" s="10">
        <f t="shared" ca="1" si="0"/>
        <v>25</v>
      </c>
      <c r="M18" s="10">
        <f t="shared" ca="1" si="0"/>
        <v>49</v>
      </c>
      <c r="N18" s="10" t="str">
        <f>LOOKUP(F18,Справочники!$F$2:$F$10,Справочники!$H$2:$H$10)</f>
        <v>+7(8332)64-32-18</v>
      </c>
    </row>
    <row r="19" spans="1:14" ht="15" hidden="1" x14ac:dyDescent="0.25">
      <c r="A19" s="10">
        <v>118</v>
      </c>
      <c r="B19" s="12" t="s">
        <v>113</v>
      </c>
      <c r="C19" s="12" t="s">
        <v>114</v>
      </c>
      <c r="D19" s="12" t="s">
        <v>115</v>
      </c>
      <c r="E19" s="10" t="s">
        <v>9</v>
      </c>
      <c r="F19" s="10" t="str">
        <f>LOOKUP(G19,Справочники!$B$2:$B$35,Справочники!$A$2:$A$35)</f>
        <v>Технологический отдел</v>
      </c>
      <c r="G19" s="6" t="s">
        <v>34</v>
      </c>
      <c r="H19" s="16">
        <f>LOOKUP(G19,Справочники!$B$2:$B$35,Справочники!$C$2:$C$35)</f>
        <v>12000</v>
      </c>
      <c r="I19" s="6" t="s">
        <v>12</v>
      </c>
      <c r="J19" s="11">
        <v>36303</v>
      </c>
      <c r="K19" s="11">
        <v>25641</v>
      </c>
      <c r="L19" s="10">
        <f t="shared" ca="1" si="0"/>
        <v>23</v>
      </c>
      <c r="M19" s="10">
        <f t="shared" ca="1" si="0"/>
        <v>52</v>
      </c>
      <c r="N19" s="10" t="str">
        <f>LOOKUP(F19,Справочники!$F$2:$F$10,Справочники!$H$2:$H$10)</f>
        <v>+7(8332)64-32-18</v>
      </c>
    </row>
    <row r="20" spans="1:14" ht="15" hidden="1" x14ac:dyDescent="0.25">
      <c r="A20" s="10">
        <v>119</v>
      </c>
      <c r="B20" s="12" t="s">
        <v>116</v>
      </c>
      <c r="C20" s="12" t="s">
        <v>117</v>
      </c>
      <c r="D20" s="12" t="s">
        <v>70</v>
      </c>
      <c r="E20" s="10" t="s">
        <v>9</v>
      </c>
      <c r="F20" s="10" t="str">
        <f>LOOKUP(G20,Справочники!$B$2:$B$35,Справочники!$A$2:$A$35)</f>
        <v>Технологический отдел</v>
      </c>
      <c r="G20" s="6" t="s">
        <v>35</v>
      </c>
      <c r="H20" s="16">
        <f>LOOKUP(G20,Справочники!$B$2:$B$35,Справочники!$C$2:$C$35)</f>
        <v>17000</v>
      </c>
      <c r="I20" s="6" t="s">
        <v>14</v>
      </c>
      <c r="J20" s="11">
        <v>39550</v>
      </c>
      <c r="K20" s="11">
        <v>28420</v>
      </c>
      <c r="L20" s="10">
        <f t="shared" ca="1" si="0"/>
        <v>14</v>
      </c>
      <c r="M20" s="10">
        <f t="shared" ca="1" si="0"/>
        <v>45</v>
      </c>
      <c r="N20" s="10" t="str">
        <f>LOOKUP(F20,Справочники!$F$2:$F$10,Справочники!$H$2:$H$10)</f>
        <v>+7(8332)64-32-18</v>
      </c>
    </row>
    <row r="21" spans="1:14" ht="15" hidden="1" x14ac:dyDescent="0.25">
      <c r="A21" s="10">
        <v>120</v>
      </c>
      <c r="B21" s="12" t="s">
        <v>118</v>
      </c>
      <c r="C21" s="12" t="s">
        <v>98</v>
      </c>
      <c r="D21" s="12" t="s">
        <v>119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36</v>
      </c>
      <c r="H21" s="16">
        <f>LOOKUP(G21,Справочники!$B$2:$B$35,Справочники!$C$2:$C$35)</f>
        <v>14000</v>
      </c>
      <c r="I21" s="6" t="s">
        <v>12</v>
      </c>
      <c r="J21" s="11">
        <v>35442</v>
      </c>
      <c r="K21" s="11">
        <v>24134</v>
      </c>
      <c r="L21" s="10">
        <f t="shared" ca="1" si="0"/>
        <v>25</v>
      </c>
      <c r="M21" s="10">
        <f t="shared" ca="1" si="0"/>
        <v>56</v>
      </c>
      <c r="N21" s="10" t="str">
        <f>LOOKUP(F21,Справочники!$F$2:$F$10,Справочники!$H$2:$H$10)</f>
        <v>+7(8332)64-32-18</v>
      </c>
    </row>
    <row r="22" spans="1:14" ht="15" hidden="1" x14ac:dyDescent="0.25">
      <c r="A22" s="10">
        <v>121</v>
      </c>
      <c r="B22" s="12" t="s">
        <v>120</v>
      </c>
      <c r="C22" s="12" t="s">
        <v>75</v>
      </c>
      <c r="D22" s="12" t="s">
        <v>79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36</v>
      </c>
      <c r="H22" s="16">
        <f>LOOKUP(G22,Справочники!$B$2:$B$35,Справочники!$C$2:$C$35)</f>
        <v>14000</v>
      </c>
      <c r="I22" s="6" t="s">
        <v>12</v>
      </c>
      <c r="J22" s="11">
        <v>39845</v>
      </c>
      <c r="K22" s="11">
        <v>31391</v>
      </c>
      <c r="L22" s="10">
        <f t="shared" ca="1" si="0"/>
        <v>13</v>
      </c>
      <c r="M22" s="10">
        <f t="shared" ca="1" si="0"/>
        <v>36</v>
      </c>
      <c r="N22" s="10" t="str">
        <f>LOOKUP(F22,Справочники!$F$2:$F$10,Справочники!$H$2:$H$10)</f>
        <v>+7(8332)64-32-18</v>
      </c>
    </row>
    <row r="23" spans="1:14" ht="15" hidden="1" x14ac:dyDescent="0.25">
      <c r="A23" s="10">
        <v>122</v>
      </c>
      <c r="B23" s="12" t="s">
        <v>121</v>
      </c>
      <c r="C23" s="12" t="s">
        <v>122</v>
      </c>
      <c r="D23" s="12" t="s">
        <v>96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37</v>
      </c>
      <c r="H23" s="16">
        <f>LOOKUP(G23,Справочники!$B$2:$B$35,Справочники!$C$2:$C$35)</f>
        <v>14000</v>
      </c>
      <c r="I23" s="6" t="s">
        <v>12</v>
      </c>
      <c r="J23" s="11">
        <v>36427</v>
      </c>
      <c r="K23" s="11">
        <v>24846</v>
      </c>
      <c r="L23" s="10">
        <f t="shared" ca="1" si="0"/>
        <v>23</v>
      </c>
      <c r="M23" s="10">
        <f t="shared" ca="1" si="0"/>
        <v>54</v>
      </c>
      <c r="N23" s="10" t="str">
        <f>LOOKUP(F23,Справочники!$F$2:$F$10,Справочники!$H$2:$H$10)</f>
        <v>+7(8332)64-32-18</v>
      </c>
    </row>
    <row r="24" spans="1:14" ht="15" hidden="1" x14ac:dyDescent="0.25">
      <c r="A24" s="10">
        <v>123</v>
      </c>
      <c r="B24" s="12" t="s">
        <v>123</v>
      </c>
      <c r="C24" s="12" t="s">
        <v>114</v>
      </c>
      <c r="D24" s="12" t="s">
        <v>103</v>
      </c>
      <c r="E24" s="10" t="s">
        <v>9</v>
      </c>
      <c r="F24" s="10" t="str">
        <f>LOOKUP(G24,Справочники!$B$2:$B$35,Справочники!$A$2:$A$35)</f>
        <v>Технологический отдел</v>
      </c>
      <c r="G24" s="6" t="s">
        <v>34</v>
      </c>
      <c r="H24" s="16">
        <f>LOOKUP(G24,Справочники!$B$2:$B$35,Справочники!$C$2:$C$35)</f>
        <v>12000</v>
      </c>
      <c r="I24" s="6" t="s">
        <v>14</v>
      </c>
      <c r="J24" s="11">
        <v>35290</v>
      </c>
      <c r="K24" s="11">
        <v>22280</v>
      </c>
      <c r="L24" s="10">
        <f t="shared" ca="1" si="0"/>
        <v>26</v>
      </c>
      <c r="M24" s="10">
        <f t="shared" ca="1" si="0"/>
        <v>61</v>
      </c>
      <c r="N24" s="10" t="str">
        <f>LOOKUP(F24,Справочники!$F$2:$F$10,Справочники!$H$2:$H$10)</f>
        <v>+7(8332)64-32-18</v>
      </c>
    </row>
    <row r="25" spans="1:14" ht="15" hidden="1" x14ac:dyDescent="0.25">
      <c r="A25" s="10">
        <v>124</v>
      </c>
      <c r="B25" s="12" t="s">
        <v>124</v>
      </c>
      <c r="C25" s="12" t="s">
        <v>125</v>
      </c>
      <c r="D25" s="12" t="s">
        <v>96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32</v>
      </c>
      <c r="H25" s="16">
        <f>LOOKUP(G25,Справочники!$B$2:$B$35,Справочники!$C$2:$C$35)</f>
        <v>15000</v>
      </c>
      <c r="I25" s="6" t="s">
        <v>33</v>
      </c>
      <c r="J25" s="11">
        <v>35451</v>
      </c>
      <c r="K25" s="11">
        <v>27551</v>
      </c>
      <c r="L25" s="10">
        <f t="shared" ca="1" si="0"/>
        <v>25</v>
      </c>
      <c r="M25" s="10">
        <f t="shared" ca="1" si="0"/>
        <v>47</v>
      </c>
      <c r="N25" s="10" t="str">
        <f>LOOKUP(F25,Справочники!$F$2:$F$10,Справочники!$H$2:$H$10)</f>
        <v>+7(8332)64-32-18</v>
      </c>
    </row>
    <row r="26" spans="1:14" ht="15" hidden="1" x14ac:dyDescent="0.25">
      <c r="A26" s="10">
        <v>125</v>
      </c>
      <c r="B26" s="12" t="s">
        <v>126</v>
      </c>
      <c r="C26" s="12" t="s">
        <v>98</v>
      </c>
      <c r="D26" s="12" t="s">
        <v>127</v>
      </c>
      <c r="E26" s="10" t="s">
        <v>9</v>
      </c>
      <c r="F26" s="10" t="str">
        <f>LOOKUP(G26,Справочники!$B$2:$B$35,Справочники!$A$2:$A$35)</f>
        <v>Технологический отдел</v>
      </c>
      <c r="G26" s="6" t="s">
        <v>34</v>
      </c>
      <c r="H26" s="16">
        <f>LOOKUP(G26,Справочники!$B$2:$B$35,Справочники!$C$2:$C$35)</f>
        <v>12000</v>
      </c>
      <c r="I26" s="6" t="s">
        <v>33</v>
      </c>
      <c r="J26" s="11">
        <v>35290</v>
      </c>
      <c r="K26" s="11">
        <v>22065</v>
      </c>
      <c r="L26" s="10">
        <f t="shared" ca="1" si="0"/>
        <v>26</v>
      </c>
      <c r="M26" s="10">
        <f t="shared" ca="1" si="0"/>
        <v>62</v>
      </c>
      <c r="N26" s="10" t="str">
        <f>LOOKUP(F26,Справочники!$F$2:$F$10,Справочники!$H$2:$H$10)</f>
        <v>+7(8332)64-32-18</v>
      </c>
    </row>
    <row r="27" spans="1:14" ht="15" hidden="1" x14ac:dyDescent="0.25">
      <c r="A27" s="10">
        <v>126</v>
      </c>
      <c r="B27" s="12" t="s">
        <v>128</v>
      </c>
      <c r="C27" s="12" t="s">
        <v>129</v>
      </c>
      <c r="D27" s="12" t="s">
        <v>101</v>
      </c>
      <c r="E27" s="10" t="s">
        <v>17</v>
      </c>
      <c r="F27" s="10" t="str">
        <f>LOOKUP(G27,Справочники!$B$2:$B$35,Справочники!$A$2:$A$35)</f>
        <v>Рекламный отдел</v>
      </c>
      <c r="G27" s="6" t="s">
        <v>27</v>
      </c>
      <c r="H27" s="16">
        <f>LOOKUP(G27,Справочники!$B$2:$B$35,Справочники!$C$2:$C$35)</f>
        <v>22000</v>
      </c>
      <c r="I27" s="6" t="s">
        <v>14</v>
      </c>
      <c r="J27" s="11">
        <v>40321</v>
      </c>
      <c r="K27" s="11">
        <v>30232</v>
      </c>
      <c r="L27" s="10">
        <f t="shared" ca="1" si="0"/>
        <v>12</v>
      </c>
      <c r="M27" s="10">
        <f t="shared" ca="1" si="0"/>
        <v>40</v>
      </c>
      <c r="N27" s="10" t="str">
        <f>LOOKUP(F27,Справочники!$F$2:$F$10,Справочники!$H$2:$H$10)</f>
        <v>+7(8332)64-32-01</v>
      </c>
    </row>
    <row r="28" spans="1:14" ht="15" hidden="1" x14ac:dyDescent="0.25">
      <c r="A28" s="10">
        <v>127</v>
      </c>
      <c r="B28" s="12" t="s">
        <v>130</v>
      </c>
      <c r="C28" s="12" t="s">
        <v>131</v>
      </c>
      <c r="D28" s="12" t="s">
        <v>132</v>
      </c>
      <c r="E28" s="10" t="s">
        <v>17</v>
      </c>
      <c r="F28" s="10" t="str">
        <f>LOOKUP(G28,Справочники!$B$2:$B$35,Справочники!$A$2:$A$35)</f>
        <v>Технологический отдел</v>
      </c>
      <c r="G28" s="6" t="s">
        <v>38</v>
      </c>
      <c r="H28" s="16">
        <f>LOOKUP(G28,Справочники!$B$2:$B$35,Справочники!$C$2:$C$35)</f>
        <v>20000</v>
      </c>
      <c r="I28" s="6" t="s">
        <v>14</v>
      </c>
      <c r="J28" s="11">
        <v>40810</v>
      </c>
      <c r="K28" s="11">
        <v>31390</v>
      </c>
      <c r="L28" s="10">
        <f t="shared" ca="1" si="0"/>
        <v>11</v>
      </c>
      <c r="M28" s="10">
        <f t="shared" ca="1" si="0"/>
        <v>36</v>
      </c>
      <c r="N28" s="10" t="str">
        <f>LOOKUP(F28,Справочники!$F$2:$F$10,Справочники!$H$2:$H$10)</f>
        <v>+7(8332)64-32-18</v>
      </c>
    </row>
    <row r="29" spans="1:14" ht="15" hidden="1" x14ac:dyDescent="0.25">
      <c r="A29" s="10">
        <v>128</v>
      </c>
      <c r="B29" s="12" t="s">
        <v>133</v>
      </c>
      <c r="C29" s="12" t="s">
        <v>90</v>
      </c>
      <c r="D29" s="12" t="s">
        <v>132</v>
      </c>
      <c r="E29" s="10" t="s">
        <v>17</v>
      </c>
      <c r="F29" s="10" t="str">
        <f>LOOKUP(G29,Справочники!$B$2:$B$35,Справочники!$A$2:$A$35)</f>
        <v>Рекламный отдел</v>
      </c>
      <c r="G29" s="6" t="s">
        <v>39</v>
      </c>
      <c r="H29" s="16">
        <f>LOOKUP(G29,Справочники!$B$2:$B$35,Справочники!$C$2:$C$35)</f>
        <v>18000</v>
      </c>
      <c r="I29" s="6" t="s">
        <v>12</v>
      </c>
      <c r="J29" s="11">
        <v>42260</v>
      </c>
      <c r="K29" s="11">
        <v>32292</v>
      </c>
      <c r="L29" s="10">
        <f t="shared" ca="1" si="0"/>
        <v>7</v>
      </c>
      <c r="M29" s="10">
        <f t="shared" ca="1" si="0"/>
        <v>34</v>
      </c>
      <c r="N29" s="10" t="str">
        <f>LOOKUP(F29,Справочники!$F$2:$F$10,Справочники!$H$2:$H$10)</f>
        <v>+7(8332)64-32-01</v>
      </c>
    </row>
    <row r="30" spans="1:14" ht="15" x14ac:dyDescent="0.25">
      <c r="A30" s="10">
        <v>129</v>
      </c>
      <c r="B30" s="12" t="s">
        <v>134</v>
      </c>
      <c r="C30" s="12" t="s">
        <v>135</v>
      </c>
      <c r="D30" s="12" t="s">
        <v>136</v>
      </c>
      <c r="E30" s="10" t="s">
        <v>17</v>
      </c>
      <c r="F30" s="10" t="str">
        <f>LOOKUP(G30,Справочники!$B$2:$B$35,Справочники!$A$2:$A$35)</f>
        <v>Рекламный отдел</v>
      </c>
      <c r="G30" s="6" t="s">
        <v>40</v>
      </c>
      <c r="H30" s="16">
        <f>LOOKUP(G30,Справочники!$B$2:$B$35,Справочники!$C$2:$C$35)</f>
        <v>15000</v>
      </c>
      <c r="I30" s="6" t="s">
        <v>14</v>
      </c>
      <c r="J30" s="11">
        <v>41972</v>
      </c>
      <c r="K30" s="11">
        <v>33851</v>
      </c>
      <c r="L30" s="10">
        <f t="shared" ca="1" si="0"/>
        <v>7</v>
      </c>
      <c r="M30" s="10">
        <f t="shared" ca="1" si="0"/>
        <v>30</v>
      </c>
      <c r="N30" s="10" t="str">
        <f>LOOKUP(F30,Справочники!$F$2:$F$10,Справочники!$H$2:$H$10)</f>
        <v>+7(8332)64-32-01</v>
      </c>
    </row>
    <row r="31" spans="1:14" ht="15" x14ac:dyDescent="0.25">
      <c r="A31" s="10">
        <v>130</v>
      </c>
      <c r="B31" s="12" t="s">
        <v>137</v>
      </c>
      <c r="C31" s="12" t="s">
        <v>138</v>
      </c>
      <c r="D31" s="12" t="s">
        <v>139</v>
      </c>
      <c r="E31" s="10" t="s">
        <v>9</v>
      </c>
      <c r="F31" s="10" t="str">
        <f>LOOKUP(G31,Справочники!$B$2:$B$35,Справочники!$A$2:$A$35)</f>
        <v>Управление</v>
      </c>
      <c r="G31" s="6" t="s">
        <v>20</v>
      </c>
      <c r="H31" s="16">
        <f>LOOKUP(G31,Справочники!$B$2:$B$35,Справочники!$C$2:$C$35)</f>
        <v>15000</v>
      </c>
      <c r="I31" s="6" t="s">
        <v>25</v>
      </c>
      <c r="J31" s="11">
        <v>42765</v>
      </c>
      <c r="K31" s="11">
        <v>34714</v>
      </c>
      <c r="L31" s="10">
        <f t="shared" ca="1" si="0"/>
        <v>5</v>
      </c>
      <c r="M31" s="10">
        <f t="shared" ca="1" si="0"/>
        <v>27</v>
      </c>
      <c r="N31" s="10" t="str">
        <f>LOOKUP(F31,Справочники!$F$2:$F$10,Справочники!$H$2:$H$10)</f>
        <v>+7(8332)64-32-18</v>
      </c>
    </row>
    <row r="32" spans="1:14" ht="15" hidden="1" x14ac:dyDescent="0.25">
      <c r="A32" s="10">
        <v>131</v>
      </c>
      <c r="B32" s="12" t="s">
        <v>140</v>
      </c>
      <c r="C32" s="12" t="s">
        <v>141</v>
      </c>
      <c r="D32" s="12" t="s">
        <v>142</v>
      </c>
      <c r="E32" s="10" t="s">
        <v>17</v>
      </c>
      <c r="F32" s="10" t="str">
        <f>LOOKUP(G32,Справочники!$B$2:$B$35,Справочники!$A$2:$A$35)</f>
        <v>Рекламный отдел</v>
      </c>
      <c r="G32" s="6" t="s">
        <v>27</v>
      </c>
      <c r="H32" s="16">
        <f>LOOKUP(G32,Справочники!$B$2:$B$35,Справочники!$C$2:$C$35)</f>
        <v>22000</v>
      </c>
      <c r="I32" s="6" t="s">
        <v>14</v>
      </c>
      <c r="J32" s="11">
        <v>39459</v>
      </c>
      <c r="K32" s="11">
        <v>27953</v>
      </c>
      <c r="L32" s="10">
        <f t="shared" ca="1" si="0"/>
        <v>14</v>
      </c>
      <c r="M32" s="10">
        <f t="shared" ca="1" si="0"/>
        <v>46</v>
      </c>
      <c r="N32" s="10" t="str">
        <f>LOOKUP(F32,Справочники!$F$2:$F$10,Справочники!$H$2:$H$10)</f>
        <v>+7(8332)64-32-01</v>
      </c>
    </row>
    <row r="33" spans="1:14" ht="15" hidden="1" x14ac:dyDescent="0.25">
      <c r="A33" s="10">
        <v>132</v>
      </c>
      <c r="B33" s="12" t="s">
        <v>143</v>
      </c>
      <c r="C33" s="12" t="s">
        <v>141</v>
      </c>
      <c r="D33" s="12" t="s">
        <v>85</v>
      </c>
      <c r="E33" s="10" t="s">
        <v>17</v>
      </c>
      <c r="F33" s="10" t="str">
        <f>LOOKUP(G33,Справочники!$B$2:$B$35,Справочники!$A$2:$A$35)</f>
        <v>Отдел продаж</v>
      </c>
      <c r="G33" s="6" t="s">
        <v>42</v>
      </c>
      <c r="H33" s="16">
        <f>LOOKUP(G33,Справочники!$B$2:$B$35,Справочники!$C$2:$C$35)</f>
        <v>15000</v>
      </c>
      <c r="I33" s="6" t="s">
        <v>12</v>
      </c>
      <c r="J33" s="11">
        <v>41306</v>
      </c>
      <c r="K33" s="11">
        <v>33115</v>
      </c>
      <c r="L33" s="10">
        <f t="shared" ca="1" si="0"/>
        <v>9</v>
      </c>
      <c r="M33" s="10">
        <f t="shared" ca="1" si="0"/>
        <v>32</v>
      </c>
      <c r="N33" s="10" t="str">
        <f>LOOKUP(F33,Справочники!$F$2:$F$10,Справочники!$H$2:$H$10)</f>
        <v>+7(8332)64-32-01</v>
      </c>
    </row>
    <row r="34" spans="1:14" ht="15" x14ac:dyDescent="0.25">
      <c r="A34" s="10">
        <v>133</v>
      </c>
      <c r="B34" s="12" t="s">
        <v>144</v>
      </c>
      <c r="C34" s="12" t="s">
        <v>84</v>
      </c>
      <c r="D34" s="12" t="s">
        <v>145</v>
      </c>
      <c r="E34" s="10" t="s">
        <v>17</v>
      </c>
      <c r="F34" s="10" t="str">
        <f>LOOKUP(G34,Справочники!$B$2:$B$35,Справочники!$A$2:$A$35)</f>
        <v>Рекламный отдел</v>
      </c>
      <c r="G34" s="6" t="s">
        <v>40</v>
      </c>
      <c r="H34" s="16">
        <f>LOOKUP(G34,Справочники!$B$2:$B$35,Справочники!$C$2:$C$35)</f>
        <v>15000</v>
      </c>
      <c r="I34" s="6" t="s">
        <v>14</v>
      </c>
      <c r="J34" s="11">
        <v>41782</v>
      </c>
      <c r="K34" s="11">
        <v>33871</v>
      </c>
      <c r="L34" s="10">
        <f t="shared" ca="1" si="0"/>
        <v>8</v>
      </c>
      <c r="M34" s="10">
        <f t="shared" ca="1" si="0"/>
        <v>30</v>
      </c>
      <c r="N34" s="10" t="str">
        <f>LOOKUP(F34,Справочники!$F$2:$F$10,Справочники!$H$2:$H$10)</f>
        <v>+7(8332)64-32-01</v>
      </c>
    </row>
    <row r="35" spans="1:14" ht="15" hidden="1" x14ac:dyDescent="0.25">
      <c r="A35" s="10">
        <v>134</v>
      </c>
      <c r="B35" s="12" t="s">
        <v>146</v>
      </c>
      <c r="C35" s="12" t="s">
        <v>147</v>
      </c>
      <c r="D35" s="12" t="s">
        <v>148</v>
      </c>
      <c r="E35" s="10" t="s">
        <v>9</v>
      </c>
      <c r="F35" s="10" t="str">
        <f>LOOKUP(G35,Справочники!$B$2:$B$35,Справочники!$A$2:$A$35)</f>
        <v>Технологический отдел</v>
      </c>
      <c r="G35" s="6" t="s">
        <v>38</v>
      </c>
      <c r="H35" s="16">
        <f>LOOKUP(G35,Справочники!$B$2:$B$35,Справочники!$C$2:$C$35)</f>
        <v>20000</v>
      </c>
      <c r="I35" s="6" t="s">
        <v>14</v>
      </c>
      <c r="J35" s="11">
        <v>35208</v>
      </c>
      <c r="K35" s="11">
        <v>25186</v>
      </c>
      <c r="L35" s="10">
        <f t="shared" ca="1" si="0"/>
        <v>26</v>
      </c>
      <c r="M35" s="10">
        <f t="shared" ca="1" si="0"/>
        <v>53</v>
      </c>
      <c r="N35" s="10" t="str">
        <f>LOOKUP(F35,Справочники!$F$2:$F$10,Справочники!$H$2:$H$10)</f>
        <v>+7(8332)64-32-18</v>
      </c>
    </row>
    <row r="36" spans="1:14" ht="15" hidden="1" x14ac:dyDescent="0.25">
      <c r="A36" s="10">
        <v>135</v>
      </c>
      <c r="B36" s="12" t="s">
        <v>149</v>
      </c>
      <c r="C36" s="12" t="s">
        <v>75</v>
      </c>
      <c r="D36" s="12" t="s">
        <v>96</v>
      </c>
      <c r="E36" s="10" t="s">
        <v>9</v>
      </c>
      <c r="F36" s="10" t="str">
        <f>LOOKUP(G36,Справочники!$B$2:$B$35,Справочники!$A$2:$A$35)</f>
        <v>Технологический отдел</v>
      </c>
      <c r="G36" s="6" t="s">
        <v>38</v>
      </c>
      <c r="H36" s="16">
        <f>LOOKUP(G36,Справочники!$B$2:$B$35,Справочники!$C$2:$C$35)</f>
        <v>20000</v>
      </c>
      <c r="I36" s="6" t="s">
        <v>25</v>
      </c>
      <c r="J36" s="11">
        <v>35290</v>
      </c>
      <c r="K36" s="11">
        <v>23891</v>
      </c>
      <c r="L36" s="10">
        <f t="shared" ca="1" si="0"/>
        <v>26</v>
      </c>
      <c r="M36" s="10">
        <f t="shared" ca="1" si="0"/>
        <v>57</v>
      </c>
      <c r="N36" s="10" t="str">
        <f>LOOKUP(F36,Справочники!$F$2:$F$10,Справочники!$H$2:$H$10)</f>
        <v>+7(8332)64-32-18</v>
      </c>
    </row>
    <row r="37" spans="1:14" ht="15" hidden="1" x14ac:dyDescent="0.25">
      <c r="A37" s="10">
        <v>136</v>
      </c>
      <c r="B37" s="12" t="s">
        <v>150</v>
      </c>
      <c r="C37" s="12" t="s">
        <v>151</v>
      </c>
      <c r="D37" s="12" t="s">
        <v>152</v>
      </c>
      <c r="E37" s="10" t="s">
        <v>9</v>
      </c>
      <c r="F37" s="10" t="str">
        <f>LOOKUP(G37,Справочники!$B$2:$B$35,Справочники!$A$2:$A$35)</f>
        <v>Рекламный отдел</v>
      </c>
      <c r="G37" s="6" t="s">
        <v>27</v>
      </c>
      <c r="H37" s="16">
        <f>LOOKUP(G37,Справочники!$B$2:$B$35,Справочники!$C$2:$C$35)</f>
        <v>22000</v>
      </c>
      <c r="I37" s="6" t="s">
        <v>25</v>
      </c>
      <c r="J37" s="11">
        <v>39479</v>
      </c>
      <c r="K37" s="11">
        <v>27737</v>
      </c>
      <c r="L37" s="10">
        <f t="shared" ca="1" si="0"/>
        <v>14</v>
      </c>
      <c r="M37" s="10">
        <f t="shared" ca="1" si="0"/>
        <v>46</v>
      </c>
      <c r="N37" s="10" t="str">
        <f>LOOKUP(F37,Справочники!$F$2:$F$10,Справочники!$H$2:$H$10)</f>
        <v>+7(8332)64-32-01</v>
      </c>
    </row>
    <row r="38" spans="1:14" ht="15" x14ac:dyDescent="0.25">
      <c r="A38" s="10">
        <v>137</v>
      </c>
      <c r="B38" s="12" t="s">
        <v>153</v>
      </c>
      <c r="C38" s="12" t="s">
        <v>114</v>
      </c>
      <c r="D38" s="12" t="s">
        <v>154</v>
      </c>
      <c r="E38" s="10" t="s">
        <v>9</v>
      </c>
      <c r="F38" s="10" t="str">
        <f>LOOKUP(G38,Справочники!$B$2:$B$35,Справочники!$A$2:$A$35)</f>
        <v>Управление</v>
      </c>
      <c r="G38" s="6" t="s">
        <v>20</v>
      </c>
      <c r="H38" s="16">
        <f>LOOKUP(G38,Справочники!$B$2:$B$35,Справочники!$C$2:$C$35)</f>
        <v>15000</v>
      </c>
      <c r="I38" s="6" t="s">
        <v>25</v>
      </c>
      <c r="J38" s="11">
        <v>42271</v>
      </c>
      <c r="K38" s="11">
        <v>33851</v>
      </c>
      <c r="L38" s="10">
        <f t="shared" ca="1" si="0"/>
        <v>7</v>
      </c>
      <c r="M38" s="10">
        <f t="shared" ca="1" si="0"/>
        <v>30</v>
      </c>
      <c r="N38" s="10" t="str">
        <f>LOOKUP(F38,Справочники!$F$2:$F$10,Справочники!$H$2:$H$10)</f>
        <v>+7(8332)64-32-18</v>
      </c>
    </row>
    <row r="39" spans="1:14" ht="15" hidden="1" x14ac:dyDescent="0.25">
      <c r="A39" s="10">
        <v>138</v>
      </c>
      <c r="B39" s="12" t="s">
        <v>155</v>
      </c>
      <c r="C39" s="12" t="s">
        <v>108</v>
      </c>
      <c r="D39" s="12" t="s">
        <v>156</v>
      </c>
      <c r="E39" s="10" t="s">
        <v>9</v>
      </c>
      <c r="F39" s="10" t="str">
        <f>LOOKUP(G39,Справочники!$B$2:$B$35,Справочники!$A$2:$A$35)</f>
        <v>Отдел худ. оформления</v>
      </c>
      <c r="G39" s="6" t="s">
        <v>44</v>
      </c>
      <c r="H39" s="16">
        <f>LOOKUP(G39,Справочники!$B$2:$B$35,Справочники!$C$2:$C$35)</f>
        <v>18000</v>
      </c>
      <c r="I39" s="6" t="s">
        <v>14</v>
      </c>
      <c r="J39" s="11">
        <v>34380</v>
      </c>
      <c r="K39" s="11">
        <v>23757</v>
      </c>
      <c r="L39" s="10">
        <f t="shared" ca="1" si="0"/>
        <v>28</v>
      </c>
      <c r="M39" s="10">
        <f t="shared" ca="1" si="0"/>
        <v>57</v>
      </c>
      <c r="N39" s="10" t="str">
        <f>LOOKUP(F39,Справочники!$F$2:$F$10,Справочники!$H$2:$H$10)</f>
        <v>+7(8332)64-32-01</v>
      </c>
    </row>
    <row r="40" spans="1:14" ht="15" hidden="1" x14ac:dyDescent="0.25">
      <c r="A40" s="10">
        <v>139</v>
      </c>
      <c r="B40" s="12" t="s">
        <v>157</v>
      </c>
      <c r="C40" s="12" t="s">
        <v>158</v>
      </c>
      <c r="D40" s="12" t="s">
        <v>159</v>
      </c>
      <c r="E40" s="10" t="s">
        <v>9</v>
      </c>
      <c r="F40" s="10" t="str">
        <f>LOOKUP(G40,Справочники!$B$2:$B$35,Справочники!$A$2:$A$35)</f>
        <v>Управление</v>
      </c>
      <c r="G40" s="6" t="s">
        <v>20</v>
      </c>
      <c r="H40" s="16">
        <f>LOOKUP(G40,Справочники!$B$2:$B$35,Справочники!$C$2:$C$35)</f>
        <v>15000</v>
      </c>
      <c r="I40" s="6" t="s">
        <v>12</v>
      </c>
      <c r="J40" s="11">
        <v>41697</v>
      </c>
      <c r="K40" s="11">
        <v>33022</v>
      </c>
      <c r="L40" s="10">
        <f t="shared" ca="1" si="0"/>
        <v>8</v>
      </c>
      <c r="M40" s="10">
        <f t="shared" ca="1" si="0"/>
        <v>32</v>
      </c>
      <c r="N40" s="10" t="str">
        <f>LOOKUP(F40,Справочники!$F$2:$F$10,Справочники!$H$2:$H$10)</f>
        <v>+7(8332)64-32-18</v>
      </c>
    </row>
    <row r="41" spans="1:14" ht="15" hidden="1" x14ac:dyDescent="0.25">
      <c r="A41" s="10">
        <v>140</v>
      </c>
      <c r="B41" s="12" t="s">
        <v>160</v>
      </c>
      <c r="C41" s="12" t="s">
        <v>161</v>
      </c>
      <c r="D41" s="12" t="s">
        <v>162</v>
      </c>
      <c r="E41" s="10" t="s">
        <v>9</v>
      </c>
      <c r="F41" s="10" t="str">
        <f>LOOKUP(G41,Справочники!$B$2:$B$35,Справочники!$A$2:$A$35)</f>
        <v>Рекламный отдел</v>
      </c>
      <c r="G41" s="6" t="s">
        <v>40</v>
      </c>
      <c r="H41" s="16">
        <f>LOOKUP(G41,Справочники!$B$2:$B$35,Справочники!$C$2:$C$35)</f>
        <v>15000</v>
      </c>
      <c r="I41" s="6" t="s">
        <v>25</v>
      </c>
      <c r="J41" s="11">
        <v>39641</v>
      </c>
      <c r="K41" s="11">
        <v>29284</v>
      </c>
      <c r="L41" s="10">
        <f t="shared" ca="1" si="0"/>
        <v>14</v>
      </c>
      <c r="M41" s="10">
        <f t="shared" ca="1" si="0"/>
        <v>42</v>
      </c>
      <c r="N41" s="10" t="str">
        <f>LOOKUP(F41,Справочники!$F$2:$F$10,Справочники!$H$2:$H$10)</f>
        <v>+7(8332)64-32-01</v>
      </c>
    </row>
    <row r="42" spans="1:14" ht="15" hidden="1" x14ac:dyDescent="0.25">
      <c r="A42" s="10">
        <v>141</v>
      </c>
      <c r="B42" s="12" t="s">
        <v>163</v>
      </c>
      <c r="C42" s="12" t="s">
        <v>164</v>
      </c>
      <c r="D42" s="12" t="s">
        <v>93</v>
      </c>
      <c r="E42" s="10" t="s">
        <v>17</v>
      </c>
      <c r="F42" s="10" t="str">
        <f>LOOKUP(G42,Справочники!$B$2:$B$35,Справочники!$A$2:$A$35)</f>
        <v>Отдел худ. оформления</v>
      </c>
      <c r="G42" s="6" t="s">
        <v>44</v>
      </c>
      <c r="H42" s="16">
        <f>LOOKUP(G42,Справочники!$B$2:$B$35,Справочники!$C$2:$C$35)</f>
        <v>18000</v>
      </c>
      <c r="I42" s="6" t="s">
        <v>14</v>
      </c>
      <c r="J42" s="11">
        <v>35290</v>
      </c>
      <c r="K42" s="11">
        <v>27405</v>
      </c>
      <c r="L42" s="10">
        <f t="shared" ca="1" si="0"/>
        <v>26</v>
      </c>
      <c r="M42" s="10">
        <f t="shared" ca="1" si="0"/>
        <v>47</v>
      </c>
      <c r="N42" s="10" t="str">
        <f>LOOKUP(F42,Справочники!$F$2:$F$10,Справочники!$H$2:$H$10)</f>
        <v>+7(8332)64-32-01</v>
      </c>
    </row>
    <row r="43" spans="1:14" ht="15" hidden="1" x14ac:dyDescent="0.25">
      <c r="A43" s="10">
        <v>142</v>
      </c>
      <c r="B43" s="12" t="s">
        <v>165</v>
      </c>
      <c r="C43" s="12" t="s">
        <v>166</v>
      </c>
      <c r="D43" s="12" t="s">
        <v>127</v>
      </c>
      <c r="E43" s="10" t="s">
        <v>9</v>
      </c>
      <c r="F43" s="10" t="str">
        <f>LOOKUP(G43,Справочники!$B$2:$B$35,Справочники!$A$2:$A$35)</f>
        <v>Склад</v>
      </c>
      <c r="G43" s="6" t="s">
        <v>46</v>
      </c>
      <c r="H43" s="16">
        <f>LOOKUP(G43,Справочники!$B$2:$B$35,Справочники!$C$2:$C$35)</f>
        <v>15000</v>
      </c>
      <c r="I43" s="6" t="s">
        <v>33</v>
      </c>
      <c r="J43" s="11">
        <v>34955</v>
      </c>
      <c r="K43" s="11">
        <v>24134</v>
      </c>
      <c r="L43" s="10">
        <f t="shared" ca="1" si="0"/>
        <v>27</v>
      </c>
      <c r="M43" s="10">
        <f t="shared" ca="1" si="0"/>
        <v>56</v>
      </c>
      <c r="N43" s="10" t="str">
        <f>LOOKUP(F43,Справочники!$F$2:$F$10,Справочники!$H$2:$H$10)</f>
        <v>+7(8332)64-32-23</v>
      </c>
    </row>
    <row r="44" spans="1:14" ht="15" hidden="1" x14ac:dyDescent="0.25">
      <c r="A44" s="10">
        <v>143</v>
      </c>
      <c r="B44" s="12" t="s">
        <v>167</v>
      </c>
      <c r="C44" s="12" t="s">
        <v>168</v>
      </c>
      <c r="D44" s="12" t="s">
        <v>169</v>
      </c>
      <c r="E44" s="10" t="s">
        <v>17</v>
      </c>
      <c r="F44" s="10" t="str">
        <f>LOOKUP(G44,Справочники!$B$2:$B$35,Справочники!$A$2:$A$35)</f>
        <v>Склад</v>
      </c>
      <c r="G44" s="6" t="s">
        <v>47</v>
      </c>
      <c r="H44" s="16">
        <f>LOOKUP(G44,Справочники!$B$2:$B$35,Справочники!$C$2:$C$35)</f>
        <v>11000</v>
      </c>
      <c r="I44" s="6" t="s">
        <v>33</v>
      </c>
      <c r="J44" s="11">
        <v>42016</v>
      </c>
      <c r="K44" s="11">
        <v>30232</v>
      </c>
      <c r="L44" s="10">
        <f t="shared" ca="1" si="0"/>
        <v>7</v>
      </c>
      <c r="M44" s="10">
        <f t="shared" ca="1" si="0"/>
        <v>40</v>
      </c>
      <c r="N44" s="10" t="str">
        <f>LOOKUP(F44,Справочники!$F$2:$F$10,Справочники!$H$2:$H$10)</f>
        <v>+7(8332)64-32-23</v>
      </c>
    </row>
    <row r="45" spans="1:14" ht="15" hidden="1" x14ac:dyDescent="0.25">
      <c r="A45" s="10">
        <v>144</v>
      </c>
      <c r="B45" s="12" t="s">
        <v>170</v>
      </c>
      <c r="C45" s="12" t="s">
        <v>164</v>
      </c>
      <c r="D45" s="12" t="s">
        <v>171</v>
      </c>
      <c r="E45" s="10" t="s">
        <v>17</v>
      </c>
      <c r="F45" s="10" t="str">
        <f>LOOKUP(G45,Справочники!$B$2:$B$35,Справочники!$A$2:$A$35)</f>
        <v>Склад</v>
      </c>
      <c r="G45" s="6" t="s">
        <v>47</v>
      </c>
      <c r="H45" s="16">
        <f>LOOKUP(G45,Справочники!$B$2:$B$35,Справочники!$C$2:$C$35)</f>
        <v>11000</v>
      </c>
      <c r="I45" s="6" t="s">
        <v>33</v>
      </c>
      <c r="J45" s="11">
        <v>43115</v>
      </c>
      <c r="K45" s="11">
        <v>33207</v>
      </c>
      <c r="L45" s="10">
        <f t="shared" ca="1" si="0"/>
        <v>4</v>
      </c>
      <c r="M45" s="10">
        <f t="shared" ca="1" si="0"/>
        <v>31</v>
      </c>
      <c r="N45" s="10" t="str">
        <f>LOOKUP(F45,Справочники!$F$2:$F$10,Справочники!$H$2:$H$10)</f>
        <v>+7(8332)64-32-23</v>
      </c>
    </row>
    <row r="46" spans="1:14" ht="15" hidden="1" x14ac:dyDescent="0.25">
      <c r="A46" s="10">
        <v>145</v>
      </c>
      <c r="B46" s="12" t="s">
        <v>172</v>
      </c>
      <c r="C46" s="12" t="s">
        <v>131</v>
      </c>
      <c r="D46" s="12" t="s">
        <v>145</v>
      </c>
      <c r="E46" s="10" t="s">
        <v>17</v>
      </c>
      <c r="F46" s="10" t="str">
        <f>LOOKUP(G46,Справочники!$B$2:$B$35,Справочники!$A$2:$A$35)</f>
        <v>Склад</v>
      </c>
      <c r="G46" s="6" t="s">
        <v>48</v>
      </c>
      <c r="H46" s="16">
        <f>LOOKUP(G46,Справочники!$B$2:$B$35,Справочники!$C$2:$C$35)</f>
        <v>22000</v>
      </c>
      <c r="I46" s="6" t="s">
        <v>25</v>
      </c>
      <c r="J46" s="11">
        <v>34788</v>
      </c>
      <c r="K46" s="11">
        <v>25204</v>
      </c>
      <c r="L46" s="10">
        <f t="shared" ca="1" si="0"/>
        <v>27</v>
      </c>
      <c r="M46" s="10">
        <f t="shared" ca="1" si="0"/>
        <v>53</v>
      </c>
      <c r="N46" s="10" t="str">
        <f>LOOKUP(F46,Справочники!$F$2:$F$10,Справочники!$H$2:$H$10)</f>
        <v>+7(8332)64-32-23</v>
      </c>
    </row>
    <row r="47" spans="1:14" ht="15" hidden="1" x14ac:dyDescent="0.25">
      <c r="A47" s="10">
        <v>146</v>
      </c>
      <c r="B47" s="12" t="s">
        <v>173</v>
      </c>
      <c r="C47" s="12" t="s">
        <v>129</v>
      </c>
      <c r="D47" s="12" t="s">
        <v>174</v>
      </c>
      <c r="E47" s="10" t="s">
        <v>17</v>
      </c>
      <c r="F47" s="10" t="str">
        <f>LOOKUP(G47,Справочники!$B$2:$B$35,Справочники!$A$2:$A$35)</f>
        <v>Склад</v>
      </c>
      <c r="G47" s="6" t="s">
        <v>46</v>
      </c>
      <c r="H47" s="16">
        <f>LOOKUP(G47,Справочники!$B$2:$B$35,Справочники!$C$2:$C$35)</f>
        <v>15000</v>
      </c>
      <c r="I47" s="6" t="s">
        <v>33</v>
      </c>
      <c r="J47" s="11">
        <v>35032</v>
      </c>
      <c r="K47" s="11">
        <v>26821</v>
      </c>
      <c r="L47" s="10">
        <f t="shared" ca="1" si="0"/>
        <v>26</v>
      </c>
      <c r="M47" s="10">
        <f t="shared" ca="1" si="0"/>
        <v>49</v>
      </c>
      <c r="N47" s="10" t="str">
        <f>LOOKUP(F47,Справочники!$F$2:$F$10,Справочники!$H$2:$H$10)</f>
        <v>+7(8332)64-32-23</v>
      </c>
    </row>
    <row r="48" spans="1:14" ht="15" hidden="1" x14ac:dyDescent="0.25">
      <c r="A48" s="10">
        <v>147</v>
      </c>
      <c r="B48" s="12" t="s">
        <v>175</v>
      </c>
      <c r="C48" s="12" t="s">
        <v>176</v>
      </c>
      <c r="D48" s="12" t="s">
        <v>177</v>
      </c>
      <c r="E48" s="10" t="s">
        <v>17</v>
      </c>
      <c r="F48" s="10" t="str">
        <f>LOOKUP(G48,Справочники!$B$2:$B$35,Справочники!$A$2:$A$35)</f>
        <v>Склад</v>
      </c>
      <c r="G48" s="6" t="s">
        <v>47</v>
      </c>
      <c r="H48" s="16">
        <f>LOOKUP(G48,Справочники!$B$2:$B$35,Справочники!$C$2:$C$35)</f>
        <v>11000</v>
      </c>
      <c r="I48" s="6" t="s">
        <v>33</v>
      </c>
      <c r="J48" s="11">
        <v>42399</v>
      </c>
      <c r="K48" s="11">
        <v>33858</v>
      </c>
      <c r="L48" s="10">
        <f t="shared" ca="1" si="0"/>
        <v>6</v>
      </c>
      <c r="M48" s="10">
        <f t="shared" ca="1" si="0"/>
        <v>30</v>
      </c>
      <c r="N48" s="10" t="str">
        <f>LOOKUP(F48,Справочники!$F$2:$F$10,Справочники!$H$2:$H$10)</f>
        <v>+7(8332)64-32-23</v>
      </c>
    </row>
    <row r="49" spans="1:14" ht="15" hidden="1" x14ac:dyDescent="0.25">
      <c r="A49" s="10">
        <v>148</v>
      </c>
      <c r="B49" s="12" t="s">
        <v>178</v>
      </c>
      <c r="C49" s="12" t="s">
        <v>179</v>
      </c>
      <c r="D49" s="12" t="s">
        <v>101</v>
      </c>
      <c r="E49" s="10" t="s">
        <v>17</v>
      </c>
      <c r="F49" s="10" t="str">
        <f>LOOKUP(G49,Справочники!$B$2:$B$35,Справочники!$A$2:$A$35)</f>
        <v>Рекламный отдел</v>
      </c>
      <c r="G49" s="6" t="s">
        <v>27</v>
      </c>
      <c r="H49" s="16">
        <f>LOOKUP(G49,Справочники!$B$2:$B$35,Справочники!$C$2:$C$35)</f>
        <v>22000</v>
      </c>
      <c r="I49" s="6" t="s">
        <v>14</v>
      </c>
      <c r="J49" s="11">
        <v>43539</v>
      </c>
      <c r="K49" s="11">
        <v>27737</v>
      </c>
      <c r="L49" s="10">
        <f t="shared" ca="1" si="0"/>
        <v>3</v>
      </c>
      <c r="M49" s="10">
        <f t="shared" ca="1" si="0"/>
        <v>46</v>
      </c>
      <c r="N49" s="10" t="str">
        <f>LOOKUP(F49,Справочники!$F$2:$F$10,Справочники!$H$2:$H$10)</f>
        <v>+7(8332)64-32-01</v>
      </c>
    </row>
    <row r="50" spans="1:14" ht="15" hidden="1" x14ac:dyDescent="0.25">
      <c r="A50" s="10">
        <v>149</v>
      </c>
      <c r="B50" s="12" t="s">
        <v>180</v>
      </c>
      <c r="C50" s="12" t="s">
        <v>181</v>
      </c>
      <c r="D50" s="12" t="s">
        <v>132</v>
      </c>
      <c r="E50" s="10" t="s">
        <v>17</v>
      </c>
      <c r="F50" s="10" t="str">
        <f>LOOKUP(G50,Справочники!$B$2:$B$35,Справочники!$A$2:$A$35)</f>
        <v>Транспортный отдел</v>
      </c>
      <c r="G50" s="6" t="s">
        <v>50</v>
      </c>
      <c r="H50" s="16">
        <f>LOOKUP(G50,Справочники!$B$2:$B$35,Справочники!$C$2:$C$35)</f>
        <v>12000</v>
      </c>
      <c r="I50" s="6" t="s">
        <v>33</v>
      </c>
      <c r="J50" s="11">
        <v>34759</v>
      </c>
      <c r="K50" s="11">
        <v>25186</v>
      </c>
      <c r="L50" s="10">
        <f t="shared" ca="1" si="0"/>
        <v>27</v>
      </c>
      <c r="M50" s="10">
        <f t="shared" ca="1" si="0"/>
        <v>53</v>
      </c>
      <c r="N50" s="10" t="str">
        <f>LOOKUP(F50,Справочники!$F$2:$F$10,Справочники!$H$2:$H$10)</f>
        <v>+7(8332)64-32-18</v>
      </c>
    </row>
    <row r="51" spans="1:14" ht="15" hidden="1" x14ac:dyDescent="0.25">
      <c r="A51" s="10">
        <v>150</v>
      </c>
      <c r="B51" s="12" t="s">
        <v>182</v>
      </c>
      <c r="C51" s="12" t="s">
        <v>75</v>
      </c>
      <c r="D51" s="12" t="s">
        <v>76</v>
      </c>
      <c r="E51" s="10" t="s">
        <v>9</v>
      </c>
      <c r="F51" s="10" t="str">
        <f>LOOKUP(G51,Справочники!$B$2:$B$35,Справочники!$A$2:$A$35)</f>
        <v>Редакторский отдел</v>
      </c>
      <c r="G51" s="6" t="s">
        <v>52</v>
      </c>
      <c r="H51" s="16">
        <f>LOOKUP(G51,Справочники!$B$2:$B$35,Справочники!$C$2:$C$35)</f>
        <v>16000</v>
      </c>
      <c r="I51" s="6" t="s">
        <v>14</v>
      </c>
      <c r="J51" s="11">
        <v>34714</v>
      </c>
      <c r="K51" s="11">
        <v>22250</v>
      </c>
      <c r="L51" s="10">
        <f t="shared" ca="1" si="0"/>
        <v>27</v>
      </c>
      <c r="M51" s="10">
        <f t="shared" ca="1" si="0"/>
        <v>61</v>
      </c>
      <c r="N51" s="10" t="str">
        <f>LOOKUP(F51,Справочники!$F$2:$F$10,Справочники!$H$2:$H$10)</f>
        <v>+7(8332)64-32-01</v>
      </c>
    </row>
    <row r="52" spans="1:14" ht="15" hidden="1" x14ac:dyDescent="0.25">
      <c r="A52" s="10">
        <v>151</v>
      </c>
      <c r="B52" s="12" t="s">
        <v>183</v>
      </c>
      <c r="C52" s="12" t="s">
        <v>161</v>
      </c>
      <c r="D52" s="12" t="s">
        <v>184</v>
      </c>
      <c r="E52" s="10" t="s">
        <v>9</v>
      </c>
      <c r="F52" s="10" t="str">
        <f>LOOKUP(G52,Справочники!$B$2:$B$35,Справочники!$A$2:$A$35)</f>
        <v>Редакторский отдел</v>
      </c>
      <c r="G52" s="7" t="s">
        <v>53</v>
      </c>
      <c r="H52" s="16">
        <f>LOOKUP(G52,Справочники!$B$2:$B$35,Справочники!$C$2:$C$35)</f>
        <v>19000</v>
      </c>
      <c r="I52" s="6" t="s">
        <v>25</v>
      </c>
      <c r="J52" s="11">
        <v>35445</v>
      </c>
      <c r="K52" s="11">
        <v>26821</v>
      </c>
      <c r="L52" s="10">
        <f t="shared" ca="1" si="0"/>
        <v>25</v>
      </c>
      <c r="M52" s="10">
        <f t="shared" ca="1" si="0"/>
        <v>49</v>
      </c>
      <c r="N52" s="10" t="str">
        <f>LOOKUP(F52,Справочники!$F$2:$F$10,Справочники!$H$2:$H$10)</f>
        <v>+7(8332)64-32-01</v>
      </c>
    </row>
    <row r="53" spans="1:14" ht="15" hidden="1" x14ac:dyDescent="0.25">
      <c r="A53" s="10">
        <v>152</v>
      </c>
      <c r="B53" s="12" t="s">
        <v>185</v>
      </c>
      <c r="C53" s="12" t="s">
        <v>186</v>
      </c>
      <c r="D53" s="12" t="s">
        <v>76</v>
      </c>
      <c r="E53" s="10" t="s">
        <v>9</v>
      </c>
      <c r="F53" s="10" t="str">
        <f>LOOKUP(G53,Справочники!$B$2:$B$35,Справочники!$A$2:$A$35)</f>
        <v>Редакторский отдел</v>
      </c>
      <c r="G53" s="7" t="s">
        <v>54</v>
      </c>
      <c r="H53" s="16">
        <f>LOOKUP(G53,Справочники!$B$2:$B$35,Справочники!$C$2:$C$35)</f>
        <v>14000</v>
      </c>
      <c r="I53" s="6" t="s">
        <v>25</v>
      </c>
      <c r="J53" s="11">
        <v>40998</v>
      </c>
      <c r="K53" s="11">
        <v>30213</v>
      </c>
      <c r="L53" s="10">
        <f t="shared" ca="1" si="0"/>
        <v>10</v>
      </c>
      <c r="M53" s="10">
        <f t="shared" ca="1" si="0"/>
        <v>40</v>
      </c>
      <c r="N53" s="10" t="str">
        <f>LOOKUP(F53,Справочники!$F$2:$F$10,Справочники!$H$2:$H$10)</f>
        <v>+7(8332)64-32-01</v>
      </c>
    </row>
    <row r="54" spans="1:14" ht="15" hidden="1" x14ac:dyDescent="0.25">
      <c r="A54" s="10">
        <v>153</v>
      </c>
      <c r="B54" s="12" t="s">
        <v>187</v>
      </c>
      <c r="C54" s="12" t="s">
        <v>158</v>
      </c>
      <c r="D54" s="12" t="s">
        <v>111</v>
      </c>
      <c r="E54" s="10" t="s">
        <v>9</v>
      </c>
      <c r="F54" s="10" t="str">
        <f>LOOKUP(G54,Справочники!$B$2:$B$35,Справочники!$A$2:$A$35)</f>
        <v>Редакторский отдел</v>
      </c>
      <c r="G54" s="6" t="s">
        <v>52</v>
      </c>
      <c r="H54" s="16">
        <f>LOOKUP(G54,Справочники!$B$2:$B$35,Справочники!$C$2:$C$35)</f>
        <v>16000</v>
      </c>
      <c r="I54" s="6" t="s">
        <v>14</v>
      </c>
      <c r="J54" s="11">
        <v>36220</v>
      </c>
      <c r="K54" s="11">
        <v>26580</v>
      </c>
      <c r="L54" s="10">
        <f t="shared" ca="1" si="0"/>
        <v>23</v>
      </c>
      <c r="M54" s="10">
        <f t="shared" ca="1" si="0"/>
        <v>50</v>
      </c>
      <c r="N54" s="10" t="str">
        <f>LOOKUP(F54,Справочники!$F$2:$F$10,Справочники!$H$2:$H$10)</f>
        <v>+7(8332)64-32-01</v>
      </c>
    </row>
    <row r="55" spans="1:14" ht="15" hidden="1" x14ac:dyDescent="0.25">
      <c r="A55" s="10">
        <v>154</v>
      </c>
      <c r="B55" s="12" t="s">
        <v>188</v>
      </c>
      <c r="C55" s="12" t="s">
        <v>189</v>
      </c>
      <c r="D55" s="12" t="s">
        <v>162</v>
      </c>
      <c r="E55" s="10" t="s">
        <v>9</v>
      </c>
      <c r="F55" s="10" t="str">
        <f>LOOKUP(G55,Справочники!$B$2:$B$35,Справочники!$A$2:$A$35)</f>
        <v>Редакторский отдел</v>
      </c>
      <c r="G55" s="7" t="s">
        <v>54</v>
      </c>
      <c r="H55" s="16">
        <f>LOOKUP(G55,Справочники!$B$2:$B$35,Справочники!$C$2:$C$35)</f>
        <v>14000</v>
      </c>
      <c r="I55" s="6" t="s">
        <v>14</v>
      </c>
      <c r="J55" s="11">
        <v>35258</v>
      </c>
      <c r="K55" s="11">
        <v>21600</v>
      </c>
      <c r="L55" s="10">
        <f t="shared" ca="1" si="0"/>
        <v>26</v>
      </c>
      <c r="M55" s="10">
        <f t="shared" ca="1" si="0"/>
        <v>63</v>
      </c>
      <c r="N55" s="10" t="str">
        <f>LOOKUP(F55,Справочники!$F$2:$F$10,Справочники!$H$2:$H$10)</f>
        <v>+7(8332)64-32-01</v>
      </c>
    </row>
    <row r="56" spans="1:14" ht="15" hidden="1" x14ac:dyDescent="0.25">
      <c r="A56" s="10">
        <v>155</v>
      </c>
      <c r="B56" s="12" t="s">
        <v>190</v>
      </c>
      <c r="C56" s="12" t="s">
        <v>191</v>
      </c>
      <c r="D56" s="12" t="s">
        <v>192</v>
      </c>
      <c r="E56" s="10" t="s">
        <v>9</v>
      </c>
      <c r="F56" s="10" t="str">
        <f>LOOKUP(G56,Справочники!$B$2:$B$35,Справочники!$A$2:$A$35)</f>
        <v>Редакторский отдел</v>
      </c>
      <c r="G56" s="7" t="s">
        <v>55</v>
      </c>
      <c r="H56" s="16">
        <f>LOOKUP(G56,Справочники!$B$2:$B$35,Справочники!$C$2:$C$35)</f>
        <v>14000</v>
      </c>
      <c r="I56" s="6" t="s">
        <v>14</v>
      </c>
      <c r="J56" s="11">
        <v>35442</v>
      </c>
      <c r="K56" s="11">
        <v>24134</v>
      </c>
      <c r="L56" s="10">
        <f t="shared" ca="1" si="0"/>
        <v>25</v>
      </c>
      <c r="M56" s="10">
        <f t="shared" ca="1" si="0"/>
        <v>56</v>
      </c>
      <c r="N56" s="10" t="str">
        <f>LOOKUP(F56,Справочники!$F$2:$F$10,Справочники!$H$2:$H$10)</f>
        <v>+7(8332)64-32-01</v>
      </c>
    </row>
    <row r="57" spans="1:14" ht="15" hidden="1" x14ac:dyDescent="0.25">
      <c r="A57" s="10">
        <v>156</v>
      </c>
      <c r="B57" s="12" t="s">
        <v>193</v>
      </c>
      <c r="C57" s="12" t="s">
        <v>108</v>
      </c>
      <c r="D57" s="12" t="s">
        <v>194</v>
      </c>
      <c r="E57" s="10" t="s">
        <v>9</v>
      </c>
      <c r="F57" s="10" t="str">
        <f>LOOKUP(G57,Справочники!$B$2:$B$35,Справочники!$A$2:$A$35)</f>
        <v>Редакторский отдел</v>
      </c>
      <c r="G57" s="7" t="s">
        <v>55</v>
      </c>
      <c r="H57" s="16">
        <f>LOOKUP(G57,Справочники!$B$2:$B$35,Справочники!$C$2:$C$35)</f>
        <v>14000</v>
      </c>
      <c r="I57" s="6" t="s">
        <v>25</v>
      </c>
      <c r="J57" s="11">
        <v>35460</v>
      </c>
      <c r="K57" s="11">
        <v>21194</v>
      </c>
      <c r="L57" s="10">
        <f t="shared" ca="1" si="0"/>
        <v>25</v>
      </c>
      <c r="M57" s="10">
        <f t="shared" ca="1" si="0"/>
        <v>64</v>
      </c>
      <c r="N57" s="10" t="str">
        <f>LOOKUP(F57,Справочники!$F$2:$F$10,Справочники!$H$2:$H$10)</f>
        <v>+7(8332)64-32-01</v>
      </c>
    </row>
    <row r="58" spans="1:14" ht="15" hidden="1" x14ac:dyDescent="0.25">
      <c r="A58" s="10">
        <v>157</v>
      </c>
      <c r="B58" s="12" t="s">
        <v>195</v>
      </c>
      <c r="C58" s="12" t="s">
        <v>196</v>
      </c>
      <c r="D58" s="12" t="s">
        <v>197</v>
      </c>
      <c r="E58" s="10" t="s">
        <v>9</v>
      </c>
      <c r="F58" s="10" t="str">
        <f>LOOKUP(G58,Справочники!$B$2:$B$35,Справочники!$A$2:$A$35)</f>
        <v>Технологический отдел</v>
      </c>
      <c r="G58" s="6" t="s">
        <v>31</v>
      </c>
      <c r="H58" s="16">
        <f>LOOKUP(G58,Справочники!$B$2:$B$35,Справочники!$C$2:$C$35)</f>
        <v>12000</v>
      </c>
      <c r="I58" s="6" t="s">
        <v>12</v>
      </c>
      <c r="J58" s="11">
        <v>39887</v>
      </c>
      <c r="K58" s="11">
        <v>30205</v>
      </c>
      <c r="L58" s="10">
        <f t="shared" ca="1" si="0"/>
        <v>13</v>
      </c>
      <c r="M58" s="10">
        <f t="shared" ca="1" si="0"/>
        <v>40</v>
      </c>
      <c r="N58" s="10" t="str">
        <f>LOOKUP(F58,Справочники!$F$2:$F$10,Справочники!$H$2:$H$10)</f>
        <v>+7(8332)64-32-18</v>
      </c>
    </row>
    <row r="59" spans="1:14" ht="15" hidden="1" x14ac:dyDescent="0.25">
      <c r="A59" s="10">
        <v>158</v>
      </c>
      <c r="B59" s="12" t="s">
        <v>198</v>
      </c>
      <c r="C59" s="12" t="s">
        <v>199</v>
      </c>
      <c r="D59" s="12" t="s">
        <v>159</v>
      </c>
      <c r="E59" s="10" t="s">
        <v>9</v>
      </c>
      <c r="F59" s="10" t="str">
        <f>LOOKUP(G59,Справочники!$B$2:$B$35,Справочники!$A$2:$A$35)</f>
        <v>Редакторский отдел</v>
      </c>
      <c r="G59" s="7" t="s">
        <v>54</v>
      </c>
      <c r="H59" s="16">
        <f>LOOKUP(G59,Справочники!$B$2:$B$35,Справочники!$C$2:$C$35)</f>
        <v>14000</v>
      </c>
      <c r="I59" s="6" t="s">
        <v>14</v>
      </c>
      <c r="J59" s="11">
        <v>35122</v>
      </c>
      <c r="K59" s="11">
        <v>23253</v>
      </c>
      <c r="L59" s="10">
        <f t="shared" ca="1" si="0"/>
        <v>26</v>
      </c>
      <c r="M59" s="10">
        <f t="shared" ca="1" si="0"/>
        <v>59</v>
      </c>
      <c r="N59" s="10" t="str">
        <f>LOOKUP(F59,Справочники!$F$2:$F$10,Справочники!$H$2:$H$10)</f>
        <v>+7(8332)64-32-01</v>
      </c>
    </row>
    <row r="60" spans="1:14" ht="15" hidden="1" x14ac:dyDescent="0.25">
      <c r="A60" s="10">
        <v>159</v>
      </c>
      <c r="B60" s="12" t="s">
        <v>200</v>
      </c>
      <c r="C60" s="12" t="s">
        <v>158</v>
      </c>
      <c r="D60" s="12" t="s">
        <v>201</v>
      </c>
      <c r="E60" s="10" t="s">
        <v>9</v>
      </c>
      <c r="F60" s="10" t="str">
        <f>LOOKUP(G60,Справочники!$B$2:$B$35,Справочники!$A$2:$A$35)</f>
        <v>Редакторский отдел</v>
      </c>
      <c r="G60" s="7" t="s">
        <v>55</v>
      </c>
      <c r="H60" s="16">
        <f>LOOKUP(G60,Справочники!$B$2:$B$35,Справочники!$C$2:$C$35)</f>
        <v>14000</v>
      </c>
      <c r="I60" s="6" t="s">
        <v>14</v>
      </c>
      <c r="J60" s="11">
        <v>35032</v>
      </c>
      <c r="K60" s="11">
        <v>22065</v>
      </c>
      <c r="L60" s="10">
        <f t="shared" ca="1" si="0"/>
        <v>26</v>
      </c>
      <c r="M60" s="10">
        <f t="shared" ca="1" si="0"/>
        <v>62</v>
      </c>
      <c r="N60" s="10" t="str">
        <f>LOOKUP(F60,Справочники!$F$2:$F$10,Справочники!$H$2:$H$10)</f>
        <v>+7(8332)64-32-01</v>
      </c>
    </row>
    <row r="61" spans="1:14" ht="15" x14ac:dyDescent="0.25">
      <c r="A61" s="10">
        <v>160</v>
      </c>
      <c r="B61" s="12" t="s">
        <v>202</v>
      </c>
      <c r="C61" s="12" t="s">
        <v>203</v>
      </c>
      <c r="D61" s="12" t="s">
        <v>127</v>
      </c>
      <c r="E61" s="10" t="s">
        <v>9</v>
      </c>
      <c r="F61" s="10" t="str">
        <f>LOOKUP(G61,Справочники!$B$2:$B$35,Справочники!$A$2:$A$35)</f>
        <v>Редакторский отдел</v>
      </c>
      <c r="G61" s="7" t="s">
        <v>55</v>
      </c>
      <c r="H61" s="16">
        <f>LOOKUP(G61,Справочники!$B$2:$B$35,Справочники!$C$2:$C$35)</f>
        <v>14000</v>
      </c>
      <c r="I61" s="6" t="s">
        <v>14</v>
      </c>
      <c r="J61" s="11">
        <v>42991</v>
      </c>
      <c r="K61" s="11">
        <v>32936</v>
      </c>
      <c r="L61" s="10">
        <f t="shared" ca="1" si="0"/>
        <v>5</v>
      </c>
      <c r="M61" s="10">
        <f t="shared" ca="1" si="0"/>
        <v>32</v>
      </c>
      <c r="N61" s="10" t="str">
        <f>LOOKUP(F61,Справочники!$F$2:$F$10,Справочники!$H$2:$H$10)</f>
        <v>+7(8332)64-32-01</v>
      </c>
    </row>
    <row r="62" spans="1:14" ht="15" hidden="1" x14ac:dyDescent="0.25">
      <c r="A62" s="10">
        <v>161</v>
      </c>
      <c r="B62" s="12" t="s">
        <v>204</v>
      </c>
      <c r="C62" s="12" t="s">
        <v>205</v>
      </c>
      <c r="D62" s="12" t="s">
        <v>145</v>
      </c>
      <c r="E62" s="10" t="s">
        <v>17</v>
      </c>
      <c r="F62" s="10" t="str">
        <f>LOOKUP(G62,Справочники!$B$2:$B$35,Справочники!$A$2:$A$35)</f>
        <v>Транспортный отдел</v>
      </c>
      <c r="G62" s="6" t="s">
        <v>50</v>
      </c>
      <c r="H62" s="16">
        <f>LOOKUP(G62,Справочники!$B$2:$B$35,Справочники!$C$2:$C$35)</f>
        <v>12000</v>
      </c>
      <c r="I62" s="6" t="s">
        <v>12</v>
      </c>
      <c r="J62" s="11">
        <v>31108</v>
      </c>
      <c r="K62" s="11">
        <v>23891</v>
      </c>
      <c r="L62" s="10">
        <f t="shared" ca="1" si="0"/>
        <v>37</v>
      </c>
      <c r="M62" s="10">
        <f t="shared" ca="1" si="0"/>
        <v>57</v>
      </c>
      <c r="N62" s="10" t="str">
        <f>LOOKUP(F62,Справочники!$F$2:$F$10,Справочники!$H$2:$H$10)</f>
        <v>+7(8332)64-32-18</v>
      </c>
    </row>
    <row r="63" spans="1:14" ht="15" hidden="1" x14ac:dyDescent="0.25">
      <c r="A63" s="10">
        <v>162</v>
      </c>
      <c r="B63" s="12" t="s">
        <v>206</v>
      </c>
      <c r="C63" s="12" t="s">
        <v>100</v>
      </c>
      <c r="D63" s="12" t="s">
        <v>207</v>
      </c>
      <c r="E63" s="10" t="s">
        <v>17</v>
      </c>
      <c r="F63" s="10" t="str">
        <f>LOOKUP(G63,Справочники!$B$2:$B$35,Справочники!$A$2:$A$35)</f>
        <v>Транспортный отдел</v>
      </c>
      <c r="G63" s="6" t="s">
        <v>50</v>
      </c>
      <c r="H63" s="16">
        <f>LOOKUP(G63,Справочники!$B$2:$B$35,Справочники!$C$2:$C$35)</f>
        <v>12000</v>
      </c>
      <c r="I63" s="6" t="s">
        <v>12</v>
      </c>
      <c r="J63" s="11">
        <v>32023</v>
      </c>
      <c r="K63" s="11">
        <v>22893</v>
      </c>
      <c r="L63" s="10">
        <f t="shared" ca="1" si="0"/>
        <v>35</v>
      </c>
      <c r="M63" s="10">
        <f t="shared" ca="1" si="0"/>
        <v>60</v>
      </c>
      <c r="N63" s="10" t="str">
        <f>LOOKUP(F63,Справочники!$F$2:$F$10,Справочники!$H$2:$H$10)</f>
        <v>+7(8332)64-32-18</v>
      </c>
    </row>
    <row r="64" spans="1:14" ht="15" hidden="1" x14ac:dyDescent="0.25">
      <c r="A64" s="10">
        <v>163</v>
      </c>
      <c r="B64" s="12" t="s">
        <v>208</v>
      </c>
      <c r="C64" s="12" t="s">
        <v>209</v>
      </c>
      <c r="D64" s="12" t="s">
        <v>93</v>
      </c>
      <c r="E64" s="10" t="s">
        <v>17</v>
      </c>
      <c r="F64" s="10" t="str">
        <f>LOOKUP(G64,Справочники!$B$2:$B$35,Справочники!$A$2:$A$35)</f>
        <v>Редакторский отдел</v>
      </c>
      <c r="G64" s="7" t="s">
        <v>56</v>
      </c>
      <c r="H64" s="16">
        <f>LOOKUP(G64,Справочники!$B$2:$B$35,Справочники!$C$2:$C$35)</f>
        <v>20000</v>
      </c>
      <c r="I64" s="6" t="s">
        <v>14</v>
      </c>
      <c r="J64" s="11">
        <v>35153</v>
      </c>
      <c r="K64" s="11">
        <v>24814</v>
      </c>
      <c r="L64" s="10">
        <f t="shared" ca="1" si="0"/>
        <v>26</v>
      </c>
      <c r="M64" s="10">
        <f t="shared" ca="1" si="0"/>
        <v>54</v>
      </c>
      <c r="N64" s="10" t="str">
        <f>LOOKUP(F64,Справочники!$F$2:$F$10,Справочники!$H$2:$H$10)</f>
        <v>+7(8332)64-32-01</v>
      </c>
    </row>
    <row r="65" spans="1:14" ht="15" hidden="1" x14ac:dyDescent="0.25">
      <c r="A65" s="10">
        <v>164</v>
      </c>
      <c r="B65" s="12" t="s">
        <v>210</v>
      </c>
      <c r="C65" s="12" t="s">
        <v>211</v>
      </c>
      <c r="D65" s="12" t="s">
        <v>148</v>
      </c>
      <c r="E65" s="10" t="s">
        <v>9</v>
      </c>
      <c r="F65" s="10" t="str">
        <f>LOOKUP(G65,Справочники!$B$2:$B$35,Справочники!$A$2:$A$35)</f>
        <v>Транспортный отдел</v>
      </c>
      <c r="G65" s="6" t="s">
        <v>57</v>
      </c>
      <c r="H65" s="16">
        <f>LOOKUP(G65,Справочники!$B$2:$B$35,Справочники!$C$2:$C$35)</f>
        <v>12000</v>
      </c>
      <c r="I65" s="6" t="s">
        <v>33</v>
      </c>
      <c r="J65" s="11">
        <v>43438</v>
      </c>
      <c r="K65" s="11">
        <v>34714</v>
      </c>
      <c r="L65" s="10">
        <f t="shared" ca="1" si="0"/>
        <v>3</v>
      </c>
      <c r="M65" s="10">
        <f t="shared" ca="1" si="0"/>
        <v>27</v>
      </c>
      <c r="N65" s="10" t="str">
        <f>LOOKUP(F65,Справочники!$F$2:$F$10,Справочники!$H$2:$H$10)</f>
        <v>+7(8332)64-32-18</v>
      </c>
    </row>
  </sheetData>
  <autoFilter ref="A1:N65" xr:uid="{CEF8FECE-A53B-4108-9073-20B0D80A8F41}">
    <filterColumn colId="8">
      <filters>
        <filter val="высшее"/>
        <filter val="неполное высшее"/>
      </filters>
    </filterColumn>
    <filterColumn colId="12">
      <top10 top="0" val="10" filterVal="32"/>
    </filterColumn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143-7ACC-4341-92E8-D0D0D542171F}">
  <sheetPr filterMode="1"/>
  <dimension ref="A1:N70"/>
  <sheetViews>
    <sheetView topLeftCell="D1" zoomScaleNormal="100" workbookViewId="0">
      <pane ySplit="6" topLeftCell="A7" activePane="bottomLeft" state="frozen"/>
      <selection pane="bottomLeft" activeCell="E53" sqref="E53"/>
    </sheetView>
  </sheetViews>
  <sheetFormatPr defaultRowHeight="12.75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6" style="18" customWidth="1"/>
    <col min="9" max="9" width="21.42578125" style="4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x14ac:dyDescent="0.25">
      <c r="A2" s="6"/>
      <c r="B2" s="12"/>
      <c r="C2" s="12"/>
      <c r="D2" s="12"/>
      <c r="E2" s="10"/>
      <c r="F2" s="10"/>
      <c r="G2" s="6"/>
      <c r="H2" s="52" t="s">
        <v>260</v>
      </c>
      <c r="I2" s="53" t="s">
        <v>33</v>
      </c>
      <c r="J2" s="6"/>
      <c r="K2" s="6"/>
      <c r="L2" s="6"/>
      <c r="M2" s="6"/>
      <c r="N2" s="6"/>
    </row>
    <row r="3" spans="1:14" ht="15" x14ac:dyDescent="0.25">
      <c r="A3" s="6"/>
      <c r="B3" s="12"/>
      <c r="C3" s="12"/>
      <c r="D3" s="12"/>
      <c r="E3" s="10"/>
      <c r="F3" s="10"/>
      <c r="G3" s="6"/>
      <c r="H3" s="52" t="s">
        <v>259</v>
      </c>
      <c r="I3" s="53" t="s">
        <v>12</v>
      </c>
      <c r="J3" s="6"/>
      <c r="K3" s="6"/>
      <c r="L3" s="6"/>
      <c r="M3" s="6"/>
      <c r="N3" s="6"/>
    </row>
    <row r="4" spans="1:14" ht="15" x14ac:dyDescent="0.25">
      <c r="A4" s="6"/>
      <c r="B4" s="12"/>
      <c r="C4" s="12"/>
      <c r="D4" s="12"/>
      <c r="E4" s="10"/>
      <c r="F4" s="10"/>
      <c r="G4" s="6"/>
      <c r="H4" s="52"/>
      <c r="I4" s="53"/>
      <c r="J4" s="6"/>
      <c r="K4" s="6"/>
      <c r="L4" s="6"/>
      <c r="M4" s="6"/>
      <c r="N4" s="6"/>
    </row>
    <row r="5" spans="1:14" x14ac:dyDescent="0.2">
      <c r="A5" s="6"/>
      <c r="B5" s="12"/>
      <c r="C5" s="12"/>
      <c r="D5" s="12"/>
      <c r="E5" s="10"/>
      <c r="F5" s="10"/>
      <c r="G5" s="6"/>
      <c r="H5" s="54"/>
      <c r="I5" s="55"/>
      <c r="J5" s="6"/>
      <c r="K5" s="6"/>
      <c r="L5" s="6"/>
      <c r="M5" s="6"/>
      <c r="N5" s="6"/>
    </row>
    <row r="6" spans="1:14" ht="25.5" x14ac:dyDescent="0.2">
      <c r="A6" s="1" t="s">
        <v>1</v>
      </c>
      <c r="B6" s="1" t="s">
        <v>212</v>
      </c>
      <c r="C6" s="1" t="s">
        <v>213</v>
      </c>
      <c r="D6" s="1" t="s">
        <v>214</v>
      </c>
      <c r="E6" s="2" t="s">
        <v>2</v>
      </c>
      <c r="F6" s="2" t="s">
        <v>3</v>
      </c>
      <c r="G6" s="2" t="s">
        <v>4</v>
      </c>
      <c r="H6" s="15" t="s">
        <v>0</v>
      </c>
      <c r="I6" s="2" t="s">
        <v>5</v>
      </c>
      <c r="J6" s="2" t="s">
        <v>6</v>
      </c>
      <c r="K6" s="3" t="s">
        <v>7</v>
      </c>
      <c r="L6" s="1" t="s">
        <v>215</v>
      </c>
      <c r="M6" s="1" t="s">
        <v>216</v>
      </c>
      <c r="N6" s="1" t="s">
        <v>8</v>
      </c>
    </row>
    <row r="7" spans="1:14" ht="15" hidden="1" x14ac:dyDescent="0.25">
      <c r="A7" s="10">
        <v>101</v>
      </c>
      <c r="B7" s="12" t="s">
        <v>68</v>
      </c>
      <c r="C7" s="12" t="s">
        <v>69</v>
      </c>
      <c r="D7" s="12" t="s">
        <v>70</v>
      </c>
      <c r="E7" s="10" t="s">
        <v>9</v>
      </c>
      <c r="F7" s="10" t="str">
        <f>LOOKUP(G7,Справочники!$B$2:$B$35,Справочники!$A$2:$A$35)</f>
        <v>Бухгалтерия</v>
      </c>
      <c r="G7" s="6" t="s">
        <v>11</v>
      </c>
      <c r="H7" s="16">
        <f>LOOKUP(G7,Справочники!$B$2:$B$35,Справочники!$C$2:$C$35)</f>
        <v>12000</v>
      </c>
      <c r="I7" s="6" t="s">
        <v>14</v>
      </c>
      <c r="J7" s="11">
        <v>38944</v>
      </c>
      <c r="K7" s="11">
        <v>30198</v>
      </c>
      <c r="L7" s="10">
        <f ca="1">DATEDIF(J7, TODAY(),"Y")</f>
        <v>16</v>
      </c>
      <c r="M7" s="10">
        <f ca="1">DATEDIF(K7, TODAY(),"Y")</f>
        <v>40</v>
      </c>
      <c r="N7" s="10" t="str">
        <f>LOOKUP(F7,Справочники!$F$2:$F$10,Справочники!$H$2:$H$10)</f>
        <v>+7(8332)64-32-01</v>
      </c>
    </row>
    <row r="8" spans="1:14" ht="15" hidden="1" x14ac:dyDescent="0.25">
      <c r="A8" s="10">
        <v>102</v>
      </c>
      <c r="B8" s="12" t="s">
        <v>71</v>
      </c>
      <c r="C8" s="12" t="s">
        <v>72</v>
      </c>
      <c r="D8" s="12" t="s">
        <v>73</v>
      </c>
      <c r="E8" s="10" t="s">
        <v>9</v>
      </c>
      <c r="F8" s="10" t="str">
        <f>LOOKUP(G8,Справочники!$B$2:$B$35,Справочники!$A$2:$A$35)</f>
        <v>Бухгалтерия</v>
      </c>
      <c r="G8" s="6" t="s">
        <v>13</v>
      </c>
      <c r="H8" s="16">
        <f>LOOKUP(G8,Справочники!$B$2:$B$35,Справочники!$C$2:$C$35)</f>
        <v>20000</v>
      </c>
      <c r="I8" s="6" t="s">
        <v>14</v>
      </c>
      <c r="J8" s="11">
        <v>34380</v>
      </c>
      <c r="K8" s="11">
        <v>25186</v>
      </c>
      <c r="L8" s="10">
        <f t="shared" ref="L8:M70" ca="1" si="0">DATEDIF(J8, TODAY(),"Y")</f>
        <v>28</v>
      </c>
      <c r="M8" s="10">
        <f t="shared" ca="1" si="0"/>
        <v>53</v>
      </c>
      <c r="N8" s="10" t="str">
        <f>LOOKUP(F8,Справочники!$F$2:$F$10,Справочники!$H$2:$H$10)</f>
        <v>+7(8332)64-32-01</v>
      </c>
    </row>
    <row r="9" spans="1:14" ht="15" hidden="1" x14ac:dyDescent="0.25">
      <c r="A9" s="10">
        <v>103</v>
      </c>
      <c r="B9" s="12" t="s">
        <v>74</v>
      </c>
      <c r="C9" s="12" t="s">
        <v>75</v>
      </c>
      <c r="D9" s="12" t="s">
        <v>76</v>
      </c>
      <c r="E9" s="10" t="s">
        <v>9</v>
      </c>
      <c r="F9" s="10" t="str">
        <f>LOOKUP(G9,Справочники!$B$2:$B$35,Справочники!$A$2:$A$35)</f>
        <v>Бухгалтерия</v>
      </c>
      <c r="G9" s="6" t="s">
        <v>15</v>
      </c>
      <c r="H9" s="16">
        <f>LOOKUP(G9,Справочники!$B$2:$B$35,Справочники!$C$2:$C$35)</f>
        <v>12000</v>
      </c>
      <c r="I9" s="6" t="s">
        <v>12</v>
      </c>
      <c r="J9" s="11">
        <v>42962</v>
      </c>
      <c r="K9" s="11">
        <v>34762</v>
      </c>
      <c r="L9" s="10">
        <f t="shared" ca="1" si="0"/>
        <v>5</v>
      </c>
      <c r="M9" s="10">
        <f t="shared" ca="1" si="0"/>
        <v>27</v>
      </c>
      <c r="N9" s="10" t="str">
        <f>LOOKUP(F9,Справочники!$F$2:$F$10,Справочники!$H$2:$H$10)</f>
        <v>+7(8332)64-32-01</v>
      </c>
    </row>
    <row r="10" spans="1:14" ht="15" hidden="1" x14ac:dyDescent="0.25">
      <c r="A10" s="10">
        <v>104</v>
      </c>
      <c r="B10" s="12" t="s">
        <v>77</v>
      </c>
      <c r="C10" s="12" t="s">
        <v>78</v>
      </c>
      <c r="D10" s="12" t="s">
        <v>79</v>
      </c>
      <c r="E10" s="10" t="s">
        <v>9</v>
      </c>
      <c r="F10" s="10" t="str">
        <f>LOOKUP(G10,Справочники!$B$2:$B$35,Справочники!$A$2:$A$35)</f>
        <v>Бухгалтерия</v>
      </c>
      <c r="G10" s="6" t="s">
        <v>16</v>
      </c>
      <c r="H10" s="16">
        <f>LOOKUP(G10,Справочники!$B$2:$B$35,Справочники!$C$2:$C$35)</f>
        <v>15000</v>
      </c>
      <c r="I10" s="6" t="s">
        <v>14</v>
      </c>
      <c r="J10" s="11">
        <v>41530</v>
      </c>
      <c r="K10" s="11">
        <v>25346</v>
      </c>
      <c r="L10" s="10">
        <f t="shared" ca="1" si="0"/>
        <v>9</v>
      </c>
      <c r="M10" s="10">
        <f t="shared" ca="1" si="0"/>
        <v>53</v>
      </c>
      <c r="N10" s="10" t="str">
        <f>LOOKUP(F10,Справочники!$F$2:$F$10,Справочники!$H$2:$H$10)</f>
        <v>+7(8332)64-32-01</v>
      </c>
    </row>
    <row r="11" spans="1:14" ht="15" hidden="1" x14ac:dyDescent="0.25">
      <c r="A11" s="10">
        <v>105</v>
      </c>
      <c r="B11" s="12" t="s">
        <v>80</v>
      </c>
      <c r="C11" s="12" t="s">
        <v>81</v>
      </c>
      <c r="D11" s="12" t="s">
        <v>82</v>
      </c>
      <c r="E11" s="10" t="s">
        <v>17</v>
      </c>
      <c r="F11" s="10" t="str">
        <f>LOOKUP(G11,Справочники!$B$2:$B$35,Справочники!$A$2:$A$35)</f>
        <v>Бухгалтерия</v>
      </c>
      <c r="G11" s="6" t="s">
        <v>18</v>
      </c>
      <c r="H11" s="16">
        <f>LOOKUP(G11,Справочники!$B$2:$B$35,Справочники!$C$2:$C$35)</f>
        <v>17000</v>
      </c>
      <c r="I11" s="6" t="s">
        <v>14</v>
      </c>
      <c r="J11" s="11">
        <v>41165</v>
      </c>
      <c r="K11" s="11">
        <v>31196</v>
      </c>
      <c r="L11" s="10">
        <f t="shared" ca="1" si="0"/>
        <v>10</v>
      </c>
      <c r="M11" s="10">
        <f t="shared" ca="1" si="0"/>
        <v>37</v>
      </c>
      <c r="N11" s="10" t="str">
        <f>LOOKUP(F11,Справочники!$F$2:$F$10,Справочники!$H$2:$H$10)</f>
        <v>+7(8332)64-32-01</v>
      </c>
    </row>
    <row r="12" spans="1:14" ht="15" hidden="1" x14ac:dyDescent="0.25">
      <c r="A12" s="10">
        <v>106</v>
      </c>
      <c r="B12" s="12" t="s">
        <v>83</v>
      </c>
      <c r="C12" s="12" t="s">
        <v>84</v>
      </c>
      <c r="D12" s="12" t="s">
        <v>85</v>
      </c>
      <c r="E12" s="10" t="s">
        <v>17</v>
      </c>
      <c r="F12" s="10" t="str">
        <f>LOOKUP(G12,Справочники!$B$2:$B$35,Справочники!$A$2:$A$35)</f>
        <v>Бухгалтерия</v>
      </c>
      <c r="G12" s="6" t="s">
        <v>11</v>
      </c>
      <c r="H12" s="16">
        <f>LOOKUP(G12,Справочники!$B$2:$B$35,Справочники!$C$2:$C$35)</f>
        <v>12000</v>
      </c>
      <c r="I12" s="6" t="s">
        <v>25</v>
      </c>
      <c r="J12" s="11">
        <v>42626</v>
      </c>
      <c r="K12" s="11">
        <v>31062</v>
      </c>
      <c r="L12" s="10">
        <f t="shared" ca="1" si="0"/>
        <v>6</v>
      </c>
      <c r="M12" s="10">
        <f t="shared" ca="1" si="0"/>
        <v>37</v>
      </c>
      <c r="N12" s="10" t="str">
        <f>LOOKUP(F12,Справочники!$F$2:$F$10,Справочники!$H$2:$H$10)</f>
        <v>+7(8332)64-32-01</v>
      </c>
    </row>
    <row r="13" spans="1:14" ht="15" x14ac:dyDescent="0.25">
      <c r="A13" s="10">
        <v>107</v>
      </c>
      <c r="B13" s="12" t="s">
        <v>86</v>
      </c>
      <c r="C13" s="12" t="s">
        <v>87</v>
      </c>
      <c r="D13" s="12" t="s">
        <v>88</v>
      </c>
      <c r="E13" s="10" t="s">
        <v>9</v>
      </c>
      <c r="F13" s="10" t="str">
        <f>LOOKUP(G13,Справочники!$B$2:$B$35,Справочники!$A$2:$A$35)</f>
        <v>Управление</v>
      </c>
      <c r="G13" s="6" t="s">
        <v>20</v>
      </c>
      <c r="H13" s="16">
        <f>LOOKUP(G13,Справочники!$B$2:$B$35,Справочники!$C$2:$C$35)</f>
        <v>15000</v>
      </c>
      <c r="I13" s="6" t="s">
        <v>12</v>
      </c>
      <c r="J13" s="11">
        <v>39956</v>
      </c>
      <c r="K13" s="11">
        <v>30254</v>
      </c>
      <c r="L13" s="10">
        <f t="shared" ca="1" si="0"/>
        <v>13</v>
      </c>
      <c r="M13" s="10">
        <f t="shared" ca="1" si="0"/>
        <v>40</v>
      </c>
      <c r="N13" s="10" t="str">
        <f>LOOKUP(F13,Справочники!$F$2:$F$10,Справочники!$H$2:$H$10)</f>
        <v>+7(8332)64-32-18</v>
      </c>
    </row>
    <row r="14" spans="1:14" ht="15" hidden="1" x14ac:dyDescent="0.25">
      <c r="A14" s="10">
        <v>108</v>
      </c>
      <c r="B14" s="12" t="s">
        <v>89</v>
      </c>
      <c r="C14" s="12" t="s">
        <v>90</v>
      </c>
      <c r="D14" s="12" t="s">
        <v>91</v>
      </c>
      <c r="E14" s="10" t="s">
        <v>17</v>
      </c>
      <c r="F14" s="10" t="str">
        <f>LOOKUP(G14,Справочники!$B$2:$B$35,Справочники!$A$2:$A$35)</f>
        <v>Управление</v>
      </c>
      <c r="G14" s="6" t="s">
        <v>21</v>
      </c>
      <c r="H14" s="16">
        <f>LOOKUP(G14,Справочники!$B$2:$B$35,Справочники!$C$2:$C$35)</f>
        <v>35000</v>
      </c>
      <c r="I14" s="6" t="s">
        <v>14</v>
      </c>
      <c r="J14" s="11">
        <v>38579</v>
      </c>
      <c r="K14" s="11">
        <v>28499</v>
      </c>
      <c r="L14" s="10">
        <f t="shared" ca="1" si="0"/>
        <v>17</v>
      </c>
      <c r="M14" s="10">
        <f t="shared" ca="1" si="0"/>
        <v>44</v>
      </c>
      <c r="N14" s="10" t="str">
        <f>LOOKUP(F14,Справочники!$F$2:$F$10,Справочники!$H$2:$H$10)</f>
        <v>+7(8332)64-32-18</v>
      </c>
    </row>
    <row r="15" spans="1:14" ht="15" hidden="1" x14ac:dyDescent="0.25">
      <c r="A15" s="10">
        <v>109</v>
      </c>
      <c r="B15" s="12" t="s">
        <v>92</v>
      </c>
      <c r="C15" s="12" t="s">
        <v>81</v>
      </c>
      <c r="D15" s="12" t="s">
        <v>93</v>
      </c>
      <c r="E15" s="10" t="s">
        <v>17</v>
      </c>
      <c r="F15" s="10" t="str">
        <f>LOOKUP(G15,Справочники!$B$2:$B$35,Справочники!$A$2:$A$35)</f>
        <v>Управление</v>
      </c>
      <c r="G15" s="6" t="s">
        <v>22</v>
      </c>
      <c r="H15" s="16">
        <f>LOOKUP(G15,Справочники!$B$2:$B$35,Справочники!$C$2:$C$35)</f>
        <v>28000</v>
      </c>
      <c r="I15" s="6" t="s">
        <v>14</v>
      </c>
      <c r="J15" s="11">
        <v>39103</v>
      </c>
      <c r="K15" s="11">
        <v>27786</v>
      </c>
      <c r="L15" s="10">
        <f t="shared" ca="1" si="0"/>
        <v>15</v>
      </c>
      <c r="M15" s="10">
        <f t="shared" ca="1" si="0"/>
        <v>46</v>
      </c>
      <c r="N15" s="10" t="str">
        <f>LOOKUP(F15,Справочники!$F$2:$F$10,Справочники!$H$2:$H$10)</f>
        <v>+7(8332)64-32-18</v>
      </c>
    </row>
    <row r="16" spans="1:14" ht="15" hidden="1" x14ac:dyDescent="0.25">
      <c r="A16" s="10">
        <v>110</v>
      </c>
      <c r="B16" s="12" t="s">
        <v>94</v>
      </c>
      <c r="C16" s="12" t="s">
        <v>95</v>
      </c>
      <c r="D16" s="12" t="s">
        <v>96</v>
      </c>
      <c r="E16" s="10" t="s">
        <v>9</v>
      </c>
      <c r="F16" s="10" t="str">
        <f>LOOKUP(G16,Справочники!$B$2:$B$35,Справочники!$A$2:$A$35)</f>
        <v>Управление</v>
      </c>
      <c r="G16" s="6" t="s">
        <v>23</v>
      </c>
      <c r="H16" s="16">
        <f>LOOKUP(G16,Справочники!$B$2:$B$35,Справочники!$C$2:$C$35)</f>
        <v>30000</v>
      </c>
      <c r="I16" s="6" t="s">
        <v>14</v>
      </c>
      <c r="J16" s="11">
        <v>34436</v>
      </c>
      <c r="K16" s="11">
        <v>26821</v>
      </c>
      <c r="L16" s="10">
        <f t="shared" ca="1" si="0"/>
        <v>28</v>
      </c>
      <c r="M16" s="10">
        <f t="shared" ca="1" si="0"/>
        <v>49</v>
      </c>
      <c r="N16" s="10" t="str">
        <f>LOOKUP(F16,Справочники!$F$2:$F$10,Справочники!$H$2:$H$10)</f>
        <v>+7(8332)64-32-18</v>
      </c>
    </row>
    <row r="17" spans="1:14" ht="15" hidden="1" x14ac:dyDescent="0.25">
      <c r="A17" s="10">
        <v>111</v>
      </c>
      <c r="B17" s="12" t="s">
        <v>97</v>
      </c>
      <c r="C17" s="12" t="s">
        <v>98</v>
      </c>
      <c r="D17" s="12" t="s">
        <v>76</v>
      </c>
      <c r="E17" s="10" t="s">
        <v>9</v>
      </c>
      <c r="F17" s="10" t="str">
        <f>LOOKUP(G17,Справочники!$B$2:$B$35,Справочники!$A$2:$A$35)</f>
        <v>Управление</v>
      </c>
      <c r="G17" s="6" t="s">
        <v>24</v>
      </c>
      <c r="H17" s="16">
        <f>LOOKUP(G17,Справочники!$B$2:$B$35,Справочники!$C$2:$C$35)</f>
        <v>15000</v>
      </c>
      <c r="I17" s="6" t="s">
        <v>25</v>
      </c>
      <c r="J17" s="11">
        <v>42960</v>
      </c>
      <c r="K17" s="11">
        <v>33207</v>
      </c>
      <c r="L17" s="10">
        <f t="shared" ca="1" si="0"/>
        <v>5</v>
      </c>
      <c r="M17" s="10">
        <f t="shared" ca="1" si="0"/>
        <v>31</v>
      </c>
      <c r="N17" s="10" t="str">
        <f>LOOKUP(F17,Справочники!$F$2:$F$10,Справочники!$H$2:$H$10)</f>
        <v>+7(8332)64-32-18</v>
      </c>
    </row>
    <row r="18" spans="1:14" ht="15" hidden="1" x14ac:dyDescent="0.25">
      <c r="A18" s="10">
        <v>112</v>
      </c>
      <c r="B18" s="12" t="s">
        <v>99</v>
      </c>
      <c r="C18" s="12" t="s">
        <v>100</v>
      </c>
      <c r="D18" s="12" t="s">
        <v>101</v>
      </c>
      <c r="E18" s="10" t="s">
        <v>17</v>
      </c>
      <c r="F18" s="10" t="str">
        <f>LOOKUP(G18,Справочники!$B$2:$B$35,Справочники!$A$2:$A$35)</f>
        <v>Рекламный отдел</v>
      </c>
      <c r="G18" s="6" t="s">
        <v>27</v>
      </c>
      <c r="H18" s="16">
        <f>LOOKUP(G18,Справочники!$B$2:$B$35,Справочники!$C$2:$C$35)</f>
        <v>22000</v>
      </c>
      <c r="I18" s="6" t="s">
        <v>14</v>
      </c>
      <c r="J18" s="11">
        <v>40966</v>
      </c>
      <c r="K18" s="11">
        <v>31390</v>
      </c>
      <c r="L18" s="10">
        <f t="shared" ca="1" si="0"/>
        <v>10</v>
      </c>
      <c r="M18" s="10">
        <f t="shared" ca="1" si="0"/>
        <v>36</v>
      </c>
      <c r="N18" s="10" t="str">
        <f>LOOKUP(F18,Справочники!$F$2:$F$10,Справочники!$H$2:$H$10)</f>
        <v>+7(8332)64-32-01</v>
      </c>
    </row>
    <row r="19" spans="1:14" ht="15" hidden="1" x14ac:dyDescent="0.25">
      <c r="A19" s="10">
        <v>113</v>
      </c>
      <c r="B19" s="12" t="s">
        <v>102</v>
      </c>
      <c r="C19" s="12" t="s">
        <v>98</v>
      </c>
      <c r="D19" s="12" t="s">
        <v>103</v>
      </c>
      <c r="E19" s="10" t="s">
        <v>9</v>
      </c>
      <c r="F19" s="10" t="str">
        <f>LOOKUP(G19,Справочники!$B$2:$B$35,Справочники!$A$2:$A$35)</f>
        <v>Рекламный отдел</v>
      </c>
      <c r="G19" s="6" t="s">
        <v>28</v>
      </c>
      <c r="H19" s="16">
        <f>LOOKUP(G19,Справочники!$B$2:$B$35,Справочники!$C$2:$C$35)</f>
        <v>18000</v>
      </c>
      <c r="I19" s="6" t="s">
        <v>14</v>
      </c>
      <c r="J19" s="11">
        <v>34788</v>
      </c>
      <c r="K19" s="11">
        <v>25186</v>
      </c>
      <c r="L19" s="10">
        <f t="shared" ca="1" si="0"/>
        <v>27</v>
      </c>
      <c r="M19" s="10">
        <f t="shared" ca="1" si="0"/>
        <v>53</v>
      </c>
      <c r="N19" s="10" t="str">
        <f>LOOKUP(F19,Справочники!$F$2:$F$10,Справочники!$H$2:$H$10)</f>
        <v>+7(8332)64-32-01</v>
      </c>
    </row>
    <row r="20" spans="1:14" ht="15" hidden="1" x14ac:dyDescent="0.25">
      <c r="A20" s="10">
        <v>114</v>
      </c>
      <c r="B20" s="12" t="s">
        <v>104</v>
      </c>
      <c r="C20" s="12" t="s">
        <v>105</v>
      </c>
      <c r="D20" s="12" t="s">
        <v>106</v>
      </c>
      <c r="E20" s="10" t="s">
        <v>9</v>
      </c>
      <c r="F20" s="10" t="str">
        <f>LOOKUP(G20,Справочники!$B$2:$B$35,Справочники!$A$2:$A$35)</f>
        <v>Технологический отдел</v>
      </c>
      <c r="G20" s="6" t="s">
        <v>30</v>
      </c>
      <c r="H20" s="16">
        <f>LOOKUP(G20,Справочники!$B$2:$B$35,Справочники!$C$2:$C$35)</f>
        <v>22000</v>
      </c>
      <c r="I20" s="6" t="s">
        <v>14</v>
      </c>
      <c r="J20" s="11">
        <v>43356</v>
      </c>
      <c r="K20" s="11">
        <v>24300</v>
      </c>
      <c r="L20" s="10">
        <f t="shared" ca="1" si="0"/>
        <v>4</v>
      </c>
      <c r="M20" s="10">
        <f t="shared" ca="1" si="0"/>
        <v>56</v>
      </c>
      <c r="N20" s="10" t="str">
        <f>LOOKUP(F20,Справочники!$F$2:$F$10,Справочники!$H$2:$H$10)</f>
        <v>+7(8332)64-32-18</v>
      </c>
    </row>
    <row r="21" spans="1:14" ht="15" hidden="1" x14ac:dyDescent="0.25">
      <c r="A21" s="10">
        <v>115</v>
      </c>
      <c r="B21" s="12" t="s">
        <v>107</v>
      </c>
      <c r="C21" s="12" t="s">
        <v>108</v>
      </c>
      <c r="D21" s="12" t="s">
        <v>76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31</v>
      </c>
      <c r="H21" s="16">
        <f>LOOKUP(G21,Справочники!$B$2:$B$35,Справочники!$C$2:$C$35)</f>
        <v>12000</v>
      </c>
      <c r="I21" s="6" t="s">
        <v>12</v>
      </c>
      <c r="J21" s="11">
        <v>35096</v>
      </c>
      <c r="K21" s="11">
        <v>26553</v>
      </c>
      <c r="L21" s="10">
        <f t="shared" ca="1" si="0"/>
        <v>26</v>
      </c>
      <c r="M21" s="10">
        <f t="shared" ca="1" si="0"/>
        <v>50</v>
      </c>
      <c r="N21" s="10" t="str">
        <f>LOOKUP(F21,Справочники!$F$2:$F$10,Справочники!$H$2:$H$10)</f>
        <v>+7(8332)64-32-18</v>
      </c>
    </row>
    <row r="22" spans="1:14" ht="15" x14ac:dyDescent="0.25">
      <c r="A22" s="10">
        <v>116</v>
      </c>
      <c r="B22" s="12" t="s">
        <v>109</v>
      </c>
      <c r="C22" s="12" t="s">
        <v>110</v>
      </c>
      <c r="D22" s="12" t="s">
        <v>111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32</v>
      </c>
      <c r="H22" s="16">
        <f>LOOKUP(G22,Справочники!$B$2:$B$35,Справочники!$C$2:$C$35)</f>
        <v>15000</v>
      </c>
      <c r="I22" s="6" t="s">
        <v>12</v>
      </c>
      <c r="J22" s="11">
        <v>35292</v>
      </c>
      <c r="K22" s="11">
        <v>25810</v>
      </c>
      <c r="L22" s="10">
        <f t="shared" ca="1" si="0"/>
        <v>26</v>
      </c>
      <c r="M22" s="10">
        <f t="shared" ca="1" si="0"/>
        <v>52</v>
      </c>
      <c r="N22" s="10" t="str">
        <f>LOOKUP(F22,Справочники!$F$2:$F$10,Справочники!$H$2:$H$10)</f>
        <v>+7(8332)64-32-18</v>
      </c>
    </row>
    <row r="23" spans="1:14" ht="15" hidden="1" x14ac:dyDescent="0.25">
      <c r="A23" s="10">
        <v>117</v>
      </c>
      <c r="B23" s="12" t="s">
        <v>112</v>
      </c>
      <c r="C23" s="12" t="s">
        <v>72</v>
      </c>
      <c r="D23" s="12" t="s">
        <v>88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31</v>
      </c>
      <c r="H23" s="16">
        <f>LOOKUP(G23,Справочники!$B$2:$B$35,Справочники!$C$2:$C$35)</f>
        <v>12000</v>
      </c>
      <c r="I23" s="6" t="s">
        <v>33</v>
      </c>
      <c r="J23" s="11">
        <v>35445</v>
      </c>
      <c r="K23" s="11">
        <v>26821</v>
      </c>
      <c r="L23" s="10">
        <f t="shared" ca="1" si="0"/>
        <v>25</v>
      </c>
      <c r="M23" s="10">
        <f t="shared" ca="1" si="0"/>
        <v>49</v>
      </c>
      <c r="N23" s="10" t="str">
        <f>LOOKUP(F23,Справочники!$F$2:$F$10,Справочники!$H$2:$H$10)</f>
        <v>+7(8332)64-32-18</v>
      </c>
    </row>
    <row r="24" spans="1:14" ht="15" hidden="1" x14ac:dyDescent="0.25">
      <c r="A24" s="10">
        <v>118</v>
      </c>
      <c r="B24" s="12" t="s">
        <v>113</v>
      </c>
      <c r="C24" s="12" t="s">
        <v>114</v>
      </c>
      <c r="D24" s="12" t="s">
        <v>115</v>
      </c>
      <c r="E24" s="10" t="s">
        <v>9</v>
      </c>
      <c r="F24" s="10" t="str">
        <f>LOOKUP(G24,Справочники!$B$2:$B$35,Справочники!$A$2:$A$35)</f>
        <v>Технологический отдел</v>
      </c>
      <c r="G24" s="6" t="s">
        <v>34</v>
      </c>
      <c r="H24" s="16">
        <f>LOOKUP(G24,Справочники!$B$2:$B$35,Справочники!$C$2:$C$35)</f>
        <v>12000</v>
      </c>
      <c r="I24" s="6" t="s">
        <v>12</v>
      </c>
      <c r="J24" s="11">
        <v>36303</v>
      </c>
      <c r="K24" s="11">
        <v>25641</v>
      </c>
      <c r="L24" s="10">
        <f t="shared" ca="1" si="0"/>
        <v>23</v>
      </c>
      <c r="M24" s="10">
        <f t="shared" ca="1" si="0"/>
        <v>52</v>
      </c>
      <c r="N24" s="10" t="str">
        <f>LOOKUP(F24,Справочники!$F$2:$F$10,Справочники!$H$2:$H$10)</f>
        <v>+7(8332)64-32-18</v>
      </c>
    </row>
    <row r="25" spans="1:14" ht="15" hidden="1" x14ac:dyDescent="0.25">
      <c r="A25" s="10">
        <v>119</v>
      </c>
      <c r="B25" s="12" t="s">
        <v>116</v>
      </c>
      <c r="C25" s="12" t="s">
        <v>117</v>
      </c>
      <c r="D25" s="12" t="s">
        <v>70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35</v>
      </c>
      <c r="H25" s="16">
        <f>LOOKUP(G25,Справочники!$B$2:$B$35,Справочники!$C$2:$C$35)</f>
        <v>17000</v>
      </c>
      <c r="I25" s="6" t="s">
        <v>14</v>
      </c>
      <c r="J25" s="11">
        <v>39550</v>
      </c>
      <c r="K25" s="11">
        <v>28420</v>
      </c>
      <c r="L25" s="10">
        <f t="shared" ca="1" si="0"/>
        <v>14</v>
      </c>
      <c r="M25" s="10">
        <f t="shared" ca="1" si="0"/>
        <v>45</v>
      </c>
      <c r="N25" s="10" t="str">
        <f>LOOKUP(F25,Справочники!$F$2:$F$10,Справочники!$H$2:$H$10)</f>
        <v>+7(8332)64-32-18</v>
      </c>
    </row>
    <row r="26" spans="1:14" ht="15" hidden="1" x14ac:dyDescent="0.25">
      <c r="A26" s="10">
        <v>120</v>
      </c>
      <c r="B26" s="12" t="s">
        <v>118</v>
      </c>
      <c r="C26" s="12" t="s">
        <v>98</v>
      </c>
      <c r="D26" s="12" t="s">
        <v>119</v>
      </c>
      <c r="E26" s="10" t="s">
        <v>9</v>
      </c>
      <c r="F26" s="10" t="str">
        <f>LOOKUP(G26,Справочники!$B$2:$B$35,Справочники!$A$2:$A$35)</f>
        <v>Технологический отдел</v>
      </c>
      <c r="G26" s="6" t="s">
        <v>36</v>
      </c>
      <c r="H26" s="16">
        <f>LOOKUP(G26,Справочники!$B$2:$B$35,Справочники!$C$2:$C$35)</f>
        <v>14000</v>
      </c>
      <c r="I26" s="6" t="s">
        <v>12</v>
      </c>
      <c r="J26" s="11">
        <v>35442</v>
      </c>
      <c r="K26" s="11">
        <v>24134</v>
      </c>
      <c r="L26" s="10">
        <f t="shared" ca="1" si="0"/>
        <v>25</v>
      </c>
      <c r="M26" s="10">
        <f t="shared" ca="1" si="0"/>
        <v>56</v>
      </c>
      <c r="N26" s="10" t="str">
        <f>LOOKUP(F26,Справочники!$F$2:$F$10,Справочники!$H$2:$H$10)</f>
        <v>+7(8332)64-32-18</v>
      </c>
    </row>
    <row r="27" spans="1:14" ht="15" hidden="1" x14ac:dyDescent="0.25">
      <c r="A27" s="10">
        <v>121</v>
      </c>
      <c r="B27" s="12" t="s">
        <v>120</v>
      </c>
      <c r="C27" s="12" t="s">
        <v>75</v>
      </c>
      <c r="D27" s="12" t="s">
        <v>79</v>
      </c>
      <c r="E27" s="10" t="s">
        <v>9</v>
      </c>
      <c r="F27" s="10" t="str">
        <f>LOOKUP(G27,Справочники!$B$2:$B$35,Справочники!$A$2:$A$35)</f>
        <v>Технологический отдел</v>
      </c>
      <c r="G27" s="6" t="s">
        <v>36</v>
      </c>
      <c r="H27" s="16">
        <f>LOOKUP(G27,Справочники!$B$2:$B$35,Справочники!$C$2:$C$35)</f>
        <v>14000</v>
      </c>
      <c r="I27" s="6" t="s">
        <v>12</v>
      </c>
      <c r="J27" s="11">
        <v>39845</v>
      </c>
      <c r="K27" s="11">
        <v>31391</v>
      </c>
      <c r="L27" s="10">
        <f t="shared" ca="1" si="0"/>
        <v>13</v>
      </c>
      <c r="M27" s="10">
        <f t="shared" ca="1" si="0"/>
        <v>36</v>
      </c>
      <c r="N27" s="10" t="str">
        <f>LOOKUP(F27,Справочники!$F$2:$F$10,Справочники!$H$2:$H$10)</f>
        <v>+7(8332)64-32-18</v>
      </c>
    </row>
    <row r="28" spans="1:14" ht="15" hidden="1" x14ac:dyDescent="0.25">
      <c r="A28" s="10">
        <v>122</v>
      </c>
      <c r="B28" s="12" t="s">
        <v>121</v>
      </c>
      <c r="C28" s="12" t="s">
        <v>122</v>
      </c>
      <c r="D28" s="12" t="s">
        <v>96</v>
      </c>
      <c r="E28" s="10" t="s">
        <v>9</v>
      </c>
      <c r="F28" s="10" t="str">
        <f>LOOKUP(G28,Справочники!$B$2:$B$35,Справочники!$A$2:$A$35)</f>
        <v>Технологический отдел</v>
      </c>
      <c r="G28" s="6" t="s">
        <v>37</v>
      </c>
      <c r="H28" s="16">
        <f>LOOKUP(G28,Справочники!$B$2:$B$35,Справочники!$C$2:$C$35)</f>
        <v>14000</v>
      </c>
      <c r="I28" s="6" t="s">
        <v>12</v>
      </c>
      <c r="J28" s="11">
        <v>36427</v>
      </c>
      <c r="K28" s="11">
        <v>24846</v>
      </c>
      <c r="L28" s="10">
        <f t="shared" ca="1" si="0"/>
        <v>23</v>
      </c>
      <c r="M28" s="10">
        <f t="shared" ca="1" si="0"/>
        <v>54</v>
      </c>
      <c r="N28" s="10" t="str">
        <f>LOOKUP(F28,Справочники!$F$2:$F$10,Справочники!$H$2:$H$10)</f>
        <v>+7(8332)64-32-18</v>
      </c>
    </row>
    <row r="29" spans="1:14" ht="15" hidden="1" x14ac:dyDescent="0.25">
      <c r="A29" s="10">
        <v>123</v>
      </c>
      <c r="B29" s="12" t="s">
        <v>123</v>
      </c>
      <c r="C29" s="12" t="s">
        <v>114</v>
      </c>
      <c r="D29" s="12" t="s">
        <v>103</v>
      </c>
      <c r="E29" s="10" t="s">
        <v>9</v>
      </c>
      <c r="F29" s="10" t="str">
        <f>LOOKUP(G29,Справочники!$B$2:$B$35,Справочники!$A$2:$A$35)</f>
        <v>Технологический отдел</v>
      </c>
      <c r="G29" s="6" t="s">
        <v>34</v>
      </c>
      <c r="H29" s="16">
        <f>LOOKUP(G29,Справочники!$B$2:$B$35,Справочники!$C$2:$C$35)</f>
        <v>12000</v>
      </c>
      <c r="I29" s="6" t="s">
        <v>14</v>
      </c>
      <c r="J29" s="11">
        <v>35290</v>
      </c>
      <c r="K29" s="11">
        <v>22280</v>
      </c>
      <c r="L29" s="10">
        <f t="shared" ca="1" si="0"/>
        <v>26</v>
      </c>
      <c r="M29" s="10">
        <f t="shared" ca="1" si="0"/>
        <v>61</v>
      </c>
      <c r="N29" s="10" t="str">
        <f>LOOKUP(F29,Справочники!$F$2:$F$10,Справочники!$H$2:$H$10)</f>
        <v>+7(8332)64-32-18</v>
      </c>
    </row>
    <row r="30" spans="1:14" ht="15" hidden="1" x14ac:dyDescent="0.25">
      <c r="A30" s="10">
        <v>124</v>
      </c>
      <c r="B30" s="12" t="s">
        <v>124</v>
      </c>
      <c r="C30" s="12" t="s">
        <v>125</v>
      </c>
      <c r="D30" s="12" t="s">
        <v>96</v>
      </c>
      <c r="E30" s="10" t="s">
        <v>9</v>
      </c>
      <c r="F30" s="10" t="str">
        <f>LOOKUP(G30,Справочники!$B$2:$B$35,Справочники!$A$2:$A$35)</f>
        <v>Технологический отдел</v>
      </c>
      <c r="G30" s="6" t="s">
        <v>32</v>
      </c>
      <c r="H30" s="16">
        <f>LOOKUP(G30,Справочники!$B$2:$B$35,Справочники!$C$2:$C$35)</f>
        <v>15000</v>
      </c>
      <c r="I30" s="6" t="s">
        <v>33</v>
      </c>
      <c r="J30" s="11">
        <v>35451</v>
      </c>
      <c r="K30" s="11">
        <v>27551</v>
      </c>
      <c r="L30" s="10">
        <f t="shared" ca="1" si="0"/>
        <v>25</v>
      </c>
      <c r="M30" s="10">
        <f t="shared" ca="1" si="0"/>
        <v>47</v>
      </c>
      <c r="N30" s="10" t="str">
        <f>LOOKUP(F30,Справочники!$F$2:$F$10,Справочники!$H$2:$H$10)</f>
        <v>+7(8332)64-32-18</v>
      </c>
    </row>
    <row r="31" spans="1:14" ht="15" hidden="1" x14ac:dyDescent="0.25">
      <c r="A31" s="10">
        <v>125</v>
      </c>
      <c r="B31" s="12" t="s">
        <v>126</v>
      </c>
      <c r="C31" s="12" t="s">
        <v>98</v>
      </c>
      <c r="D31" s="12" t="s">
        <v>127</v>
      </c>
      <c r="E31" s="10" t="s">
        <v>9</v>
      </c>
      <c r="F31" s="10" t="str">
        <f>LOOKUP(G31,Справочники!$B$2:$B$35,Справочники!$A$2:$A$35)</f>
        <v>Технологический отдел</v>
      </c>
      <c r="G31" s="6" t="s">
        <v>34</v>
      </c>
      <c r="H31" s="16">
        <f>LOOKUP(G31,Справочники!$B$2:$B$35,Справочники!$C$2:$C$35)</f>
        <v>12000</v>
      </c>
      <c r="I31" s="6" t="s">
        <v>33</v>
      </c>
      <c r="J31" s="11">
        <v>35290</v>
      </c>
      <c r="K31" s="11">
        <v>22065</v>
      </c>
      <c r="L31" s="10">
        <f t="shared" ca="1" si="0"/>
        <v>26</v>
      </c>
      <c r="M31" s="10">
        <f t="shared" ca="1" si="0"/>
        <v>62</v>
      </c>
      <c r="N31" s="10" t="str">
        <f>LOOKUP(F31,Справочники!$F$2:$F$10,Справочники!$H$2:$H$10)</f>
        <v>+7(8332)64-32-18</v>
      </c>
    </row>
    <row r="32" spans="1:14" ht="15" hidden="1" x14ac:dyDescent="0.25">
      <c r="A32" s="10">
        <v>126</v>
      </c>
      <c r="B32" s="12" t="s">
        <v>128</v>
      </c>
      <c r="C32" s="12" t="s">
        <v>129</v>
      </c>
      <c r="D32" s="12" t="s">
        <v>101</v>
      </c>
      <c r="E32" s="10" t="s">
        <v>17</v>
      </c>
      <c r="F32" s="10" t="str">
        <f>LOOKUP(G32,Справочники!$B$2:$B$35,Справочники!$A$2:$A$35)</f>
        <v>Рекламный отдел</v>
      </c>
      <c r="G32" s="6" t="s">
        <v>27</v>
      </c>
      <c r="H32" s="16">
        <f>LOOKUP(G32,Справочники!$B$2:$B$35,Справочники!$C$2:$C$35)</f>
        <v>22000</v>
      </c>
      <c r="I32" s="6" t="s">
        <v>14</v>
      </c>
      <c r="J32" s="11">
        <v>40321</v>
      </c>
      <c r="K32" s="11">
        <v>30232</v>
      </c>
      <c r="L32" s="10">
        <f t="shared" ca="1" si="0"/>
        <v>12</v>
      </c>
      <c r="M32" s="10">
        <f t="shared" ca="1" si="0"/>
        <v>40</v>
      </c>
      <c r="N32" s="10" t="str">
        <f>LOOKUP(F32,Справочники!$F$2:$F$10,Справочники!$H$2:$H$10)</f>
        <v>+7(8332)64-32-01</v>
      </c>
    </row>
    <row r="33" spans="1:14" ht="15" hidden="1" x14ac:dyDescent="0.25">
      <c r="A33" s="10">
        <v>127</v>
      </c>
      <c r="B33" s="12" t="s">
        <v>130</v>
      </c>
      <c r="C33" s="12" t="s">
        <v>131</v>
      </c>
      <c r="D33" s="12" t="s">
        <v>132</v>
      </c>
      <c r="E33" s="10" t="s">
        <v>17</v>
      </c>
      <c r="F33" s="10" t="str">
        <f>LOOKUP(G33,Справочники!$B$2:$B$35,Справочники!$A$2:$A$35)</f>
        <v>Технологический отдел</v>
      </c>
      <c r="G33" s="6" t="s">
        <v>38</v>
      </c>
      <c r="H33" s="16">
        <f>LOOKUP(G33,Справочники!$B$2:$B$35,Справочники!$C$2:$C$35)</f>
        <v>20000</v>
      </c>
      <c r="I33" s="6" t="s">
        <v>14</v>
      </c>
      <c r="J33" s="11">
        <v>40810</v>
      </c>
      <c r="K33" s="11">
        <v>31390</v>
      </c>
      <c r="L33" s="10">
        <f t="shared" ca="1" si="0"/>
        <v>11</v>
      </c>
      <c r="M33" s="10">
        <f t="shared" ca="1" si="0"/>
        <v>36</v>
      </c>
      <c r="N33" s="10" t="str">
        <f>LOOKUP(F33,Справочники!$F$2:$F$10,Справочники!$H$2:$H$10)</f>
        <v>+7(8332)64-32-18</v>
      </c>
    </row>
    <row r="34" spans="1:14" ht="15" x14ac:dyDescent="0.25">
      <c r="A34" s="10">
        <v>128</v>
      </c>
      <c r="B34" s="12" t="s">
        <v>133</v>
      </c>
      <c r="C34" s="12" t="s">
        <v>90</v>
      </c>
      <c r="D34" s="12" t="s">
        <v>132</v>
      </c>
      <c r="E34" s="10" t="s">
        <v>17</v>
      </c>
      <c r="F34" s="10" t="str">
        <f>LOOKUP(G34,Справочники!$B$2:$B$35,Справочники!$A$2:$A$35)</f>
        <v>Рекламный отдел</v>
      </c>
      <c r="G34" s="6" t="s">
        <v>39</v>
      </c>
      <c r="H34" s="16">
        <f>LOOKUP(G34,Справочники!$B$2:$B$35,Справочники!$C$2:$C$35)</f>
        <v>18000</v>
      </c>
      <c r="I34" s="6" t="s">
        <v>12</v>
      </c>
      <c r="J34" s="11">
        <v>42260</v>
      </c>
      <c r="K34" s="11">
        <v>32292</v>
      </c>
      <c r="L34" s="10">
        <f t="shared" ca="1" si="0"/>
        <v>7</v>
      </c>
      <c r="M34" s="10">
        <f t="shared" ca="1" si="0"/>
        <v>34</v>
      </c>
      <c r="N34" s="10" t="str">
        <f>LOOKUP(F34,Справочники!$F$2:$F$10,Справочники!$H$2:$H$10)</f>
        <v>+7(8332)64-32-01</v>
      </c>
    </row>
    <row r="35" spans="1:14" ht="15" hidden="1" x14ac:dyDescent="0.25">
      <c r="A35" s="10">
        <v>129</v>
      </c>
      <c r="B35" s="12" t="s">
        <v>134</v>
      </c>
      <c r="C35" s="12" t="s">
        <v>135</v>
      </c>
      <c r="D35" s="12" t="s">
        <v>136</v>
      </c>
      <c r="E35" s="10" t="s">
        <v>17</v>
      </c>
      <c r="F35" s="10" t="str">
        <f>LOOKUP(G35,Справочники!$B$2:$B$35,Справочники!$A$2:$A$35)</f>
        <v>Рекламный отдел</v>
      </c>
      <c r="G35" s="6" t="s">
        <v>40</v>
      </c>
      <c r="H35" s="16">
        <f>LOOKUP(G35,Справочники!$B$2:$B$35,Справочники!$C$2:$C$35)</f>
        <v>15000</v>
      </c>
      <c r="I35" s="6" t="s">
        <v>14</v>
      </c>
      <c r="J35" s="11">
        <v>41972</v>
      </c>
      <c r="K35" s="11">
        <v>33851</v>
      </c>
      <c r="L35" s="10">
        <f t="shared" ca="1" si="0"/>
        <v>7</v>
      </c>
      <c r="M35" s="10">
        <f t="shared" ca="1" si="0"/>
        <v>30</v>
      </c>
      <c r="N35" s="10" t="str">
        <f>LOOKUP(F35,Справочники!$F$2:$F$10,Справочники!$H$2:$H$10)</f>
        <v>+7(8332)64-32-01</v>
      </c>
    </row>
    <row r="36" spans="1:14" ht="15" hidden="1" x14ac:dyDescent="0.25">
      <c r="A36" s="10">
        <v>130</v>
      </c>
      <c r="B36" s="12" t="s">
        <v>137</v>
      </c>
      <c r="C36" s="12" t="s">
        <v>138</v>
      </c>
      <c r="D36" s="12" t="s">
        <v>139</v>
      </c>
      <c r="E36" s="10" t="s">
        <v>9</v>
      </c>
      <c r="F36" s="10" t="str">
        <f>LOOKUP(G36,Справочники!$B$2:$B$35,Справочники!$A$2:$A$35)</f>
        <v>Управление</v>
      </c>
      <c r="G36" s="6" t="s">
        <v>20</v>
      </c>
      <c r="H36" s="16">
        <f>LOOKUP(G36,Справочники!$B$2:$B$35,Справочники!$C$2:$C$35)</f>
        <v>15000</v>
      </c>
      <c r="I36" s="6" t="s">
        <v>25</v>
      </c>
      <c r="J36" s="11">
        <v>42765</v>
      </c>
      <c r="K36" s="11">
        <v>34714</v>
      </c>
      <c r="L36" s="10">
        <f t="shared" ca="1" si="0"/>
        <v>5</v>
      </c>
      <c r="M36" s="10">
        <f t="shared" ca="1" si="0"/>
        <v>27</v>
      </c>
      <c r="N36" s="10" t="str">
        <f>LOOKUP(F36,Справочники!$F$2:$F$10,Справочники!$H$2:$H$10)</f>
        <v>+7(8332)64-32-18</v>
      </c>
    </row>
    <row r="37" spans="1:14" ht="15" hidden="1" x14ac:dyDescent="0.25">
      <c r="A37" s="10">
        <v>131</v>
      </c>
      <c r="B37" s="12" t="s">
        <v>140</v>
      </c>
      <c r="C37" s="12" t="s">
        <v>141</v>
      </c>
      <c r="D37" s="12" t="s">
        <v>142</v>
      </c>
      <c r="E37" s="10" t="s">
        <v>17</v>
      </c>
      <c r="F37" s="10" t="str">
        <f>LOOKUP(G37,Справочники!$B$2:$B$35,Справочники!$A$2:$A$35)</f>
        <v>Рекламный отдел</v>
      </c>
      <c r="G37" s="6" t="s">
        <v>27</v>
      </c>
      <c r="H37" s="16">
        <f>LOOKUP(G37,Справочники!$B$2:$B$35,Справочники!$C$2:$C$35)</f>
        <v>22000</v>
      </c>
      <c r="I37" s="6" t="s">
        <v>14</v>
      </c>
      <c r="J37" s="11">
        <v>39459</v>
      </c>
      <c r="K37" s="11">
        <v>27953</v>
      </c>
      <c r="L37" s="10">
        <f t="shared" ca="1" si="0"/>
        <v>14</v>
      </c>
      <c r="M37" s="10">
        <f t="shared" ca="1" si="0"/>
        <v>46</v>
      </c>
      <c r="N37" s="10" t="str">
        <f>LOOKUP(F37,Справочники!$F$2:$F$10,Справочники!$H$2:$H$10)</f>
        <v>+7(8332)64-32-01</v>
      </c>
    </row>
    <row r="38" spans="1:14" ht="15" x14ac:dyDescent="0.25">
      <c r="A38" s="10">
        <v>132</v>
      </c>
      <c r="B38" s="12" t="s">
        <v>143</v>
      </c>
      <c r="C38" s="12" t="s">
        <v>141</v>
      </c>
      <c r="D38" s="12" t="s">
        <v>85</v>
      </c>
      <c r="E38" s="10" t="s">
        <v>17</v>
      </c>
      <c r="F38" s="10" t="str">
        <f>LOOKUP(G38,Справочники!$B$2:$B$35,Справочники!$A$2:$A$35)</f>
        <v>Отдел продаж</v>
      </c>
      <c r="G38" s="6" t="s">
        <v>42</v>
      </c>
      <c r="H38" s="16">
        <f>LOOKUP(G38,Справочники!$B$2:$B$35,Справочники!$C$2:$C$35)</f>
        <v>15000</v>
      </c>
      <c r="I38" s="6" t="s">
        <v>12</v>
      </c>
      <c r="J38" s="11">
        <v>41306</v>
      </c>
      <c r="K38" s="11">
        <v>33115</v>
      </c>
      <c r="L38" s="10">
        <f t="shared" ca="1" si="0"/>
        <v>9</v>
      </c>
      <c r="M38" s="10">
        <f t="shared" ca="1" si="0"/>
        <v>32</v>
      </c>
      <c r="N38" s="10" t="str">
        <f>LOOKUP(F38,Справочники!$F$2:$F$10,Справочники!$H$2:$H$10)</f>
        <v>+7(8332)64-32-01</v>
      </c>
    </row>
    <row r="39" spans="1:14" ht="15" hidden="1" x14ac:dyDescent="0.25">
      <c r="A39" s="10">
        <v>133</v>
      </c>
      <c r="B39" s="12" t="s">
        <v>144</v>
      </c>
      <c r="C39" s="12" t="s">
        <v>84</v>
      </c>
      <c r="D39" s="12" t="s">
        <v>145</v>
      </c>
      <c r="E39" s="10" t="s">
        <v>17</v>
      </c>
      <c r="F39" s="10" t="str">
        <f>LOOKUP(G39,Справочники!$B$2:$B$35,Справочники!$A$2:$A$35)</f>
        <v>Рекламный отдел</v>
      </c>
      <c r="G39" s="6" t="s">
        <v>40</v>
      </c>
      <c r="H39" s="16">
        <f>LOOKUP(G39,Справочники!$B$2:$B$35,Справочники!$C$2:$C$35)</f>
        <v>15000</v>
      </c>
      <c r="I39" s="6" t="s">
        <v>14</v>
      </c>
      <c r="J39" s="11">
        <v>41782</v>
      </c>
      <c r="K39" s="11">
        <v>33871</v>
      </c>
      <c r="L39" s="10">
        <f t="shared" ca="1" si="0"/>
        <v>8</v>
      </c>
      <c r="M39" s="10">
        <f t="shared" ca="1" si="0"/>
        <v>30</v>
      </c>
      <c r="N39" s="10" t="str">
        <f>LOOKUP(F39,Справочники!$F$2:$F$10,Справочники!$H$2:$H$10)</f>
        <v>+7(8332)64-32-01</v>
      </c>
    </row>
    <row r="40" spans="1:14" ht="15" hidden="1" x14ac:dyDescent="0.25">
      <c r="A40" s="10">
        <v>134</v>
      </c>
      <c r="B40" s="12" t="s">
        <v>146</v>
      </c>
      <c r="C40" s="12" t="s">
        <v>147</v>
      </c>
      <c r="D40" s="12" t="s">
        <v>148</v>
      </c>
      <c r="E40" s="10" t="s">
        <v>9</v>
      </c>
      <c r="F40" s="10" t="str">
        <f>LOOKUP(G40,Справочники!$B$2:$B$35,Справочники!$A$2:$A$35)</f>
        <v>Технологический отдел</v>
      </c>
      <c r="G40" s="6" t="s">
        <v>38</v>
      </c>
      <c r="H40" s="16">
        <f>LOOKUP(G40,Справочники!$B$2:$B$35,Справочники!$C$2:$C$35)</f>
        <v>20000</v>
      </c>
      <c r="I40" s="6" t="s">
        <v>14</v>
      </c>
      <c r="J40" s="11">
        <v>35208</v>
      </c>
      <c r="K40" s="11">
        <v>25186</v>
      </c>
      <c r="L40" s="10">
        <f t="shared" ca="1" si="0"/>
        <v>26</v>
      </c>
      <c r="M40" s="10">
        <f t="shared" ca="1" si="0"/>
        <v>53</v>
      </c>
      <c r="N40" s="10" t="str">
        <f>LOOKUP(F40,Справочники!$F$2:$F$10,Справочники!$H$2:$H$10)</f>
        <v>+7(8332)64-32-18</v>
      </c>
    </row>
    <row r="41" spans="1:14" ht="15" hidden="1" x14ac:dyDescent="0.25">
      <c r="A41" s="10">
        <v>135</v>
      </c>
      <c r="B41" s="12" t="s">
        <v>149</v>
      </c>
      <c r="C41" s="12" t="s">
        <v>75</v>
      </c>
      <c r="D41" s="12" t="s">
        <v>96</v>
      </c>
      <c r="E41" s="10" t="s">
        <v>9</v>
      </c>
      <c r="F41" s="10" t="str">
        <f>LOOKUP(G41,Справочники!$B$2:$B$35,Справочники!$A$2:$A$35)</f>
        <v>Технологический отдел</v>
      </c>
      <c r="G41" s="6" t="s">
        <v>38</v>
      </c>
      <c r="H41" s="16">
        <f>LOOKUP(G41,Справочники!$B$2:$B$35,Справочники!$C$2:$C$35)</f>
        <v>20000</v>
      </c>
      <c r="I41" s="6" t="s">
        <v>25</v>
      </c>
      <c r="J41" s="11">
        <v>35290</v>
      </c>
      <c r="K41" s="11">
        <v>23891</v>
      </c>
      <c r="L41" s="10">
        <f t="shared" ca="1" si="0"/>
        <v>26</v>
      </c>
      <c r="M41" s="10">
        <f t="shared" ca="1" si="0"/>
        <v>57</v>
      </c>
      <c r="N41" s="10" t="str">
        <f>LOOKUP(F41,Справочники!$F$2:$F$10,Справочники!$H$2:$H$10)</f>
        <v>+7(8332)64-32-18</v>
      </c>
    </row>
    <row r="42" spans="1:14" ht="15" hidden="1" x14ac:dyDescent="0.25">
      <c r="A42" s="10">
        <v>136</v>
      </c>
      <c r="B42" s="12" t="s">
        <v>150</v>
      </c>
      <c r="C42" s="12" t="s">
        <v>151</v>
      </c>
      <c r="D42" s="12" t="s">
        <v>152</v>
      </c>
      <c r="E42" s="10" t="s">
        <v>9</v>
      </c>
      <c r="F42" s="10" t="str">
        <f>LOOKUP(G42,Справочники!$B$2:$B$35,Справочники!$A$2:$A$35)</f>
        <v>Рекламный отдел</v>
      </c>
      <c r="G42" s="6" t="s">
        <v>27</v>
      </c>
      <c r="H42" s="16">
        <f>LOOKUP(G42,Справочники!$B$2:$B$35,Справочники!$C$2:$C$35)</f>
        <v>22000</v>
      </c>
      <c r="I42" s="6" t="s">
        <v>25</v>
      </c>
      <c r="J42" s="11">
        <v>39479</v>
      </c>
      <c r="K42" s="11">
        <v>27737</v>
      </c>
      <c r="L42" s="10">
        <f t="shared" ca="1" si="0"/>
        <v>14</v>
      </c>
      <c r="M42" s="10">
        <f t="shared" ca="1" si="0"/>
        <v>46</v>
      </c>
      <c r="N42" s="10" t="str">
        <f>LOOKUP(F42,Справочники!$F$2:$F$10,Справочники!$H$2:$H$10)</f>
        <v>+7(8332)64-32-01</v>
      </c>
    </row>
    <row r="43" spans="1:14" ht="15" hidden="1" x14ac:dyDescent="0.25">
      <c r="A43" s="10">
        <v>137</v>
      </c>
      <c r="B43" s="12" t="s">
        <v>153</v>
      </c>
      <c r="C43" s="12" t="s">
        <v>114</v>
      </c>
      <c r="D43" s="12" t="s">
        <v>154</v>
      </c>
      <c r="E43" s="10" t="s">
        <v>9</v>
      </c>
      <c r="F43" s="10" t="str">
        <f>LOOKUP(G43,Справочники!$B$2:$B$35,Справочники!$A$2:$A$35)</f>
        <v>Управление</v>
      </c>
      <c r="G43" s="6" t="s">
        <v>20</v>
      </c>
      <c r="H43" s="16">
        <f>LOOKUP(G43,Справочники!$B$2:$B$35,Справочники!$C$2:$C$35)</f>
        <v>15000</v>
      </c>
      <c r="I43" s="6" t="s">
        <v>25</v>
      </c>
      <c r="J43" s="11">
        <v>42271</v>
      </c>
      <c r="K43" s="11">
        <v>33851</v>
      </c>
      <c r="L43" s="10">
        <f t="shared" ca="1" si="0"/>
        <v>7</v>
      </c>
      <c r="M43" s="10">
        <f t="shared" ca="1" si="0"/>
        <v>30</v>
      </c>
      <c r="N43" s="10" t="str">
        <f>LOOKUP(F43,Справочники!$F$2:$F$10,Справочники!$H$2:$H$10)</f>
        <v>+7(8332)64-32-18</v>
      </c>
    </row>
    <row r="44" spans="1:14" ht="15" hidden="1" x14ac:dyDescent="0.25">
      <c r="A44" s="10">
        <v>138</v>
      </c>
      <c r="B44" s="12" t="s">
        <v>155</v>
      </c>
      <c r="C44" s="12" t="s">
        <v>108</v>
      </c>
      <c r="D44" s="12" t="s">
        <v>156</v>
      </c>
      <c r="E44" s="10" t="s">
        <v>9</v>
      </c>
      <c r="F44" s="10" t="str">
        <f>LOOKUP(G44,Справочники!$B$2:$B$35,Справочники!$A$2:$A$35)</f>
        <v>Отдел худ. оформления</v>
      </c>
      <c r="G44" s="6" t="s">
        <v>44</v>
      </c>
      <c r="H44" s="16">
        <f>LOOKUP(G44,Справочники!$B$2:$B$35,Справочники!$C$2:$C$35)</f>
        <v>18000</v>
      </c>
      <c r="I44" s="6" t="s">
        <v>14</v>
      </c>
      <c r="J44" s="11">
        <v>34380</v>
      </c>
      <c r="K44" s="11">
        <v>23757</v>
      </c>
      <c r="L44" s="10">
        <f t="shared" ca="1" si="0"/>
        <v>28</v>
      </c>
      <c r="M44" s="10">
        <f t="shared" ca="1" si="0"/>
        <v>57</v>
      </c>
      <c r="N44" s="10" t="str">
        <f>LOOKUP(F44,Справочники!$F$2:$F$10,Справочники!$H$2:$H$10)</f>
        <v>+7(8332)64-32-01</v>
      </c>
    </row>
    <row r="45" spans="1:14" ht="15" x14ac:dyDescent="0.25">
      <c r="A45" s="10">
        <v>139</v>
      </c>
      <c r="B45" s="12" t="s">
        <v>157</v>
      </c>
      <c r="C45" s="12" t="s">
        <v>158</v>
      </c>
      <c r="D45" s="12" t="s">
        <v>159</v>
      </c>
      <c r="E45" s="10" t="s">
        <v>9</v>
      </c>
      <c r="F45" s="10" t="str">
        <f>LOOKUP(G45,Справочники!$B$2:$B$35,Справочники!$A$2:$A$35)</f>
        <v>Управление</v>
      </c>
      <c r="G45" s="6" t="s">
        <v>20</v>
      </c>
      <c r="H45" s="16">
        <f>LOOKUP(G45,Справочники!$B$2:$B$35,Справочники!$C$2:$C$35)</f>
        <v>15000</v>
      </c>
      <c r="I45" s="6" t="s">
        <v>12</v>
      </c>
      <c r="J45" s="11">
        <v>41697</v>
      </c>
      <c r="K45" s="11">
        <v>33022</v>
      </c>
      <c r="L45" s="10">
        <f t="shared" ca="1" si="0"/>
        <v>8</v>
      </c>
      <c r="M45" s="10">
        <f t="shared" ca="1" si="0"/>
        <v>32</v>
      </c>
      <c r="N45" s="10" t="str">
        <f>LOOKUP(F45,Справочники!$F$2:$F$10,Справочники!$H$2:$H$10)</f>
        <v>+7(8332)64-32-18</v>
      </c>
    </row>
    <row r="46" spans="1:14" ht="15" hidden="1" x14ac:dyDescent="0.25">
      <c r="A46" s="10">
        <v>140</v>
      </c>
      <c r="B46" s="12" t="s">
        <v>160</v>
      </c>
      <c r="C46" s="12" t="s">
        <v>161</v>
      </c>
      <c r="D46" s="12" t="s">
        <v>162</v>
      </c>
      <c r="E46" s="10" t="s">
        <v>9</v>
      </c>
      <c r="F46" s="10" t="str">
        <f>LOOKUP(G46,Справочники!$B$2:$B$35,Справочники!$A$2:$A$35)</f>
        <v>Рекламный отдел</v>
      </c>
      <c r="G46" s="6" t="s">
        <v>40</v>
      </c>
      <c r="H46" s="16">
        <f>LOOKUP(G46,Справочники!$B$2:$B$35,Справочники!$C$2:$C$35)</f>
        <v>15000</v>
      </c>
      <c r="I46" s="6" t="s">
        <v>25</v>
      </c>
      <c r="J46" s="11">
        <v>39641</v>
      </c>
      <c r="K46" s="11">
        <v>29284</v>
      </c>
      <c r="L46" s="10">
        <f t="shared" ca="1" si="0"/>
        <v>14</v>
      </c>
      <c r="M46" s="10">
        <f t="shared" ca="1" si="0"/>
        <v>42</v>
      </c>
      <c r="N46" s="10" t="str">
        <f>LOOKUP(F46,Справочники!$F$2:$F$10,Справочники!$H$2:$H$10)</f>
        <v>+7(8332)64-32-01</v>
      </c>
    </row>
    <row r="47" spans="1:14" ht="15" hidden="1" x14ac:dyDescent="0.25">
      <c r="A47" s="10">
        <v>141</v>
      </c>
      <c r="B47" s="12" t="s">
        <v>163</v>
      </c>
      <c r="C47" s="12" t="s">
        <v>164</v>
      </c>
      <c r="D47" s="12" t="s">
        <v>93</v>
      </c>
      <c r="E47" s="10" t="s">
        <v>17</v>
      </c>
      <c r="F47" s="10" t="str">
        <f>LOOKUP(G47,Справочники!$B$2:$B$35,Справочники!$A$2:$A$35)</f>
        <v>Отдел худ. оформления</v>
      </c>
      <c r="G47" s="6" t="s">
        <v>44</v>
      </c>
      <c r="H47" s="16">
        <f>LOOKUP(G47,Справочники!$B$2:$B$35,Справочники!$C$2:$C$35)</f>
        <v>18000</v>
      </c>
      <c r="I47" s="6" t="s">
        <v>14</v>
      </c>
      <c r="J47" s="11">
        <v>35290</v>
      </c>
      <c r="K47" s="11">
        <v>27405</v>
      </c>
      <c r="L47" s="10">
        <f t="shared" ca="1" si="0"/>
        <v>26</v>
      </c>
      <c r="M47" s="10">
        <f t="shared" ca="1" si="0"/>
        <v>47</v>
      </c>
      <c r="N47" s="10" t="str">
        <f>LOOKUP(F47,Справочники!$F$2:$F$10,Справочники!$H$2:$H$10)</f>
        <v>+7(8332)64-32-01</v>
      </c>
    </row>
    <row r="48" spans="1:14" ht="15" hidden="1" x14ac:dyDescent="0.25">
      <c r="A48" s="10">
        <v>142</v>
      </c>
      <c r="B48" s="12" t="s">
        <v>165</v>
      </c>
      <c r="C48" s="12" t="s">
        <v>166</v>
      </c>
      <c r="D48" s="12" t="s">
        <v>127</v>
      </c>
      <c r="E48" s="10" t="s">
        <v>9</v>
      </c>
      <c r="F48" s="10" t="str">
        <f>LOOKUP(G48,Справочники!$B$2:$B$35,Справочники!$A$2:$A$35)</f>
        <v>Склад</v>
      </c>
      <c r="G48" s="6" t="s">
        <v>46</v>
      </c>
      <c r="H48" s="16">
        <f>LOOKUP(G48,Справочники!$B$2:$B$35,Справочники!$C$2:$C$35)</f>
        <v>15000</v>
      </c>
      <c r="I48" s="6" t="s">
        <v>33</v>
      </c>
      <c r="J48" s="11">
        <v>34955</v>
      </c>
      <c r="K48" s="11">
        <v>24134</v>
      </c>
      <c r="L48" s="10">
        <f t="shared" ca="1" si="0"/>
        <v>27</v>
      </c>
      <c r="M48" s="10">
        <f t="shared" ca="1" si="0"/>
        <v>56</v>
      </c>
      <c r="N48" s="10" t="str">
        <f>LOOKUP(F48,Справочники!$F$2:$F$10,Справочники!$H$2:$H$10)</f>
        <v>+7(8332)64-32-23</v>
      </c>
    </row>
    <row r="49" spans="1:14" ht="15" x14ac:dyDescent="0.25">
      <c r="A49" s="10">
        <v>143</v>
      </c>
      <c r="B49" s="12" t="s">
        <v>167</v>
      </c>
      <c r="C49" s="12" t="s">
        <v>168</v>
      </c>
      <c r="D49" s="12" t="s">
        <v>169</v>
      </c>
      <c r="E49" s="10" t="s">
        <v>17</v>
      </c>
      <c r="F49" s="10" t="str">
        <f>LOOKUP(G49,Справочники!$B$2:$B$35,Справочники!$A$2:$A$35)</f>
        <v>Склад</v>
      </c>
      <c r="G49" s="6" t="s">
        <v>47</v>
      </c>
      <c r="H49" s="16">
        <f>LOOKUP(G49,Справочники!$B$2:$B$35,Справочники!$C$2:$C$35)</f>
        <v>11000</v>
      </c>
      <c r="I49" s="6" t="s">
        <v>33</v>
      </c>
      <c r="J49" s="11">
        <v>42016</v>
      </c>
      <c r="K49" s="11">
        <v>30232</v>
      </c>
      <c r="L49" s="10">
        <f t="shared" ca="1" si="0"/>
        <v>7</v>
      </c>
      <c r="M49" s="10">
        <f t="shared" ca="1" si="0"/>
        <v>40</v>
      </c>
      <c r="N49" s="10" t="str">
        <f>LOOKUP(F49,Справочники!$F$2:$F$10,Справочники!$H$2:$H$10)</f>
        <v>+7(8332)64-32-23</v>
      </c>
    </row>
    <row r="50" spans="1:14" ht="15" x14ac:dyDescent="0.25">
      <c r="A50" s="10">
        <v>144</v>
      </c>
      <c r="B50" s="12" t="s">
        <v>170</v>
      </c>
      <c r="C50" s="12" t="s">
        <v>164</v>
      </c>
      <c r="D50" s="12" t="s">
        <v>171</v>
      </c>
      <c r="E50" s="10" t="s">
        <v>17</v>
      </c>
      <c r="F50" s="10" t="str">
        <f>LOOKUP(G50,Справочники!$B$2:$B$35,Справочники!$A$2:$A$35)</f>
        <v>Склад</v>
      </c>
      <c r="G50" s="6" t="s">
        <v>47</v>
      </c>
      <c r="H50" s="16">
        <f>LOOKUP(G50,Справочники!$B$2:$B$35,Справочники!$C$2:$C$35)</f>
        <v>11000</v>
      </c>
      <c r="I50" s="6" t="s">
        <v>33</v>
      </c>
      <c r="J50" s="11">
        <v>43115</v>
      </c>
      <c r="K50" s="11">
        <v>33207</v>
      </c>
      <c r="L50" s="10">
        <f t="shared" ca="1" si="0"/>
        <v>4</v>
      </c>
      <c r="M50" s="10">
        <f t="shared" ca="1" si="0"/>
        <v>31</v>
      </c>
      <c r="N50" s="10" t="str">
        <f>LOOKUP(F50,Справочники!$F$2:$F$10,Справочники!$H$2:$H$10)</f>
        <v>+7(8332)64-32-23</v>
      </c>
    </row>
    <row r="51" spans="1:14" ht="15" hidden="1" x14ac:dyDescent="0.25">
      <c r="A51" s="10">
        <v>145</v>
      </c>
      <c r="B51" s="12" t="s">
        <v>172</v>
      </c>
      <c r="C51" s="12" t="s">
        <v>131</v>
      </c>
      <c r="D51" s="12" t="s">
        <v>145</v>
      </c>
      <c r="E51" s="10" t="s">
        <v>17</v>
      </c>
      <c r="F51" s="10" t="str">
        <f>LOOKUP(G51,Справочники!$B$2:$B$35,Справочники!$A$2:$A$35)</f>
        <v>Склад</v>
      </c>
      <c r="G51" s="6" t="s">
        <v>48</v>
      </c>
      <c r="H51" s="16">
        <f>LOOKUP(G51,Справочники!$B$2:$B$35,Справочники!$C$2:$C$35)</f>
        <v>22000</v>
      </c>
      <c r="I51" s="6" t="s">
        <v>25</v>
      </c>
      <c r="J51" s="11">
        <v>34788</v>
      </c>
      <c r="K51" s="11">
        <v>25204</v>
      </c>
      <c r="L51" s="10">
        <f t="shared" ca="1" si="0"/>
        <v>27</v>
      </c>
      <c r="M51" s="10">
        <f t="shared" ca="1" si="0"/>
        <v>53</v>
      </c>
      <c r="N51" s="10" t="str">
        <f>LOOKUP(F51,Справочники!$F$2:$F$10,Справочники!$H$2:$H$10)</f>
        <v>+7(8332)64-32-23</v>
      </c>
    </row>
    <row r="52" spans="1:14" ht="15" hidden="1" x14ac:dyDescent="0.25">
      <c r="A52" s="10">
        <v>146</v>
      </c>
      <c r="B52" s="12" t="s">
        <v>173</v>
      </c>
      <c r="C52" s="12" t="s">
        <v>129</v>
      </c>
      <c r="D52" s="12" t="s">
        <v>174</v>
      </c>
      <c r="E52" s="10" t="s">
        <v>17</v>
      </c>
      <c r="F52" s="10" t="str">
        <f>LOOKUP(G52,Справочники!$B$2:$B$35,Справочники!$A$2:$A$35)</f>
        <v>Склад</v>
      </c>
      <c r="G52" s="6" t="s">
        <v>46</v>
      </c>
      <c r="H52" s="16">
        <f>LOOKUP(G52,Справочники!$B$2:$B$35,Справочники!$C$2:$C$35)</f>
        <v>15000</v>
      </c>
      <c r="I52" s="6" t="s">
        <v>33</v>
      </c>
      <c r="J52" s="11">
        <v>35032</v>
      </c>
      <c r="K52" s="11">
        <v>26821</v>
      </c>
      <c r="L52" s="10">
        <f t="shared" ca="1" si="0"/>
        <v>26</v>
      </c>
      <c r="M52" s="10">
        <f t="shared" ca="1" si="0"/>
        <v>49</v>
      </c>
      <c r="N52" s="10" t="str">
        <f>LOOKUP(F52,Справочники!$F$2:$F$10,Справочники!$H$2:$H$10)</f>
        <v>+7(8332)64-32-23</v>
      </c>
    </row>
    <row r="53" spans="1:14" ht="15" x14ac:dyDescent="0.25">
      <c r="A53" s="10">
        <v>147</v>
      </c>
      <c r="B53" s="12" t="s">
        <v>175</v>
      </c>
      <c r="C53" s="12" t="s">
        <v>176</v>
      </c>
      <c r="D53" s="12" t="s">
        <v>177</v>
      </c>
      <c r="E53" s="10" t="s">
        <v>17</v>
      </c>
      <c r="F53" s="10" t="str">
        <f>LOOKUP(G53,Справочники!$B$2:$B$35,Справочники!$A$2:$A$35)</f>
        <v>Склад</v>
      </c>
      <c r="G53" s="6" t="s">
        <v>47</v>
      </c>
      <c r="H53" s="16">
        <f>LOOKUP(G53,Справочники!$B$2:$B$35,Справочники!$C$2:$C$35)</f>
        <v>11000</v>
      </c>
      <c r="I53" s="6" t="s">
        <v>33</v>
      </c>
      <c r="J53" s="11">
        <v>42399</v>
      </c>
      <c r="K53" s="11">
        <v>33858</v>
      </c>
      <c r="L53" s="10">
        <f t="shared" ca="1" si="0"/>
        <v>6</v>
      </c>
      <c r="M53" s="10">
        <f t="shared" ca="1" si="0"/>
        <v>30</v>
      </c>
      <c r="N53" s="10" t="str">
        <f>LOOKUP(F53,Справочники!$F$2:$F$10,Справочники!$H$2:$H$10)</f>
        <v>+7(8332)64-32-23</v>
      </c>
    </row>
    <row r="54" spans="1:14" ht="15" hidden="1" x14ac:dyDescent="0.25">
      <c r="A54" s="10">
        <v>148</v>
      </c>
      <c r="B54" s="12" t="s">
        <v>178</v>
      </c>
      <c r="C54" s="12" t="s">
        <v>179</v>
      </c>
      <c r="D54" s="12" t="s">
        <v>101</v>
      </c>
      <c r="E54" s="10" t="s">
        <v>17</v>
      </c>
      <c r="F54" s="10" t="str">
        <f>LOOKUP(G54,Справочники!$B$2:$B$35,Справочники!$A$2:$A$35)</f>
        <v>Рекламный отдел</v>
      </c>
      <c r="G54" s="6" t="s">
        <v>27</v>
      </c>
      <c r="H54" s="16">
        <f>LOOKUP(G54,Справочники!$B$2:$B$35,Справочники!$C$2:$C$35)</f>
        <v>22000</v>
      </c>
      <c r="I54" s="6" t="s">
        <v>14</v>
      </c>
      <c r="J54" s="11">
        <v>43539</v>
      </c>
      <c r="K54" s="11">
        <v>27737</v>
      </c>
      <c r="L54" s="10">
        <f t="shared" ca="1" si="0"/>
        <v>3</v>
      </c>
      <c r="M54" s="10">
        <f t="shared" ca="1" si="0"/>
        <v>46</v>
      </c>
      <c r="N54" s="10" t="str">
        <f>LOOKUP(F54,Справочники!$F$2:$F$10,Справочники!$H$2:$H$10)</f>
        <v>+7(8332)64-32-01</v>
      </c>
    </row>
    <row r="55" spans="1:14" ht="15" hidden="1" x14ac:dyDescent="0.25">
      <c r="A55" s="10">
        <v>149</v>
      </c>
      <c r="B55" s="12" t="s">
        <v>180</v>
      </c>
      <c r="C55" s="12" t="s">
        <v>181</v>
      </c>
      <c r="D55" s="12" t="s">
        <v>132</v>
      </c>
      <c r="E55" s="10" t="s">
        <v>17</v>
      </c>
      <c r="F55" s="10" t="str">
        <f>LOOKUP(G55,Справочники!$B$2:$B$35,Справочники!$A$2:$A$35)</f>
        <v>Транспортный отдел</v>
      </c>
      <c r="G55" s="6" t="s">
        <v>50</v>
      </c>
      <c r="H55" s="16">
        <f>LOOKUP(G55,Справочники!$B$2:$B$35,Справочники!$C$2:$C$35)</f>
        <v>12000</v>
      </c>
      <c r="I55" s="6" t="s">
        <v>33</v>
      </c>
      <c r="J55" s="11">
        <v>34759</v>
      </c>
      <c r="K55" s="11">
        <v>25186</v>
      </c>
      <c r="L55" s="10">
        <f t="shared" ca="1" si="0"/>
        <v>27</v>
      </c>
      <c r="M55" s="10">
        <f t="shared" ca="1" si="0"/>
        <v>53</v>
      </c>
      <c r="N55" s="10" t="str">
        <f>LOOKUP(F55,Справочники!$F$2:$F$10,Справочники!$H$2:$H$10)</f>
        <v>+7(8332)64-32-18</v>
      </c>
    </row>
    <row r="56" spans="1:14" ht="15" hidden="1" x14ac:dyDescent="0.25">
      <c r="A56" s="10">
        <v>150</v>
      </c>
      <c r="B56" s="12" t="s">
        <v>182</v>
      </c>
      <c r="C56" s="12" t="s">
        <v>75</v>
      </c>
      <c r="D56" s="12" t="s">
        <v>76</v>
      </c>
      <c r="E56" s="10" t="s">
        <v>9</v>
      </c>
      <c r="F56" s="10" t="str">
        <f>LOOKUP(G56,Справочники!$B$2:$B$35,Справочники!$A$2:$A$35)</f>
        <v>Редакторский отдел</v>
      </c>
      <c r="G56" s="6" t="s">
        <v>52</v>
      </c>
      <c r="H56" s="16">
        <f>LOOKUP(G56,Справочники!$B$2:$B$35,Справочники!$C$2:$C$35)</f>
        <v>16000</v>
      </c>
      <c r="I56" s="6" t="s">
        <v>14</v>
      </c>
      <c r="J56" s="11">
        <v>34714</v>
      </c>
      <c r="K56" s="11">
        <v>22250</v>
      </c>
      <c r="L56" s="10">
        <f t="shared" ca="1" si="0"/>
        <v>27</v>
      </c>
      <c r="M56" s="10">
        <f t="shared" ca="1" si="0"/>
        <v>61</v>
      </c>
      <c r="N56" s="10" t="str">
        <f>LOOKUP(F56,Справочники!$F$2:$F$10,Справочники!$H$2:$H$10)</f>
        <v>+7(8332)64-32-01</v>
      </c>
    </row>
    <row r="57" spans="1:14" ht="15" hidden="1" x14ac:dyDescent="0.25">
      <c r="A57" s="10">
        <v>151</v>
      </c>
      <c r="B57" s="12" t="s">
        <v>183</v>
      </c>
      <c r="C57" s="12" t="s">
        <v>161</v>
      </c>
      <c r="D57" s="12" t="s">
        <v>184</v>
      </c>
      <c r="E57" s="10" t="s">
        <v>9</v>
      </c>
      <c r="F57" s="10" t="str">
        <f>LOOKUP(G57,Справочники!$B$2:$B$35,Справочники!$A$2:$A$35)</f>
        <v>Редакторский отдел</v>
      </c>
      <c r="G57" s="7" t="s">
        <v>53</v>
      </c>
      <c r="H57" s="16">
        <f>LOOKUP(G57,Справочники!$B$2:$B$35,Справочники!$C$2:$C$35)</f>
        <v>19000</v>
      </c>
      <c r="I57" s="6" t="s">
        <v>25</v>
      </c>
      <c r="J57" s="11">
        <v>35445</v>
      </c>
      <c r="K57" s="11">
        <v>26821</v>
      </c>
      <c r="L57" s="10">
        <f t="shared" ca="1" si="0"/>
        <v>25</v>
      </c>
      <c r="M57" s="10">
        <f t="shared" ca="1" si="0"/>
        <v>49</v>
      </c>
      <c r="N57" s="10" t="str">
        <f>LOOKUP(F57,Справочники!$F$2:$F$10,Справочники!$H$2:$H$10)</f>
        <v>+7(8332)64-32-01</v>
      </c>
    </row>
    <row r="58" spans="1:14" ht="15" hidden="1" x14ac:dyDescent="0.25">
      <c r="A58" s="10">
        <v>152</v>
      </c>
      <c r="B58" s="12" t="s">
        <v>185</v>
      </c>
      <c r="C58" s="12" t="s">
        <v>186</v>
      </c>
      <c r="D58" s="12" t="s">
        <v>76</v>
      </c>
      <c r="E58" s="10" t="s">
        <v>9</v>
      </c>
      <c r="F58" s="10" t="str">
        <f>LOOKUP(G58,Справочники!$B$2:$B$35,Справочники!$A$2:$A$35)</f>
        <v>Редакторский отдел</v>
      </c>
      <c r="G58" s="7" t="s">
        <v>54</v>
      </c>
      <c r="H58" s="16">
        <f>LOOKUP(G58,Справочники!$B$2:$B$35,Справочники!$C$2:$C$35)</f>
        <v>14000</v>
      </c>
      <c r="I58" s="6" t="s">
        <v>25</v>
      </c>
      <c r="J58" s="11">
        <v>40998</v>
      </c>
      <c r="K58" s="11">
        <v>30213</v>
      </c>
      <c r="L58" s="10">
        <f t="shared" ca="1" si="0"/>
        <v>10</v>
      </c>
      <c r="M58" s="10">
        <f t="shared" ca="1" si="0"/>
        <v>40</v>
      </c>
      <c r="N58" s="10" t="str">
        <f>LOOKUP(F58,Справочники!$F$2:$F$10,Справочники!$H$2:$H$10)</f>
        <v>+7(8332)64-32-01</v>
      </c>
    </row>
    <row r="59" spans="1:14" ht="15" hidden="1" x14ac:dyDescent="0.25">
      <c r="A59" s="10">
        <v>153</v>
      </c>
      <c r="B59" s="12" t="s">
        <v>187</v>
      </c>
      <c r="C59" s="12" t="s">
        <v>158</v>
      </c>
      <c r="D59" s="12" t="s">
        <v>111</v>
      </c>
      <c r="E59" s="10" t="s">
        <v>9</v>
      </c>
      <c r="F59" s="10" t="str">
        <f>LOOKUP(G59,Справочники!$B$2:$B$35,Справочники!$A$2:$A$35)</f>
        <v>Редакторский отдел</v>
      </c>
      <c r="G59" s="6" t="s">
        <v>52</v>
      </c>
      <c r="H59" s="16">
        <f>LOOKUP(G59,Справочники!$B$2:$B$35,Справочники!$C$2:$C$35)</f>
        <v>16000</v>
      </c>
      <c r="I59" s="6" t="s">
        <v>14</v>
      </c>
      <c r="J59" s="11">
        <v>36220</v>
      </c>
      <c r="K59" s="11">
        <v>26580</v>
      </c>
      <c r="L59" s="10">
        <f t="shared" ca="1" si="0"/>
        <v>23</v>
      </c>
      <c r="M59" s="10">
        <f t="shared" ca="1" si="0"/>
        <v>50</v>
      </c>
      <c r="N59" s="10" t="str">
        <f>LOOKUP(F59,Справочники!$F$2:$F$10,Справочники!$H$2:$H$10)</f>
        <v>+7(8332)64-32-01</v>
      </c>
    </row>
    <row r="60" spans="1:14" ht="15" hidden="1" x14ac:dyDescent="0.25">
      <c r="A60" s="10">
        <v>154</v>
      </c>
      <c r="B60" s="12" t="s">
        <v>188</v>
      </c>
      <c r="C60" s="12" t="s">
        <v>189</v>
      </c>
      <c r="D60" s="12" t="s">
        <v>162</v>
      </c>
      <c r="E60" s="10" t="s">
        <v>9</v>
      </c>
      <c r="F60" s="10" t="str">
        <f>LOOKUP(G60,Справочники!$B$2:$B$35,Справочники!$A$2:$A$35)</f>
        <v>Редакторский отдел</v>
      </c>
      <c r="G60" s="7" t="s">
        <v>54</v>
      </c>
      <c r="H60" s="16">
        <f>LOOKUP(G60,Справочники!$B$2:$B$35,Справочники!$C$2:$C$35)</f>
        <v>14000</v>
      </c>
      <c r="I60" s="6" t="s">
        <v>14</v>
      </c>
      <c r="J60" s="11">
        <v>35258</v>
      </c>
      <c r="K60" s="11">
        <v>21600</v>
      </c>
      <c r="L60" s="10">
        <f t="shared" ca="1" si="0"/>
        <v>26</v>
      </c>
      <c r="M60" s="10">
        <f t="shared" ca="1" si="0"/>
        <v>63</v>
      </c>
      <c r="N60" s="10" t="str">
        <f>LOOKUP(F60,Справочники!$F$2:$F$10,Справочники!$H$2:$H$10)</f>
        <v>+7(8332)64-32-01</v>
      </c>
    </row>
    <row r="61" spans="1:14" ht="15" hidden="1" x14ac:dyDescent="0.25">
      <c r="A61" s="10">
        <v>155</v>
      </c>
      <c r="B61" s="12" t="s">
        <v>190</v>
      </c>
      <c r="C61" s="12" t="s">
        <v>191</v>
      </c>
      <c r="D61" s="12" t="s">
        <v>192</v>
      </c>
      <c r="E61" s="10" t="s">
        <v>9</v>
      </c>
      <c r="F61" s="10" t="str">
        <f>LOOKUP(G61,Справочники!$B$2:$B$35,Справочники!$A$2:$A$35)</f>
        <v>Редакторский отдел</v>
      </c>
      <c r="G61" s="7" t="s">
        <v>55</v>
      </c>
      <c r="H61" s="16">
        <f>LOOKUP(G61,Справочники!$B$2:$B$35,Справочники!$C$2:$C$35)</f>
        <v>14000</v>
      </c>
      <c r="I61" s="6" t="s">
        <v>14</v>
      </c>
      <c r="J61" s="11">
        <v>35442</v>
      </c>
      <c r="K61" s="11">
        <v>24134</v>
      </c>
      <c r="L61" s="10">
        <f t="shared" ca="1" si="0"/>
        <v>25</v>
      </c>
      <c r="M61" s="10">
        <f t="shared" ca="1" si="0"/>
        <v>56</v>
      </c>
      <c r="N61" s="10" t="str">
        <f>LOOKUP(F61,Справочники!$F$2:$F$10,Справочники!$H$2:$H$10)</f>
        <v>+7(8332)64-32-01</v>
      </c>
    </row>
    <row r="62" spans="1:14" ht="15" hidden="1" x14ac:dyDescent="0.25">
      <c r="A62" s="10">
        <v>156</v>
      </c>
      <c r="B62" s="12" t="s">
        <v>193</v>
      </c>
      <c r="C62" s="12" t="s">
        <v>108</v>
      </c>
      <c r="D62" s="12" t="s">
        <v>194</v>
      </c>
      <c r="E62" s="10" t="s">
        <v>9</v>
      </c>
      <c r="F62" s="10" t="str">
        <f>LOOKUP(G62,Справочники!$B$2:$B$35,Справочники!$A$2:$A$35)</f>
        <v>Редакторский отдел</v>
      </c>
      <c r="G62" s="7" t="s">
        <v>55</v>
      </c>
      <c r="H62" s="16">
        <f>LOOKUP(G62,Справочники!$B$2:$B$35,Справочники!$C$2:$C$35)</f>
        <v>14000</v>
      </c>
      <c r="I62" s="6" t="s">
        <v>25</v>
      </c>
      <c r="J62" s="11">
        <v>35460</v>
      </c>
      <c r="K62" s="11">
        <v>21194</v>
      </c>
      <c r="L62" s="10">
        <f t="shared" ca="1" si="0"/>
        <v>25</v>
      </c>
      <c r="M62" s="10">
        <f t="shared" ca="1" si="0"/>
        <v>64</v>
      </c>
      <c r="N62" s="10" t="str">
        <f>LOOKUP(F62,Справочники!$F$2:$F$10,Справочники!$H$2:$H$10)</f>
        <v>+7(8332)64-32-01</v>
      </c>
    </row>
    <row r="63" spans="1:14" ht="15" hidden="1" x14ac:dyDescent="0.25">
      <c r="A63" s="10">
        <v>157</v>
      </c>
      <c r="B63" s="12" t="s">
        <v>195</v>
      </c>
      <c r="C63" s="12" t="s">
        <v>196</v>
      </c>
      <c r="D63" s="12" t="s">
        <v>197</v>
      </c>
      <c r="E63" s="10" t="s">
        <v>9</v>
      </c>
      <c r="F63" s="10" t="str">
        <f>LOOKUP(G63,Справочники!$B$2:$B$35,Справочники!$A$2:$A$35)</f>
        <v>Технологический отдел</v>
      </c>
      <c r="G63" s="6" t="s">
        <v>31</v>
      </c>
      <c r="H63" s="16">
        <f>LOOKUP(G63,Справочники!$B$2:$B$35,Справочники!$C$2:$C$35)</f>
        <v>12000</v>
      </c>
      <c r="I63" s="6" t="s">
        <v>12</v>
      </c>
      <c r="J63" s="11">
        <v>39887</v>
      </c>
      <c r="K63" s="11">
        <v>30205</v>
      </c>
      <c r="L63" s="10">
        <f t="shared" ca="1" si="0"/>
        <v>13</v>
      </c>
      <c r="M63" s="10">
        <f t="shared" ca="1" si="0"/>
        <v>40</v>
      </c>
      <c r="N63" s="10" t="str">
        <f>LOOKUP(F63,Справочники!$F$2:$F$10,Справочники!$H$2:$H$10)</f>
        <v>+7(8332)64-32-18</v>
      </c>
    </row>
    <row r="64" spans="1:14" ht="15" hidden="1" x14ac:dyDescent="0.25">
      <c r="A64" s="10">
        <v>158</v>
      </c>
      <c r="B64" s="12" t="s">
        <v>198</v>
      </c>
      <c r="C64" s="12" t="s">
        <v>199</v>
      </c>
      <c r="D64" s="12" t="s">
        <v>159</v>
      </c>
      <c r="E64" s="10" t="s">
        <v>9</v>
      </c>
      <c r="F64" s="10" t="str">
        <f>LOOKUP(G64,Справочники!$B$2:$B$35,Справочники!$A$2:$A$35)</f>
        <v>Редакторский отдел</v>
      </c>
      <c r="G64" s="7" t="s">
        <v>54</v>
      </c>
      <c r="H64" s="16">
        <f>LOOKUP(G64,Справочники!$B$2:$B$35,Справочники!$C$2:$C$35)</f>
        <v>14000</v>
      </c>
      <c r="I64" s="6" t="s">
        <v>14</v>
      </c>
      <c r="J64" s="11">
        <v>35122</v>
      </c>
      <c r="K64" s="11">
        <v>23253</v>
      </c>
      <c r="L64" s="10">
        <f t="shared" ca="1" si="0"/>
        <v>26</v>
      </c>
      <c r="M64" s="10">
        <f t="shared" ca="1" si="0"/>
        <v>59</v>
      </c>
      <c r="N64" s="10" t="str">
        <f>LOOKUP(F64,Справочники!$F$2:$F$10,Справочники!$H$2:$H$10)</f>
        <v>+7(8332)64-32-01</v>
      </c>
    </row>
    <row r="65" spans="1:14" ht="15" hidden="1" x14ac:dyDescent="0.25">
      <c r="A65" s="10">
        <v>159</v>
      </c>
      <c r="B65" s="12" t="s">
        <v>200</v>
      </c>
      <c r="C65" s="12" t="s">
        <v>158</v>
      </c>
      <c r="D65" s="12" t="s">
        <v>201</v>
      </c>
      <c r="E65" s="10" t="s">
        <v>9</v>
      </c>
      <c r="F65" s="10" t="str">
        <f>LOOKUP(G65,Справочники!$B$2:$B$35,Справочники!$A$2:$A$35)</f>
        <v>Редакторский отдел</v>
      </c>
      <c r="G65" s="7" t="s">
        <v>55</v>
      </c>
      <c r="H65" s="16">
        <f>LOOKUP(G65,Справочники!$B$2:$B$35,Справочники!$C$2:$C$35)</f>
        <v>14000</v>
      </c>
      <c r="I65" s="6" t="s">
        <v>14</v>
      </c>
      <c r="J65" s="11">
        <v>35032</v>
      </c>
      <c r="K65" s="11">
        <v>22065</v>
      </c>
      <c r="L65" s="10">
        <f t="shared" ca="1" si="0"/>
        <v>26</v>
      </c>
      <c r="M65" s="10">
        <f t="shared" ca="1" si="0"/>
        <v>62</v>
      </c>
      <c r="N65" s="10" t="str">
        <f>LOOKUP(F65,Справочники!$F$2:$F$10,Справочники!$H$2:$H$10)</f>
        <v>+7(8332)64-32-01</v>
      </c>
    </row>
    <row r="66" spans="1:14" ht="15" hidden="1" x14ac:dyDescent="0.25">
      <c r="A66" s="10">
        <v>160</v>
      </c>
      <c r="B66" s="12" t="s">
        <v>202</v>
      </c>
      <c r="C66" s="12" t="s">
        <v>203</v>
      </c>
      <c r="D66" s="12" t="s">
        <v>127</v>
      </c>
      <c r="E66" s="10" t="s">
        <v>9</v>
      </c>
      <c r="F66" s="10" t="str">
        <f>LOOKUP(G66,Справочники!$B$2:$B$35,Справочники!$A$2:$A$35)</f>
        <v>Редакторский отдел</v>
      </c>
      <c r="G66" s="7" t="s">
        <v>55</v>
      </c>
      <c r="H66" s="16">
        <f>LOOKUP(G66,Справочники!$B$2:$B$35,Справочники!$C$2:$C$35)</f>
        <v>14000</v>
      </c>
      <c r="I66" s="6" t="s">
        <v>14</v>
      </c>
      <c r="J66" s="11">
        <v>42991</v>
      </c>
      <c r="K66" s="11">
        <v>32936</v>
      </c>
      <c r="L66" s="10">
        <f t="shared" ca="1" si="0"/>
        <v>5</v>
      </c>
      <c r="M66" s="10">
        <f t="shared" ca="1" si="0"/>
        <v>32</v>
      </c>
      <c r="N66" s="10" t="str">
        <f>LOOKUP(F66,Справочники!$F$2:$F$10,Справочники!$H$2:$H$10)</f>
        <v>+7(8332)64-32-01</v>
      </c>
    </row>
    <row r="67" spans="1:14" ht="15" hidden="1" x14ac:dyDescent="0.25">
      <c r="A67" s="10">
        <v>161</v>
      </c>
      <c r="B67" s="12" t="s">
        <v>204</v>
      </c>
      <c r="C67" s="12" t="s">
        <v>205</v>
      </c>
      <c r="D67" s="12" t="s">
        <v>145</v>
      </c>
      <c r="E67" s="10" t="s">
        <v>17</v>
      </c>
      <c r="F67" s="10" t="str">
        <f>LOOKUP(G67,Справочники!$B$2:$B$35,Справочники!$A$2:$A$35)</f>
        <v>Транспортный отдел</v>
      </c>
      <c r="G67" s="6" t="s">
        <v>50</v>
      </c>
      <c r="H67" s="16">
        <f>LOOKUP(G67,Справочники!$B$2:$B$35,Справочники!$C$2:$C$35)</f>
        <v>12000</v>
      </c>
      <c r="I67" s="6" t="s">
        <v>12</v>
      </c>
      <c r="J67" s="11">
        <v>31108</v>
      </c>
      <c r="K67" s="11">
        <v>23891</v>
      </c>
      <c r="L67" s="10">
        <f t="shared" ca="1" si="0"/>
        <v>37</v>
      </c>
      <c r="M67" s="10">
        <f t="shared" ca="1" si="0"/>
        <v>57</v>
      </c>
      <c r="N67" s="10" t="str">
        <f>LOOKUP(F67,Справочники!$F$2:$F$10,Справочники!$H$2:$H$10)</f>
        <v>+7(8332)64-32-18</v>
      </c>
    </row>
    <row r="68" spans="1:14" ht="15" hidden="1" x14ac:dyDescent="0.25">
      <c r="A68" s="10">
        <v>162</v>
      </c>
      <c r="B68" s="12" t="s">
        <v>206</v>
      </c>
      <c r="C68" s="12" t="s">
        <v>100</v>
      </c>
      <c r="D68" s="12" t="s">
        <v>207</v>
      </c>
      <c r="E68" s="10" t="s">
        <v>17</v>
      </c>
      <c r="F68" s="10" t="str">
        <f>LOOKUP(G68,Справочники!$B$2:$B$35,Справочники!$A$2:$A$35)</f>
        <v>Транспортный отдел</v>
      </c>
      <c r="G68" s="6" t="s">
        <v>50</v>
      </c>
      <c r="H68" s="16">
        <f>LOOKUP(G68,Справочники!$B$2:$B$35,Справочники!$C$2:$C$35)</f>
        <v>12000</v>
      </c>
      <c r="I68" s="6" t="s">
        <v>12</v>
      </c>
      <c r="J68" s="11">
        <v>32023</v>
      </c>
      <c r="K68" s="11">
        <v>22893</v>
      </c>
      <c r="L68" s="10">
        <f t="shared" ca="1" si="0"/>
        <v>35</v>
      </c>
      <c r="M68" s="10">
        <f t="shared" ca="1" si="0"/>
        <v>60</v>
      </c>
      <c r="N68" s="10" t="str">
        <f>LOOKUP(F68,Справочники!$F$2:$F$10,Справочники!$H$2:$H$10)</f>
        <v>+7(8332)64-32-18</v>
      </c>
    </row>
    <row r="69" spans="1:14" ht="15" hidden="1" x14ac:dyDescent="0.25">
      <c r="A69" s="10">
        <v>163</v>
      </c>
      <c r="B69" s="12" t="s">
        <v>208</v>
      </c>
      <c r="C69" s="12" t="s">
        <v>209</v>
      </c>
      <c r="D69" s="12" t="s">
        <v>93</v>
      </c>
      <c r="E69" s="10" t="s">
        <v>17</v>
      </c>
      <c r="F69" s="10" t="str">
        <f>LOOKUP(G69,Справочники!$B$2:$B$35,Справочники!$A$2:$A$35)</f>
        <v>Редакторский отдел</v>
      </c>
      <c r="G69" s="7" t="s">
        <v>56</v>
      </c>
      <c r="H69" s="16">
        <f>LOOKUP(G69,Справочники!$B$2:$B$35,Справочники!$C$2:$C$35)</f>
        <v>20000</v>
      </c>
      <c r="I69" s="6" t="s">
        <v>14</v>
      </c>
      <c r="J69" s="11">
        <v>35153</v>
      </c>
      <c r="K69" s="11">
        <v>24814</v>
      </c>
      <c r="L69" s="10">
        <f t="shared" ca="1" si="0"/>
        <v>26</v>
      </c>
      <c r="M69" s="10">
        <f t="shared" ca="1" si="0"/>
        <v>54</v>
      </c>
      <c r="N69" s="10" t="str">
        <f>LOOKUP(F69,Справочники!$F$2:$F$10,Справочники!$H$2:$H$10)</f>
        <v>+7(8332)64-32-01</v>
      </c>
    </row>
    <row r="70" spans="1:14" ht="15" hidden="1" x14ac:dyDescent="0.25">
      <c r="A70" s="10">
        <v>164</v>
      </c>
      <c r="B70" s="12" t="s">
        <v>210</v>
      </c>
      <c r="C70" s="12" t="s">
        <v>211</v>
      </c>
      <c r="D70" s="12" t="s">
        <v>148</v>
      </c>
      <c r="E70" s="10" t="s">
        <v>9</v>
      </c>
      <c r="F70" s="10" t="str">
        <f>LOOKUP(G70,Справочники!$B$2:$B$35,Справочники!$A$2:$A$35)</f>
        <v>Транспортный отдел</v>
      </c>
      <c r="G70" s="6" t="s">
        <v>57</v>
      </c>
      <c r="H70" s="16">
        <f>LOOKUP(G70,Справочники!$B$2:$B$35,Справочники!$C$2:$C$35)</f>
        <v>12000</v>
      </c>
      <c r="I70" s="6" t="s">
        <v>33</v>
      </c>
      <c r="J70" s="11">
        <v>43438</v>
      </c>
      <c r="K70" s="11">
        <v>34714</v>
      </c>
      <c r="L70" s="10">
        <f t="shared" ca="1" si="0"/>
        <v>3</v>
      </c>
      <c r="M70" s="10">
        <f t="shared" ca="1" si="0"/>
        <v>27</v>
      </c>
      <c r="N70" s="10" t="str">
        <f>LOOKUP(F70,Справочники!$F$2:$F$10,Справочники!$H$2:$H$10)</f>
        <v>+7(8332)64-32-18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3BAA-F1E4-4BC0-981B-69A47146ECB5}">
  <sheetPr filterMode="1"/>
  <dimension ref="A1:N70"/>
  <sheetViews>
    <sheetView topLeftCell="C1" zoomScaleNormal="100" workbookViewId="0">
      <pane ySplit="1" topLeftCell="A2" activePane="bottomLeft" state="frozen"/>
      <selection pane="bottomLeft" activeCell="D68" sqref="D68"/>
    </sheetView>
  </sheetViews>
  <sheetFormatPr defaultRowHeight="12.75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0.7109375" style="18" bestFit="1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x14ac:dyDescent="0.2">
      <c r="A2" s="6"/>
      <c r="B2" s="12"/>
      <c r="C2" s="12"/>
      <c r="D2" s="12"/>
      <c r="E2" s="56" t="s">
        <v>9</v>
      </c>
      <c r="F2" s="56"/>
      <c r="G2" s="56"/>
      <c r="H2" s="57"/>
      <c r="I2" s="56"/>
      <c r="J2" s="56"/>
      <c r="K2" s="56"/>
      <c r="L2" s="56"/>
      <c r="M2" s="56" t="s">
        <v>261</v>
      </c>
      <c r="N2" s="6"/>
    </row>
    <row r="3" spans="1:14" x14ac:dyDescent="0.2">
      <c r="A3" s="6"/>
      <c r="B3" s="12"/>
      <c r="C3" s="12"/>
      <c r="D3" s="12"/>
      <c r="E3" s="56" t="s">
        <v>17</v>
      </c>
      <c r="F3" s="56"/>
      <c r="G3" s="56"/>
      <c r="H3" s="57"/>
      <c r="I3" s="56"/>
      <c r="J3" s="56"/>
      <c r="K3" s="56"/>
      <c r="L3" s="56"/>
      <c r="M3" s="56" t="s">
        <v>262</v>
      </c>
      <c r="N3" s="6"/>
    </row>
    <row r="4" spans="1:14" x14ac:dyDescent="0.2">
      <c r="A4" s="6"/>
      <c r="B4" s="12"/>
      <c r="C4" s="12"/>
      <c r="D4" s="12"/>
      <c r="E4" s="10"/>
      <c r="F4" s="10"/>
      <c r="G4" s="6"/>
      <c r="H4" s="54"/>
      <c r="I4" s="6"/>
      <c r="J4" s="6"/>
      <c r="K4" s="6"/>
      <c r="L4" s="6"/>
      <c r="M4" s="6"/>
      <c r="N4" s="6"/>
    </row>
    <row r="5" spans="1:14" x14ac:dyDescent="0.2">
      <c r="A5" s="6"/>
      <c r="B5" s="12"/>
      <c r="C5" s="12"/>
      <c r="D5" s="12"/>
      <c r="E5" s="10"/>
      <c r="F5" s="10"/>
      <c r="G5" s="6"/>
      <c r="H5" s="54"/>
      <c r="I5" s="6"/>
      <c r="J5" s="6"/>
      <c r="K5" s="6"/>
      <c r="L5" s="6"/>
      <c r="M5" s="6"/>
      <c r="N5" s="6"/>
    </row>
    <row r="6" spans="1:14" ht="25.5" x14ac:dyDescent="0.2">
      <c r="A6" s="1" t="s">
        <v>1</v>
      </c>
      <c r="B6" s="1" t="s">
        <v>212</v>
      </c>
      <c r="C6" s="1" t="s">
        <v>213</v>
      </c>
      <c r="D6" s="1" t="s">
        <v>214</v>
      </c>
      <c r="E6" s="2" t="s">
        <v>2</v>
      </c>
      <c r="F6" s="2" t="s">
        <v>3</v>
      </c>
      <c r="G6" s="2" t="s">
        <v>4</v>
      </c>
      <c r="H6" s="15" t="s">
        <v>0</v>
      </c>
      <c r="I6" s="2" t="s">
        <v>5</v>
      </c>
      <c r="J6" s="2" t="s">
        <v>6</v>
      </c>
      <c r="K6" s="3" t="s">
        <v>7</v>
      </c>
      <c r="L6" s="1" t="s">
        <v>215</v>
      </c>
      <c r="M6" s="1" t="s">
        <v>216</v>
      </c>
      <c r="N6" s="1" t="s">
        <v>8</v>
      </c>
    </row>
    <row r="7" spans="1:14" ht="15" hidden="1" x14ac:dyDescent="0.25">
      <c r="A7" s="10">
        <v>101</v>
      </c>
      <c r="B7" s="12" t="s">
        <v>68</v>
      </c>
      <c r="C7" s="12" t="s">
        <v>69</v>
      </c>
      <c r="D7" s="12" t="s">
        <v>70</v>
      </c>
      <c r="E7" s="10" t="s">
        <v>9</v>
      </c>
      <c r="F7" s="10" t="str">
        <f>LOOKUP(G7,Справочники!$B$2:$B$35,Справочники!$A$2:$A$35)</f>
        <v>Бухгалтерия</v>
      </c>
      <c r="G7" s="6" t="s">
        <v>11</v>
      </c>
      <c r="H7" s="16">
        <f>LOOKUP(G7,Справочники!$B$2:$B$35,Справочники!$C$2:$C$35)</f>
        <v>12000</v>
      </c>
      <c r="I7" s="6" t="s">
        <v>14</v>
      </c>
      <c r="J7" s="11">
        <v>38944</v>
      </c>
      <c r="K7" s="11">
        <v>30198</v>
      </c>
      <c r="L7" s="10">
        <f ca="1">DATEDIF(J7, TODAY(),"Y")</f>
        <v>16</v>
      </c>
      <c r="M7" s="10">
        <f ca="1">DATEDIF(K7, TODAY(),"Y")</f>
        <v>40</v>
      </c>
      <c r="N7" s="10" t="str">
        <f>LOOKUP(F7,Справочники!$F$2:$F$10,Справочники!$H$2:$H$10)</f>
        <v>+7(8332)64-32-01</v>
      </c>
    </row>
    <row r="8" spans="1:14" ht="15" hidden="1" x14ac:dyDescent="0.25">
      <c r="A8" s="10">
        <v>102</v>
      </c>
      <c r="B8" s="12" t="s">
        <v>71</v>
      </c>
      <c r="C8" s="12" t="s">
        <v>72</v>
      </c>
      <c r="D8" s="12" t="s">
        <v>73</v>
      </c>
      <c r="E8" s="10" t="s">
        <v>9</v>
      </c>
      <c r="F8" s="10" t="str">
        <f>LOOKUP(G8,Справочники!$B$2:$B$35,Справочники!$A$2:$A$35)</f>
        <v>Бухгалтерия</v>
      </c>
      <c r="G8" s="6" t="s">
        <v>13</v>
      </c>
      <c r="H8" s="16">
        <f>LOOKUP(G8,Справочники!$B$2:$B$35,Справочники!$C$2:$C$35)</f>
        <v>20000</v>
      </c>
      <c r="I8" s="6" t="s">
        <v>14</v>
      </c>
      <c r="J8" s="11">
        <v>34380</v>
      </c>
      <c r="K8" s="11">
        <v>25186</v>
      </c>
      <c r="L8" s="10">
        <f t="shared" ref="L8:M70" ca="1" si="0">DATEDIF(J8, TODAY(),"Y")</f>
        <v>28</v>
      </c>
      <c r="M8" s="10">
        <f t="shared" ca="1" si="0"/>
        <v>53</v>
      </c>
      <c r="N8" s="10" t="str">
        <f>LOOKUP(F8,Справочники!$F$2:$F$10,Справочники!$H$2:$H$10)</f>
        <v>+7(8332)64-32-01</v>
      </c>
    </row>
    <row r="9" spans="1:14" ht="15" hidden="1" x14ac:dyDescent="0.25">
      <c r="A9" s="10">
        <v>103</v>
      </c>
      <c r="B9" s="12" t="s">
        <v>74</v>
      </c>
      <c r="C9" s="12" t="s">
        <v>75</v>
      </c>
      <c r="D9" s="12" t="s">
        <v>76</v>
      </c>
      <c r="E9" s="10" t="s">
        <v>9</v>
      </c>
      <c r="F9" s="10" t="str">
        <f>LOOKUP(G9,Справочники!$B$2:$B$35,Справочники!$A$2:$A$35)</f>
        <v>Бухгалтерия</v>
      </c>
      <c r="G9" s="6" t="s">
        <v>15</v>
      </c>
      <c r="H9" s="16">
        <f>LOOKUP(G9,Справочники!$B$2:$B$35,Справочники!$C$2:$C$35)</f>
        <v>12000</v>
      </c>
      <c r="I9" s="6" t="s">
        <v>12</v>
      </c>
      <c r="J9" s="11">
        <v>42962</v>
      </c>
      <c r="K9" s="11">
        <v>34762</v>
      </c>
      <c r="L9" s="10">
        <f t="shared" ca="1" si="0"/>
        <v>5</v>
      </c>
      <c r="M9" s="10">
        <f t="shared" ca="1" si="0"/>
        <v>27</v>
      </c>
      <c r="N9" s="10" t="str">
        <f>LOOKUP(F9,Справочники!$F$2:$F$10,Справочники!$H$2:$H$10)</f>
        <v>+7(8332)64-32-01</v>
      </c>
    </row>
    <row r="10" spans="1:14" ht="15" hidden="1" x14ac:dyDescent="0.25">
      <c r="A10" s="10">
        <v>104</v>
      </c>
      <c r="B10" s="12" t="s">
        <v>77</v>
      </c>
      <c r="C10" s="12" t="s">
        <v>78</v>
      </c>
      <c r="D10" s="12" t="s">
        <v>79</v>
      </c>
      <c r="E10" s="10" t="s">
        <v>9</v>
      </c>
      <c r="F10" s="10" t="str">
        <f>LOOKUP(G10,Справочники!$B$2:$B$35,Справочники!$A$2:$A$35)</f>
        <v>Бухгалтерия</v>
      </c>
      <c r="G10" s="6" t="s">
        <v>16</v>
      </c>
      <c r="H10" s="16">
        <f>LOOKUP(G10,Справочники!$B$2:$B$35,Справочники!$C$2:$C$35)</f>
        <v>15000</v>
      </c>
      <c r="I10" s="6" t="s">
        <v>14</v>
      </c>
      <c r="J10" s="11">
        <v>41530</v>
      </c>
      <c r="K10" s="11">
        <v>25346</v>
      </c>
      <c r="L10" s="10">
        <f t="shared" ca="1" si="0"/>
        <v>9</v>
      </c>
      <c r="M10" s="10">
        <f t="shared" ca="1" si="0"/>
        <v>53</v>
      </c>
      <c r="N10" s="10" t="str">
        <f>LOOKUP(F10,Справочники!$F$2:$F$10,Справочники!$H$2:$H$10)</f>
        <v>+7(8332)64-32-01</v>
      </c>
    </row>
    <row r="11" spans="1:14" ht="15" hidden="1" x14ac:dyDescent="0.25">
      <c r="A11" s="10">
        <v>105</v>
      </c>
      <c r="B11" s="12" t="s">
        <v>80</v>
      </c>
      <c r="C11" s="12" t="s">
        <v>81</v>
      </c>
      <c r="D11" s="12" t="s">
        <v>82</v>
      </c>
      <c r="E11" s="10" t="s">
        <v>17</v>
      </c>
      <c r="F11" s="10" t="str">
        <f>LOOKUP(G11,Справочники!$B$2:$B$35,Справочники!$A$2:$A$35)</f>
        <v>Бухгалтерия</v>
      </c>
      <c r="G11" s="6" t="s">
        <v>18</v>
      </c>
      <c r="H11" s="16">
        <f>LOOKUP(G11,Справочники!$B$2:$B$35,Справочники!$C$2:$C$35)</f>
        <v>17000</v>
      </c>
      <c r="I11" s="6" t="s">
        <v>14</v>
      </c>
      <c r="J11" s="11">
        <v>41165</v>
      </c>
      <c r="K11" s="11">
        <v>31196</v>
      </c>
      <c r="L11" s="10">
        <f t="shared" ca="1" si="0"/>
        <v>10</v>
      </c>
      <c r="M11" s="10">
        <f t="shared" ca="1" si="0"/>
        <v>37</v>
      </c>
      <c r="N11" s="10" t="str">
        <f>LOOKUP(F11,Справочники!$F$2:$F$10,Справочники!$H$2:$H$10)</f>
        <v>+7(8332)64-32-01</v>
      </c>
    </row>
    <row r="12" spans="1:14" ht="15" hidden="1" x14ac:dyDescent="0.25">
      <c r="A12" s="10">
        <v>106</v>
      </c>
      <c r="B12" s="12" t="s">
        <v>83</v>
      </c>
      <c r="C12" s="12" t="s">
        <v>84</v>
      </c>
      <c r="D12" s="12" t="s">
        <v>85</v>
      </c>
      <c r="E12" s="10" t="s">
        <v>17</v>
      </c>
      <c r="F12" s="10" t="str">
        <f>LOOKUP(G12,Справочники!$B$2:$B$35,Справочники!$A$2:$A$35)</f>
        <v>Бухгалтерия</v>
      </c>
      <c r="G12" s="6" t="s">
        <v>11</v>
      </c>
      <c r="H12" s="16">
        <f>LOOKUP(G12,Справочники!$B$2:$B$35,Справочники!$C$2:$C$35)</f>
        <v>12000</v>
      </c>
      <c r="I12" s="6" t="s">
        <v>25</v>
      </c>
      <c r="J12" s="11">
        <v>42626</v>
      </c>
      <c r="K12" s="11">
        <v>31062</v>
      </c>
      <c r="L12" s="10">
        <f t="shared" ca="1" si="0"/>
        <v>6</v>
      </c>
      <c r="M12" s="10">
        <f t="shared" ca="1" si="0"/>
        <v>37</v>
      </c>
      <c r="N12" s="10" t="str">
        <f>LOOKUP(F12,Справочники!$F$2:$F$10,Справочники!$H$2:$H$10)</f>
        <v>+7(8332)64-32-01</v>
      </c>
    </row>
    <row r="13" spans="1:14" ht="15" hidden="1" x14ac:dyDescent="0.25">
      <c r="A13" s="10">
        <v>107</v>
      </c>
      <c r="B13" s="12" t="s">
        <v>86</v>
      </c>
      <c r="C13" s="12" t="s">
        <v>87</v>
      </c>
      <c r="D13" s="12" t="s">
        <v>88</v>
      </c>
      <c r="E13" s="10" t="s">
        <v>9</v>
      </c>
      <c r="F13" s="10" t="str">
        <f>LOOKUP(G13,Справочники!$B$2:$B$35,Справочники!$A$2:$A$35)</f>
        <v>Управление</v>
      </c>
      <c r="G13" s="6" t="s">
        <v>20</v>
      </c>
      <c r="H13" s="16">
        <f>LOOKUP(G13,Справочники!$B$2:$B$35,Справочники!$C$2:$C$35)</f>
        <v>15000</v>
      </c>
      <c r="I13" s="6" t="s">
        <v>12</v>
      </c>
      <c r="J13" s="11">
        <v>39956</v>
      </c>
      <c r="K13" s="11">
        <v>30254</v>
      </c>
      <c r="L13" s="10">
        <f t="shared" ca="1" si="0"/>
        <v>13</v>
      </c>
      <c r="M13" s="10">
        <f t="shared" ca="1" si="0"/>
        <v>40</v>
      </c>
      <c r="N13" s="10" t="str">
        <f>LOOKUP(F13,Справочники!$F$2:$F$10,Справочники!$H$2:$H$10)</f>
        <v>+7(8332)64-32-18</v>
      </c>
    </row>
    <row r="14" spans="1:14" ht="15" hidden="1" x14ac:dyDescent="0.25">
      <c r="A14" s="10">
        <v>108</v>
      </c>
      <c r="B14" s="12" t="s">
        <v>89</v>
      </c>
      <c r="C14" s="12" t="s">
        <v>90</v>
      </c>
      <c r="D14" s="12" t="s">
        <v>91</v>
      </c>
      <c r="E14" s="10" t="s">
        <v>17</v>
      </c>
      <c r="F14" s="10" t="str">
        <f>LOOKUP(G14,Справочники!$B$2:$B$35,Справочники!$A$2:$A$35)</f>
        <v>Управление</v>
      </c>
      <c r="G14" s="6" t="s">
        <v>21</v>
      </c>
      <c r="H14" s="16">
        <f>LOOKUP(G14,Справочники!$B$2:$B$35,Справочники!$C$2:$C$35)</f>
        <v>35000</v>
      </c>
      <c r="I14" s="6" t="s">
        <v>14</v>
      </c>
      <c r="J14" s="11">
        <v>38579</v>
      </c>
      <c r="K14" s="11">
        <v>28499</v>
      </c>
      <c r="L14" s="10">
        <f t="shared" ca="1" si="0"/>
        <v>17</v>
      </c>
      <c r="M14" s="10">
        <f t="shared" ca="1" si="0"/>
        <v>44</v>
      </c>
      <c r="N14" s="10" t="str">
        <f>LOOKUP(F14,Справочники!$F$2:$F$10,Справочники!$H$2:$H$10)</f>
        <v>+7(8332)64-32-18</v>
      </c>
    </row>
    <row r="15" spans="1:14" ht="15" hidden="1" x14ac:dyDescent="0.25">
      <c r="A15" s="10">
        <v>109</v>
      </c>
      <c r="B15" s="12" t="s">
        <v>92</v>
      </c>
      <c r="C15" s="12" t="s">
        <v>81</v>
      </c>
      <c r="D15" s="12" t="s">
        <v>93</v>
      </c>
      <c r="E15" s="10" t="s">
        <v>17</v>
      </c>
      <c r="F15" s="10" t="str">
        <f>LOOKUP(G15,Справочники!$B$2:$B$35,Справочники!$A$2:$A$35)</f>
        <v>Управление</v>
      </c>
      <c r="G15" s="6" t="s">
        <v>22</v>
      </c>
      <c r="H15" s="16">
        <f>LOOKUP(G15,Справочники!$B$2:$B$35,Справочники!$C$2:$C$35)</f>
        <v>28000</v>
      </c>
      <c r="I15" s="6" t="s">
        <v>14</v>
      </c>
      <c r="J15" s="11">
        <v>39103</v>
      </c>
      <c r="K15" s="11">
        <v>27786</v>
      </c>
      <c r="L15" s="10">
        <f t="shared" ca="1" si="0"/>
        <v>15</v>
      </c>
      <c r="M15" s="10">
        <f t="shared" ca="1" si="0"/>
        <v>46</v>
      </c>
      <c r="N15" s="10" t="str">
        <f>LOOKUP(F15,Справочники!$F$2:$F$10,Справочники!$H$2:$H$10)</f>
        <v>+7(8332)64-32-18</v>
      </c>
    </row>
    <row r="16" spans="1:14" ht="15" hidden="1" x14ac:dyDescent="0.25">
      <c r="A16" s="10">
        <v>110</v>
      </c>
      <c r="B16" s="12" t="s">
        <v>94</v>
      </c>
      <c r="C16" s="12" t="s">
        <v>95</v>
      </c>
      <c r="D16" s="12" t="s">
        <v>96</v>
      </c>
      <c r="E16" s="10" t="s">
        <v>9</v>
      </c>
      <c r="F16" s="10" t="str">
        <f>LOOKUP(G16,Справочники!$B$2:$B$35,Справочники!$A$2:$A$35)</f>
        <v>Управление</v>
      </c>
      <c r="G16" s="6" t="s">
        <v>23</v>
      </c>
      <c r="H16" s="16">
        <f>LOOKUP(G16,Справочники!$B$2:$B$35,Справочники!$C$2:$C$35)</f>
        <v>30000</v>
      </c>
      <c r="I16" s="6" t="s">
        <v>14</v>
      </c>
      <c r="J16" s="11">
        <v>34436</v>
      </c>
      <c r="K16" s="11">
        <v>26821</v>
      </c>
      <c r="L16" s="10">
        <f t="shared" ca="1" si="0"/>
        <v>28</v>
      </c>
      <c r="M16" s="10">
        <f t="shared" ca="1" si="0"/>
        <v>49</v>
      </c>
      <c r="N16" s="10" t="str">
        <f>LOOKUP(F16,Справочники!$F$2:$F$10,Справочники!$H$2:$H$10)</f>
        <v>+7(8332)64-32-18</v>
      </c>
    </row>
    <row r="17" spans="1:14" ht="15" hidden="1" x14ac:dyDescent="0.25">
      <c r="A17" s="10">
        <v>111</v>
      </c>
      <c r="B17" s="12" t="s">
        <v>97</v>
      </c>
      <c r="C17" s="12" t="s">
        <v>98</v>
      </c>
      <c r="D17" s="12" t="s">
        <v>76</v>
      </c>
      <c r="E17" s="10" t="s">
        <v>9</v>
      </c>
      <c r="F17" s="10" t="str">
        <f>LOOKUP(G17,Справочники!$B$2:$B$35,Справочники!$A$2:$A$35)</f>
        <v>Управление</v>
      </c>
      <c r="G17" s="6" t="s">
        <v>24</v>
      </c>
      <c r="H17" s="16">
        <f>LOOKUP(G17,Справочники!$B$2:$B$35,Справочники!$C$2:$C$35)</f>
        <v>15000</v>
      </c>
      <c r="I17" s="6" t="s">
        <v>25</v>
      </c>
      <c r="J17" s="11">
        <v>42960</v>
      </c>
      <c r="K17" s="11">
        <v>33207</v>
      </c>
      <c r="L17" s="10">
        <f t="shared" ca="1" si="0"/>
        <v>5</v>
      </c>
      <c r="M17" s="10">
        <f t="shared" ca="1" si="0"/>
        <v>31</v>
      </c>
      <c r="N17" s="10" t="str">
        <f>LOOKUP(F17,Справочники!$F$2:$F$10,Справочники!$H$2:$H$10)</f>
        <v>+7(8332)64-32-18</v>
      </c>
    </row>
    <row r="18" spans="1:14" ht="15" hidden="1" x14ac:dyDescent="0.25">
      <c r="A18" s="10">
        <v>112</v>
      </c>
      <c r="B18" s="12" t="s">
        <v>99</v>
      </c>
      <c r="C18" s="12" t="s">
        <v>100</v>
      </c>
      <c r="D18" s="12" t="s">
        <v>101</v>
      </c>
      <c r="E18" s="10" t="s">
        <v>17</v>
      </c>
      <c r="F18" s="10" t="str">
        <f>LOOKUP(G18,Справочники!$B$2:$B$35,Справочники!$A$2:$A$35)</f>
        <v>Рекламный отдел</v>
      </c>
      <c r="G18" s="6" t="s">
        <v>27</v>
      </c>
      <c r="H18" s="16">
        <f>LOOKUP(G18,Справочники!$B$2:$B$35,Справочники!$C$2:$C$35)</f>
        <v>22000</v>
      </c>
      <c r="I18" s="6" t="s">
        <v>14</v>
      </c>
      <c r="J18" s="11">
        <v>40966</v>
      </c>
      <c r="K18" s="11">
        <v>31390</v>
      </c>
      <c r="L18" s="10">
        <f t="shared" ca="1" si="0"/>
        <v>10</v>
      </c>
      <c r="M18" s="10">
        <f t="shared" ca="1" si="0"/>
        <v>36</v>
      </c>
      <c r="N18" s="10" t="str">
        <f>LOOKUP(F18,Справочники!$F$2:$F$10,Справочники!$H$2:$H$10)</f>
        <v>+7(8332)64-32-01</v>
      </c>
    </row>
    <row r="19" spans="1:14" ht="15" hidden="1" x14ac:dyDescent="0.25">
      <c r="A19" s="10">
        <v>113</v>
      </c>
      <c r="B19" s="12" t="s">
        <v>102</v>
      </c>
      <c r="C19" s="12" t="s">
        <v>98</v>
      </c>
      <c r="D19" s="12" t="s">
        <v>103</v>
      </c>
      <c r="E19" s="10" t="s">
        <v>9</v>
      </c>
      <c r="F19" s="10" t="str">
        <f>LOOKUP(G19,Справочники!$B$2:$B$35,Справочники!$A$2:$A$35)</f>
        <v>Рекламный отдел</v>
      </c>
      <c r="G19" s="6" t="s">
        <v>28</v>
      </c>
      <c r="H19" s="16">
        <f>LOOKUP(G19,Справочники!$B$2:$B$35,Справочники!$C$2:$C$35)</f>
        <v>18000</v>
      </c>
      <c r="I19" s="6" t="s">
        <v>14</v>
      </c>
      <c r="J19" s="11">
        <v>34788</v>
      </c>
      <c r="K19" s="11">
        <v>25186</v>
      </c>
      <c r="L19" s="10">
        <f t="shared" ca="1" si="0"/>
        <v>27</v>
      </c>
      <c r="M19" s="10">
        <f t="shared" ca="1" si="0"/>
        <v>53</v>
      </c>
      <c r="N19" s="10" t="str">
        <f>LOOKUP(F19,Справочники!$F$2:$F$10,Справочники!$H$2:$H$10)</f>
        <v>+7(8332)64-32-01</v>
      </c>
    </row>
    <row r="20" spans="1:14" ht="15" x14ac:dyDescent="0.25">
      <c r="A20" s="10">
        <v>114</v>
      </c>
      <c r="B20" s="12" t="s">
        <v>104</v>
      </c>
      <c r="C20" s="12" t="s">
        <v>105</v>
      </c>
      <c r="D20" s="12" t="s">
        <v>106</v>
      </c>
      <c r="E20" s="10" t="s">
        <v>9</v>
      </c>
      <c r="F20" s="10" t="str">
        <f>LOOKUP(G20,Справочники!$B$2:$B$35,Справочники!$A$2:$A$35)</f>
        <v>Технологический отдел</v>
      </c>
      <c r="G20" s="6" t="s">
        <v>30</v>
      </c>
      <c r="H20" s="16">
        <f>LOOKUP(G20,Справочники!$B$2:$B$35,Справочники!$C$2:$C$35)</f>
        <v>22000</v>
      </c>
      <c r="I20" s="6" t="s">
        <v>14</v>
      </c>
      <c r="J20" s="11">
        <v>43356</v>
      </c>
      <c r="K20" s="11">
        <v>24300</v>
      </c>
      <c r="L20" s="10">
        <f t="shared" ca="1" si="0"/>
        <v>4</v>
      </c>
      <c r="M20" s="10">
        <f t="shared" ca="1" si="0"/>
        <v>56</v>
      </c>
      <c r="N20" s="10" t="str">
        <f>LOOKUP(F20,Справочники!$F$2:$F$10,Справочники!$H$2:$H$10)</f>
        <v>+7(8332)64-32-18</v>
      </c>
    </row>
    <row r="21" spans="1:14" ht="15" hidden="1" x14ac:dyDescent="0.25">
      <c r="A21" s="10">
        <v>115</v>
      </c>
      <c r="B21" s="12" t="s">
        <v>107</v>
      </c>
      <c r="C21" s="12" t="s">
        <v>108</v>
      </c>
      <c r="D21" s="12" t="s">
        <v>76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31</v>
      </c>
      <c r="H21" s="16">
        <f>LOOKUP(G21,Справочники!$B$2:$B$35,Справочники!$C$2:$C$35)</f>
        <v>12000</v>
      </c>
      <c r="I21" s="6" t="s">
        <v>12</v>
      </c>
      <c r="J21" s="11">
        <v>35096</v>
      </c>
      <c r="K21" s="11">
        <v>26553</v>
      </c>
      <c r="L21" s="10">
        <f t="shared" ca="1" si="0"/>
        <v>26</v>
      </c>
      <c r="M21" s="10">
        <f t="shared" ca="1" si="0"/>
        <v>50</v>
      </c>
      <c r="N21" s="10" t="str">
        <f>LOOKUP(F21,Справочники!$F$2:$F$10,Справочники!$H$2:$H$10)</f>
        <v>+7(8332)64-32-18</v>
      </c>
    </row>
    <row r="22" spans="1:14" ht="15" hidden="1" x14ac:dyDescent="0.25">
      <c r="A22" s="10">
        <v>116</v>
      </c>
      <c r="B22" s="12" t="s">
        <v>109</v>
      </c>
      <c r="C22" s="12" t="s">
        <v>110</v>
      </c>
      <c r="D22" s="12" t="s">
        <v>111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32</v>
      </c>
      <c r="H22" s="16">
        <f>LOOKUP(G22,Справочники!$B$2:$B$35,Справочники!$C$2:$C$35)</f>
        <v>15000</v>
      </c>
      <c r="I22" s="6" t="s">
        <v>12</v>
      </c>
      <c r="J22" s="11">
        <v>35292</v>
      </c>
      <c r="K22" s="11">
        <v>25810</v>
      </c>
      <c r="L22" s="10">
        <f t="shared" ca="1" si="0"/>
        <v>26</v>
      </c>
      <c r="M22" s="10">
        <f t="shared" ca="1" si="0"/>
        <v>52</v>
      </c>
      <c r="N22" s="10" t="str">
        <f>LOOKUP(F22,Справочники!$F$2:$F$10,Справочники!$H$2:$H$10)</f>
        <v>+7(8332)64-32-18</v>
      </c>
    </row>
    <row r="23" spans="1:14" ht="15" hidden="1" x14ac:dyDescent="0.25">
      <c r="A23" s="10">
        <v>117</v>
      </c>
      <c r="B23" s="12" t="s">
        <v>112</v>
      </c>
      <c r="C23" s="12" t="s">
        <v>72</v>
      </c>
      <c r="D23" s="12" t="s">
        <v>88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31</v>
      </c>
      <c r="H23" s="16">
        <f>LOOKUP(G23,Справочники!$B$2:$B$35,Справочники!$C$2:$C$35)</f>
        <v>12000</v>
      </c>
      <c r="I23" s="6" t="s">
        <v>33</v>
      </c>
      <c r="J23" s="11">
        <v>35445</v>
      </c>
      <c r="K23" s="11">
        <v>26821</v>
      </c>
      <c r="L23" s="10">
        <f t="shared" ca="1" si="0"/>
        <v>25</v>
      </c>
      <c r="M23" s="10">
        <f t="shared" ca="1" si="0"/>
        <v>49</v>
      </c>
      <c r="N23" s="10" t="str">
        <f>LOOKUP(F23,Справочники!$F$2:$F$10,Справочники!$H$2:$H$10)</f>
        <v>+7(8332)64-32-18</v>
      </c>
    </row>
    <row r="24" spans="1:14" ht="15" hidden="1" x14ac:dyDescent="0.25">
      <c r="A24" s="10">
        <v>118</v>
      </c>
      <c r="B24" s="12" t="s">
        <v>113</v>
      </c>
      <c r="C24" s="12" t="s">
        <v>114</v>
      </c>
      <c r="D24" s="12" t="s">
        <v>115</v>
      </c>
      <c r="E24" s="10" t="s">
        <v>9</v>
      </c>
      <c r="F24" s="10" t="str">
        <f>LOOKUP(G24,Справочники!$B$2:$B$35,Справочники!$A$2:$A$35)</f>
        <v>Технологический отдел</v>
      </c>
      <c r="G24" s="6" t="s">
        <v>34</v>
      </c>
      <c r="H24" s="16">
        <f>LOOKUP(G24,Справочники!$B$2:$B$35,Справочники!$C$2:$C$35)</f>
        <v>12000</v>
      </c>
      <c r="I24" s="6" t="s">
        <v>12</v>
      </c>
      <c r="J24" s="11">
        <v>36303</v>
      </c>
      <c r="K24" s="11">
        <v>25641</v>
      </c>
      <c r="L24" s="10">
        <f t="shared" ca="1" si="0"/>
        <v>23</v>
      </c>
      <c r="M24" s="10">
        <f t="shared" ca="1" si="0"/>
        <v>52</v>
      </c>
      <c r="N24" s="10" t="str">
        <f>LOOKUP(F24,Справочники!$F$2:$F$10,Справочники!$H$2:$H$10)</f>
        <v>+7(8332)64-32-18</v>
      </c>
    </row>
    <row r="25" spans="1:14" ht="15" hidden="1" x14ac:dyDescent="0.25">
      <c r="A25" s="10">
        <v>119</v>
      </c>
      <c r="B25" s="12" t="s">
        <v>116</v>
      </c>
      <c r="C25" s="12" t="s">
        <v>117</v>
      </c>
      <c r="D25" s="12" t="s">
        <v>70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35</v>
      </c>
      <c r="H25" s="16">
        <f>LOOKUP(G25,Справочники!$B$2:$B$35,Справочники!$C$2:$C$35)</f>
        <v>17000</v>
      </c>
      <c r="I25" s="6" t="s">
        <v>14</v>
      </c>
      <c r="J25" s="11">
        <v>39550</v>
      </c>
      <c r="K25" s="11">
        <v>28420</v>
      </c>
      <c r="L25" s="10">
        <f t="shared" ca="1" si="0"/>
        <v>14</v>
      </c>
      <c r="M25" s="10">
        <f t="shared" ca="1" si="0"/>
        <v>45</v>
      </c>
      <c r="N25" s="10" t="str">
        <f>LOOKUP(F25,Справочники!$F$2:$F$10,Справочники!$H$2:$H$10)</f>
        <v>+7(8332)64-32-18</v>
      </c>
    </row>
    <row r="26" spans="1:14" ht="15" x14ac:dyDescent="0.25">
      <c r="A26" s="10">
        <v>120</v>
      </c>
      <c r="B26" s="12" t="s">
        <v>118</v>
      </c>
      <c r="C26" s="12" t="s">
        <v>98</v>
      </c>
      <c r="D26" s="12" t="s">
        <v>119</v>
      </c>
      <c r="E26" s="10" t="s">
        <v>9</v>
      </c>
      <c r="F26" s="10" t="str">
        <f>LOOKUP(G26,Справочники!$B$2:$B$35,Справочники!$A$2:$A$35)</f>
        <v>Технологический отдел</v>
      </c>
      <c r="G26" s="6" t="s">
        <v>36</v>
      </c>
      <c r="H26" s="16">
        <f>LOOKUP(G26,Справочники!$B$2:$B$35,Справочники!$C$2:$C$35)</f>
        <v>14000</v>
      </c>
      <c r="I26" s="6" t="s">
        <v>12</v>
      </c>
      <c r="J26" s="11">
        <v>35442</v>
      </c>
      <c r="K26" s="11">
        <v>24134</v>
      </c>
      <c r="L26" s="10">
        <f t="shared" ca="1" si="0"/>
        <v>25</v>
      </c>
      <c r="M26" s="10">
        <f t="shared" ca="1" si="0"/>
        <v>56</v>
      </c>
      <c r="N26" s="10" t="str">
        <f>LOOKUP(F26,Справочники!$F$2:$F$10,Справочники!$H$2:$H$10)</f>
        <v>+7(8332)64-32-18</v>
      </c>
    </row>
    <row r="27" spans="1:14" ht="15" hidden="1" x14ac:dyDescent="0.25">
      <c r="A27" s="10">
        <v>121</v>
      </c>
      <c r="B27" s="12" t="s">
        <v>120</v>
      </c>
      <c r="C27" s="12" t="s">
        <v>75</v>
      </c>
      <c r="D27" s="12" t="s">
        <v>79</v>
      </c>
      <c r="E27" s="10" t="s">
        <v>9</v>
      </c>
      <c r="F27" s="10" t="str">
        <f>LOOKUP(G27,Справочники!$B$2:$B$35,Справочники!$A$2:$A$35)</f>
        <v>Технологический отдел</v>
      </c>
      <c r="G27" s="6" t="s">
        <v>36</v>
      </c>
      <c r="H27" s="16">
        <f>LOOKUP(G27,Справочники!$B$2:$B$35,Справочники!$C$2:$C$35)</f>
        <v>14000</v>
      </c>
      <c r="I27" s="6" t="s">
        <v>12</v>
      </c>
      <c r="J27" s="11">
        <v>39845</v>
      </c>
      <c r="K27" s="11">
        <v>31391</v>
      </c>
      <c r="L27" s="10">
        <f t="shared" ca="1" si="0"/>
        <v>13</v>
      </c>
      <c r="M27" s="10">
        <f t="shared" ca="1" si="0"/>
        <v>36</v>
      </c>
      <c r="N27" s="10" t="str">
        <f>LOOKUP(F27,Справочники!$F$2:$F$10,Справочники!$H$2:$H$10)</f>
        <v>+7(8332)64-32-18</v>
      </c>
    </row>
    <row r="28" spans="1:14" ht="15" hidden="1" x14ac:dyDescent="0.25">
      <c r="A28" s="10">
        <v>122</v>
      </c>
      <c r="B28" s="12" t="s">
        <v>121</v>
      </c>
      <c r="C28" s="12" t="s">
        <v>122</v>
      </c>
      <c r="D28" s="12" t="s">
        <v>96</v>
      </c>
      <c r="E28" s="10" t="s">
        <v>9</v>
      </c>
      <c r="F28" s="10" t="str">
        <f>LOOKUP(G28,Справочники!$B$2:$B$35,Справочники!$A$2:$A$35)</f>
        <v>Технологический отдел</v>
      </c>
      <c r="G28" s="6" t="s">
        <v>37</v>
      </c>
      <c r="H28" s="16">
        <f>LOOKUP(G28,Справочники!$B$2:$B$35,Справочники!$C$2:$C$35)</f>
        <v>14000</v>
      </c>
      <c r="I28" s="6" t="s">
        <v>12</v>
      </c>
      <c r="J28" s="11">
        <v>36427</v>
      </c>
      <c r="K28" s="11">
        <v>24846</v>
      </c>
      <c r="L28" s="10">
        <f t="shared" ca="1" si="0"/>
        <v>23</v>
      </c>
      <c r="M28" s="10">
        <f t="shared" ca="1" si="0"/>
        <v>54</v>
      </c>
      <c r="N28" s="10" t="str">
        <f>LOOKUP(F28,Справочники!$F$2:$F$10,Справочники!$H$2:$H$10)</f>
        <v>+7(8332)64-32-18</v>
      </c>
    </row>
    <row r="29" spans="1:14" ht="15" x14ac:dyDescent="0.25">
      <c r="A29" s="10">
        <v>123</v>
      </c>
      <c r="B29" s="12" t="s">
        <v>123</v>
      </c>
      <c r="C29" s="12" t="s">
        <v>114</v>
      </c>
      <c r="D29" s="12" t="s">
        <v>103</v>
      </c>
      <c r="E29" s="10" t="s">
        <v>9</v>
      </c>
      <c r="F29" s="10" t="str">
        <f>LOOKUP(G29,Справочники!$B$2:$B$35,Справочники!$A$2:$A$35)</f>
        <v>Технологический отдел</v>
      </c>
      <c r="G29" s="6" t="s">
        <v>34</v>
      </c>
      <c r="H29" s="16">
        <f>LOOKUP(G29,Справочники!$B$2:$B$35,Справочники!$C$2:$C$35)</f>
        <v>12000</v>
      </c>
      <c r="I29" s="6" t="s">
        <v>14</v>
      </c>
      <c r="J29" s="11">
        <v>35290</v>
      </c>
      <c r="K29" s="11">
        <v>22280</v>
      </c>
      <c r="L29" s="10">
        <f t="shared" ca="1" si="0"/>
        <v>26</v>
      </c>
      <c r="M29" s="10">
        <f t="shared" ca="1" si="0"/>
        <v>61</v>
      </c>
      <c r="N29" s="10" t="str">
        <f>LOOKUP(F29,Справочники!$F$2:$F$10,Справочники!$H$2:$H$10)</f>
        <v>+7(8332)64-32-18</v>
      </c>
    </row>
    <row r="30" spans="1:14" ht="15" hidden="1" x14ac:dyDescent="0.25">
      <c r="A30" s="10">
        <v>124</v>
      </c>
      <c r="B30" s="12" t="s">
        <v>124</v>
      </c>
      <c r="C30" s="12" t="s">
        <v>125</v>
      </c>
      <c r="D30" s="12" t="s">
        <v>96</v>
      </c>
      <c r="E30" s="10" t="s">
        <v>9</v>
      </c>
      <c r="F30" s="10" t="str">
        <f>LOOKUP(G30,Справочники!$B$2:$B$35,Справочники!$A$2:$A$35)</f>
        <v>Технологический отдел</v>
      </c>
      <c r="G30" s="6" t="s">
        <v>32</v>
      </c>
      <c r="H30" s="16">
        <f>LOOKUP(G30,Справочники!$B$2:$B$35,Справочники!$C$2:$C$35)</f>
        <v>15000</v>
      </c>
      <c r="I30" s="6" t="s">
        <v>33</v>
      </c>
      <c r="J30" s="11">
        <v>35451</v>
      </c>
      <c r="K30" s="11">
        <v>27551</v>
      </c>
      <c r="L30" s="10">
        <f t="shared" ca="1" si="0"/>
        <v>25</v>
      </c>
      <c r="M30" s="10">
        <f t="shared" ca="1" si="0"/>
        <v>47</v>
      </c>
      <c r="N30" s="10" t="str">
        <f>LOOKUP(F30,Справочники!$F$2:$F$10,Справочники!$H$2:$H$10)</f>
        <v>+7(8332)64-32-18</v>
      </c>
    </row>
    <row r="31" spans="1:14" ht="15" x14ac:dyDescent="0.25">
      <c r="A31" s="10">
        <v>125</v>
      </c>
      <c r="B31" s="12" t="s">
        <v>126</v>
      </c>
      <c r="C31" s="12" t="s">
        <v>98</v>
      </c>
      <c r="D31" s="12" t="s">
        <v>127</v>
      </c>
      <c r="E31" s="10" t="s">
        <v>9</v>
      </c>
      <c r="F31" s="10" t="str">
        <f>LOOKUP(G31,Справочники!$B$2:$B$35,Справочники!$A$2:$A$35)</f>
        <v>Технологический отдел</v>
      </c>
      <c r="G31" s="6" t="s">
        <v>34</v>
      </c>
      <c r="H31" s="16">
        <f>LOOKUP(G31,Справочники!$B$2:$B$35,Справочники!$C$2:$C$35)</f>
        <v>12000</v>
      </c>
      <c r="I31" s="6" t="s">
        <v>33</v>
      </c>
      <c r="J31" s="11">
        <v>35290</v>
      </c>
      <c r="K31" s="11">
        <v>22065</v>
      </c>
      <c r="L31" s="10">
        <f t="shared" ca="1" si="0"/>
        <v>26</v>
      </c>
      <c r="M31" s="10">
        <f t="shared" ca="1" si="0"/>
        <v>62</v>
      </c>
      <c r="N31" s="10" t="str">
        <f>LOOKUP(F31,Справочники!$F$2:$F$10,Справочники!$H$2:$H$10)</f>
        <v>+7(8332)64-32-18</v>
      </c>
    </row>
    <row r="32" spans="1:14" ht="15" hidden="1" x14ac:dyDescent="0.25">
      <c r="A32" s="10">
        <v>126</v>
      </c>
      <c r="B32" s="12" t="s">
        <v>128</v>
      </c>
      <c r="C32" s="12" t="s">
        <v>129</v>
      </c>
      <c r="D32" s="12" t="s">
        <v>101</v>
      </c>
      <c r="E32" s="10" t="s">
        <v>17</v>
      </c>
      <c r="F32" s="10" t="str">
        <f>LOOKUP(G32,Справочники!$B$2:$B$35,Справочники!$A$2:$A$35)</f>
        <v>Рекламный отдел</v>
      </c>
      <c r="G32" s="6" t="s">
        <v>27</v>
      </c>
      <c r="H32" s="16">
        <f>LOOKUP(G32,Справочники!$B$2:$B$35,Справочники!$C$2:$C$35)</f>
        <v>22000</v>
      </c>
      <c r="I32" s="6" t="s">
        <v>14</v>
      </c>
      <c r="J32" s="11">
        <v>40321</v>
      </c>
      <c r="K32" s="11">
        <v>30232</v>
      </c>
      <c r="L32" s="10">
        <f t="shared" ca="1" si="0"/>
        <v>12</v>
      </c>
      <c r="M32" s="10">
        <f t="shared" ca="1" si="0"/>
        <v>40</v>
      </c>
      <c r="N32" s="10" t="str">
        <f>LOOKUP(F32,Справочники!$F$2:$F$10,Справочники!$H$2:$H$10)</f>
        <v>+7(8332)64-32-01</v>
      </c>
    </row>
    <row r="33" spans="1:14" ht="15" hidden="1" x14ac:dyDescent="0.25">
      <c r="A33" s="10">
        <v>127</v>
      </c>
      <c r="B33" s="12" t="s">
        <v>130</v>
      </c>
      <c r="C33" s="12" t="s">
        <v>131</v>
      </c>
      <c r="D33" s="12" t="s">
        <v>132</v>
      </c>
      <c r="E33" s="10" t="s">
        <v>17</v>
      </c>
      <c r="F33" s="10" t="str">
        <f>LOOKUP(G33,Справочники!$B$2:$B$35,Справочники!$A$2:$A$35)</f>
        <v>Технологический отдел</v>
      </c>
      <c r="G33" s="6" t="s">
        <v>38</v>
      </c>
      <c r="H33" s="16">
        <f>LOOKUP(G33,Справочники!$B$2:$B$35,Справочники!$C$2:$C$35)</f>
        <v>20000</v>
      </c>
      <c r="I33" s="6" t="s">
        <v>14</v>
      </c>
      <c r="J33" s="11">
        <v>40810</v>
      </c>
      <c r="K33" s="11">
        <v>31390</v>
      </c>
      <c r="L33" s="10">
        <f t="shared" ca="1" si="0"/>
        <v>11</v>
      </c>
      <c r="M33" s="10">
        <f t="shared" ca="1" si="0"/>
        <v>36</v>
      </c>
      <c r="N33" s="10" t="str">
        <f>LOOKUP(F33,Справочники!$F$2:$F$10,Справочники!$H$2:$H$10)</f>
        <v>+7(8332)64-32-18</v>
      </c>
    </row>
    <row r="34" spans="1:14" ht="15" hidden="1" x14ac:dyDescent="0.25">
      <c r="A34" s="10">
        <v>128</v>
      </c>
      <c r="B34" s="12" t="s">
        <v>133</v>
      </c>
      <c r="C34" s="12" t="s">
        <v>90</v>
      </c>
      <c r="D34" s="12" t="s">
        <v>132</v>
      </c>
      <c r="E34" s="10" t="s">
        <v>17</v>
      </c>
      <c r="F34" s="10" t="str">
        <f>LOOKUP(G34,Справочники!$B$2:$B$35,Справочники!$A$2:$A$35)</f>
        <v>Рекламный отдел</v>
      </c>
      <c r="G34" s="6" t="s">
        <v>39</v>
      </c>
      <c r="H34" s="16">
        <f>LOOKUP(G34,Справочники!$B$2:$B$35,Справочники!$C$2:$C$35)</f>
        <v>18000</v>
      </c>
      <c r="I34" s="6" t="s">
        <v>12</v>
      </c>
      <c r="J34" s="11">
        <v>42260</v>
      </c>
      <c r="K34" s="11">
        <v>32292</v>
      </c>
      <c r="L34" s="10">
        <f t="shared" ca="1" si="0"/>
        <v>7</v>
      </c>
      <c r="M34" s="10">
        <f t="shared" ca="1" si="0"/>
        <v>34</v>
      </c>
      <c r="N34" s="10" t="str">
        <f>LOOKUP(F34,Справочники!$F$2:$F$10,Справочники!$H$2:$H$10)</f>
        <v>+7(8332)64-32-01</v>
      </c>
    </row>
    <row r="35" spans="1:14" ht="15" hidden="1" x14ac:dyDescent="0.25">
      <c r="A35" s="10">
        <v>129</v>
      </c>
      <c r="B35" s="12" t="s">
        <v>134</v>
      </c>
      <c r="C35" s="12" t="s">
        <v>135</v>
      </c>
      <c r="D35" s="12" t="s">
        <v>136</v>
      </c>
      <c r="E35" s="10" t="s">
        <v>17</v>
      </c>
      <c r="F35" s="10" t="str">
        <f>LOOKUP(G35,Справочники!$B$2:$B$35,Справочники!$A$2:$A$35)</f>
        <v>Рекламный отдел</v>
      </c>
      <c r="G35" s="6" t="s">
        <v>40</v>
      </c>
      <c r="H35" s="16">
        <f>LOOKUP(G35,Справочники!$B$2:$B$35,Справочники!$C$2:$C$35)</f>
        <v>15000</v>
      </c>
      <c r="I35" s="6" t="s">
        <v>14</v>
      </c>
      <c r="J35" s="11">
        <v>41972</v>
      </c>
      <c r="K35" s="11">
        <v>33851</v>
      </c>
      <c r="L35" s="10">
        <f t="shared" ca="1" si="0"/>
        <v>7</v>
      </c>
      <c r="M35" s="10">
        <f t="shared" ca="1" si="0"/>
        <v>30</v>
      </c>
      <c r="N35" s="10" t="str">
        <f>LOOKUP(F35,Справочники!$F$2:$F$10,Справочники!$H$2:$H$10)</f>
        <v>+7(8332)64-32-01</v>
      </c>
    </row>
    <row r="36" spans="1:14" ht="15" hidden="1" x14ac:dyDescent="0.25">
      <c r="A36" s="10">
        <v>130</v>
      </c>
      <c r="B36" s="12" t="s">
        <v>137</v>
      </c>
      <c r="C36" s="12" t="s">
        <v>138</v>
      </c>
      <c r="D36" s="12" t="s">
        <v>139</v>
      </c>
      <c r="E36" s="10" t="s">
        <v>9</v>
      </c>
      <c r="F36" s="10" t="str">
        <f>LOOKUP(G36,Справочники!$B$2:$B$35,Справочники!$A$2:$A$35)</f>
        <v>Управление</v>
      </c>
      <c r="G36" s="6" t="s">
        <v>20</v>
      </c>
      <c r="H36" s="16">
        <f>LOOKUP(G36,Справочники!$B$2:$B$35,Справочники!$C$2:$C$35)</f>
        <v>15000</v>
      </c>
      <c r="I36" s="6" t="s">
        <v>25</v>
      </c>
      <c r="J36" s="11">
        <v>42765</v>
      </c>
      <c r="K36" s="11">
        <v>34714</v>
      </c>
      <c r="L36" s="10">
        <f t="shared" ca="1" si="0"/>
        <v>5</v>
      </c>
      <c r="M36" s="10">
        <f t="shared" ca="1" si="0"/>
        <v>27</v>
      </c>
      <c r="N36" s="10" t="str">
        <f>LOOKUP(F36,Справочники!$F$2:$F$10,Справочники!$H$2:$H$10)</f>
        <v>+7(8332)64-32-18</v>
      </c>
    </row>
    <row r="37" spans="1:14" ht="15" hidden="1" x14ac:dyDescent="0.25">
      <c r="A37" s="10">
        <v>131</v>
      </c>
      <c r="B37" s="12" t="s">
        <v>140</v>
      </c>
      <c r="C37" s="12" t="s">
        <v>141</v>
      </c>
      <c r="D37" s="12" t="s">
        <v>142</v>
      </c>
      <c r="E37" s="10" t="s">
        <v>17</v>
      </c>
      <c r="F37" s="10" t="str">
        <f>LOOKUP(G37,Справочники!$B$2:$B$35,Справочники!$A$2:$A$35)</f>
        <v>Рекламный отдел</v>
      </c>
      <c r="G37" s="6" t="s">
        <v>27</v>
      </c>
      <c r="H37" s="16">
        <f>LOOKUP(G37,Справочники!$B$2:$B$35,Справочники!$C$2:$C$35)</f>
        <v>22000</v>
      </c>
      <c r="I37" s="6" t="s">
        <v>14</v>
      </c>
      <c r="J37" s="11">
        <v>39459</v>
      </c>
      <c r="K37" s="11">
        <v>27953</v>
      </c>
      <c r="L37" s="10">
        <f t="shared" ca="1" si="0"/>
        <v>14</v>
      </c>
      <c r="M37" s="10">
        <f t="shared" ca="1" si="0"/>
        <v>46</v>
      </c>
      <c r="N37" s="10" t="str">
        <f>LOOKUP(F37,Справочники!$F$2:$F$10,Справочники!$H$2:$H$10)</f>
        <v>+7(8332)64-32-01</v>
      </c>
    </row>
    <row r="38" spans="1:14" ht="15" hidden="1" x14ac:dyDescent="0.25">
      <c r="A38" s="10">
        <v>132</v>
      </c>
      <c r="B38" s="12" t="s">
        <v>143</v>
      </c>
      <c r="C38" s="12" t="s">
        <v>141</v>
      </c>
      <c r="D38" s="12" t="s">
        <v>85</v>
      </c>
      <c r="E38" s="10" t="s">
        <v>17</v>
      </c>
      <c r="F38" s="10" t="str">
        <f>LOOKUP(G38,Справочники!$B$2:$B$35,Справочники!$A$2:$A$35)</f>
        <v>Отдел продаж</v>
      </c>
      <c r="G38" s="6" t="s">
        <v>42</v>
      </c>
      <c r="H38" s="16">
        <f>LOOKUP(G38,Справочники!$B$2:$B$35,Справочники!$C$2:$C$35)</f>
        <v>15000</v>
      </c>
      <c r="I38" s="6" t="s">
        <v>12</v>
      </c>
      <c r="J38" s="11">
        <v>41306</v>
      </c>
      <c r="K38" s="11">
        <v>33115</v>
      </c>
      <c r="L38" s="10">
        <f t="shared" ca="1" si="0"/>
        <v>9</v>
      </c>
      <c r="M38" s="10">
        <f t="shared" ca="1" si="0"/>
        <v>32</v>
      </c>
      <c r="N38" s="10" t="str">
        <f>LOOKUP(F38,Справочники!$F$2:$F$10,Справочники!$H$2:$H$10)</f>
        <v>+7(8332)64-32-01</v>
      </c>
    </row>
    <row r="39" spans="1:14" ht="15" hidden="1" x14ac:dyDescent="0.25">
      <c r="A39" s="10">
        <v>133</v>
      </c>
      <c r="B39" s="12" t="s">
        <v>144</v>
      </c>
      <c r="C39" s="12" t="s">
        <v>84</v>
      </c>
      <c r="D39" s="12" t="s">
        <v>145</v>
      </c>
      <c r="E39" s="10" t="s">
        <v>17</v>
      </c>
      <c r="F39" s="10" t="str">
        <f>LOOKUP(G39,Справочники!$B$2:$B$35,Справочники!$A$2:$A$35)</f>
        <v>Рекламный отдел</v>
      </c>
      <c r="G39" s="6" t="s">
        <v>40</v>
      </c>
      <c r="H39" s="16">
        <f>LOOKUP(G39,Справочники!$B$2:$B$35,Справочники!$C$2:$C$35)</f>
        <v>15000</v>
      </c>
      <c r="I39" s="6" t="s">
        <v>14</v>
      </c>
      <c r="J39" s="11">
        <v>41782</v>
      </c>
      <c r="K39" s="11">
        <v>33871</v>
      </c>
      <c r="L39" s="10">
        <f t="shared" ca="1" si="0"/>
        <v>8</v>
      </c>
      <c r="M39" s="10">
        <f t="shared" ca="1" si="0"/>
        <v>30</v>
      </c>
      <c r="N39" s="10" t="str">
        <f>LOOKUP(F39,Справочники!$F$2:$F$10,Справочники!$H$2:$H$10)</f>
        <v>+7(8332)64-32-01</v>
      </c>
    </row>
    <row r="40" spans="1:14" ht="15" hidden="1" x14ac:dyDescent="0.25">
      <c r="A40" s="10">
        <v>134</v>
      </c>
      <c r="B40" s="12" t="s">
        <v>146</v>
      </c>
      <c r="C40" s="12" t="s">
        <v>147</v>
      </c>
      <c r="D40" s="12" t="s">
        <v>148</v>
      </c>
      <c r="E40" s="10" t="s">
        <v>9</v>
      </c>
      <c r="F40" s="10" t="str">
        <f>LOOKUP(G40,Справочники!$B$2:$B$35,Справочники!$A$2:$A$35)</f>
        <v>Технологический отдел</v>
      </c>
      <c r="G40" s="6" t="s">
        <v>38</v>
      </c>
      <c r="H40" s="16">
        <f>LOOKUP(G40,Справочники!$B$2:$B$35,Справочники!$C$2:$C$35)</f>
        <v>20000</v>
      </c>
      <c r="I40" s="6" t="s">
        <v>14</v>
      </c>
      <c r="J40" s="11">
        <v>35208</v>
      </c>
      <c r="K40" s="11">
        <v>25186</v>
      </c>
      <c r="L40" s="10">
        <f t="shared" ca="1" si="0"/>
        <v>26</v>
      </c>
      <c r="M40" s="10">
        <f t="shared" ca="1" si="0"/>
        <v>53</v>
      </c>
      <c r="N40" s="10" t="str">
        <f>LOOKUP(F40,Справочники!$F$2:$F$10,Справочники!$H$2:$H$10)</f>
        <v>+7(8332)64-32-18</v>
      </c>
    </row>
    <row r="41" spans="1:14" ht="15" x14ac:dyDescent="0.25">
      <c r="A41" s="10">
        <v>135</v>
      </c>
      <c r="B41" s="12" t="s">
        <v>149</v>
      </c>
      <c r="C41" s="12" t="s">
        <v>75</v>
      </c>
      <c r="D41" s="12" t="s">
        <v>96</v>
      </c>
      <c r="E41" s="10" t="s">
        <v>9</v>
      </c>
      <c r="F41" s="10" t="str">
        <f>LOOKUP(G41,Справочники!$B$2:$B$35,Справочники!$A$2:$A$35)</f>
        <v>Технологический отдел</v>
      </c>
      <c r="G41" s="6" t="s">
        <v>38</v>
      </c>
      <c r="H41" s="16">
        <f>LOOKUP(G41,Справочники!$B$2:$B$35,Справочники!$C$2:$C$35)</f>
        <v>20000</v>
      </c>
      <c r="I41" s="6" t="s">
        <v>25</v>
      </c>
      <c r="J41" s="11">
        <v>35290</v>
      </c>
      <c r="K41" s="11">
        <v>23891</v>
      </c>
      <c r="L41" s="10">
        <f t="shared" ca="1" si="0"/>
        <v>26</v>
      </c>
      <c r="M41" s="10">
        <f t="shared" ca="1" si="0"/>
        <v>57</v>
      </c>
      <c r="N41" s="10" t="str">
        <f>LOOKUP(F41,Справочники!$F$2:$F$10,Справочники!$H$2:$H$10)</f>
        <v>+7(8332)64-32-18</v>
      </c>
    </row>
    <row r="42" spans="1:14" ht="15" hidden="1" x14ac:dyDescent="0.25">
      <c r="A42" s="10">
        <v>136</v>
      </c>
      <c r="B42" s="12" t="s">
        <v>150</v>
      </c>
      <c r="C42" s="12" t="s">
        <v>151</v>
      </c>
      <c r="D42" s="12" t="s">
        <v>152</v>
      </c>
      <c r="E42" s="10" t="s">
        <v>9</v>
      </c>
      <c r="F42" s="10" t="str">
        <f>LOOKUP(G42,Справочники!$B$2:$B$35,Справочники!$A$2:$A$35)</f>
        <v>Рекламный отдел</v>
      </c>
      <c r="G42" s="6" t="s">
        <v>27</v>
      </c>
      <c r="H42" s="16">
        <f>LOOKUP(G42,Справочники!$B$2:$B$35,Справочники!$C$2:$C$35)</f>
        <v>22000</v>
      </c>
      <c r="I42" s="6" t="s">
        <v>25</v>
      </c>
      <c r="J42" s="11">
        <v>39479</v>
      </c>
      <c r="K42" s="11">
        <v>27737</v>
      </c>
      <c r="L42" s="10">
        <f t="shared" ca="1" si="0"/>
        <v>14</v>
      </c>
      <c r="M42" s="10">
        <f t="shared" ca="1" si="0"/>
        <v>46</v>
      </c>
      <c r="N42" s="10" t="str">
        <f>LOOKUP(F42,Справочники!$F$2:$F$10,Справочники!$H$2:$H$10)</f>
        <v>+7(8332)64-32-01</v>
      </c>
    </row>
    <row r="43" spans="1:14" ht="15" hidden="1" x14ac:dyDescent="0.25">
      <c r="A43" s="10">
        <v>137</v>
      </c>
      <c r="B43" s="12" t="s">
        <v>153</v>
      </c>
      <c r="C43" s="12" t="s">
        <v>114</v>
      </c>
      <c r="D43" s="12" t="s">
        <v>154</v>
      </c>
      <c r="E43" s="10" t="s">
        <v>9</v>
      </c>
      <c r="F43" s="10" t="str">
        <f>LOOKUP(G43,Справочники!$B$2:$B$35,Справочники!$A$2:$A$35)</f>
        <v>Управление</v>
      </c>
      <c r="G43" s="6" t="s">
        <v>20</v>
      </c>
      <c r="H43" s="16">
        <f>LOOKUP(G43,Справочники!$B$2:$B$35,Справочники!$C$2:$C$35)</f>
        <v>15000</v>
      </c>
      <c r="I43" s="6" t="s">
        <v>25</v>
      </c>
      <c r="J43" s="11">
        <v>42271</v>
      </c>
      <c r="K43" s="11">
        <v>33851</v>
      </c>
      <c r="L43" s="10">
        <f t="shared" ca="1" si="0"/>
        <v>7</v>
      </c>
      <c r="M43" s="10">
        <f t="shared" ca="1" si="0"/>
        <v>30</v>
      </c>
      <c r="N43" s="10" t="str">
        <f>LOOKUP(F43,Справочники!$F$2:$F$10,Справочники!$H$2:$H$10)</f>
        <v>+7(8332)64-32-18</v>
      </c>
    </row>
    <row r="44" spans="1:14" ht="15" x14ac:dyDescent="0.25">
      <c r="A44" s="10">
        <v>138</v>
      </c>
      <c r="B44" s="12" t="s">
        <v>155</v>
      </c>
      <c r="C44" s="12" t="s">
        <v>108</v>
      </c>
      <c r="D44" s="12" t="s">
        <v>156</v>
      </c>
      <c r="E44" s="10" t="s">
        <v>9</v>
      </c>
      <c r="F44" s="10" t="str">
        <f>LOOKUP(G44,Справочники!$B$2:$B$35,Справочники!$A$2:$A$35)</f>
        <v>Отдел худ. оформления</v>
      </c>
      <c r="G44" s="6" t="s">
        <v>44</v>
      </c>
      <c r="H44" s="16">
        <f>LOOKUP(G44,Справочники!$B$2:$B$35,Справочники!$C$2:$C$35)</f>
        <v>18000</v>
      </c>
      <c r="I44" s="6" t="s">
        <v>14</v>
      </c>
      <c r="J44" s="11">
        <v>34380</v>
      </c>
      <c r="K44" s="11">
        <v>23757</v>
      </c>
      <c r="L44" s="10">
        <f t="shared" ca="1" si="0"/>
        <v>28</v>
      </c>
      <c r="M44" s="10">
        <f t="shared" ca="1" si="0"/>
        <v>57</v>
      </c>
      <c r="N44" s="10" t="str">
        <f>LOOKUP(F44,Справочники!$F$2:$F$10,Справочники!$H$2:$H$10)</f>
        <v>+7(8332)64-32-01</v>
      </c>
    </row>
    <row r="45" spans="1:14" ht="15" hidden="1" x14ac:dyDescent="0.25">
      <c r="A45" s="10">
        <v>139</v>
      </c>
      <c r="B45" s="12" t="s">
        <v>157</v>
      </c>
      <c r="C45" s="12" t="s">
        <v>158</v>
      </c>
      <c r="D45" s="12" t="s">
        <v>159</v>
      </c>
      <c r="E45" s="10" t="s">
        <v>9</v>
      </c>
      <c r="F45" s="10" t="str">
        <f>LOOKUP(G45,Справочники!$B$2:$B$35,Справочники!$A$2:$A$35)</f>
        <v>Управление</v>
      </c>
      <c r="G45" s="6" t="s">
        <v>20</v>
      </c>
      <c r="H45" s="16">
        <f>LOOKUP(G45,Справочники!$B$2:$B$35,Справочники!$C$2:$C$35)</f>
        <v>15000</v>
      </c>
      <c r="I45" s="6" t="s">
        <v>12</v>
      </c>
      <c r="J45" s="11">
        <v>41697</v>
      </c>
      <c r="K45" s="11">
        <v>33022</v>
      </c>
      <c r="L45" s="10">
        <f t="shared" ca="1" si="0"/>
        <v>8</v>
      </c>
      <c r="M45" s="10">
        <f t="shared" ca="1" si="0"/>
        <v>32</v>
      </c>
      <c r="N45" s="10" t="str">
        <f>LOOKUP(F45,Справочники!$F$2:$F$10,Справочники!$H$2:$H$10)</f>
        <v>+7(8332)64-32-18</v>
      </c>
    </row>
    <row r="46" spans="1:14" ht="15" hidden="1" x14ac:dyDescent="0.25">
      <c r="A46" s="10">
        <v>140</v>
      </c>
      <c r="B46" s="12" t="s">
        <v>160</v>
      </c>
      <c r="C46" s="12" t="s">
        <v>161</v>
      </c>
      <c r="D46" s="12" t="s">
        <v>162</v>
      </c>
      <c r="E46" s="10" t="s">
        <v>9</v>
      </c>
      <c r="F46" s="10" t="str">
        <f>LOOKUP(G46,Справочники!$B$2:$B$35,Справочники!$A$2:$A$35)</f>
        <v>Рекламный отдел</v>
      </c>
      <c r="G46" s="6" t="s">
        <v>40</v>
      </c>
      <c r="H46" s="16">
        <f>LOOKUP(G46,Справочники!$B$2:$B$35,Справочники!$C$2:$C$35)</f>
        <v>15000</v>
      </c>
      <c r="I46" s="6" t="s">
        <v>25</v>
      </c>
      <c r="J46" s="11">
        <v>39641</v>
      </c>
      <c r="K46" s="11">
        <v>29284</v>
      </c>
      <c r="L46" s="10">
        <f t="shared" ca="1" si="0"/>
        <v>14</v>
      </c>
      <c r="M46" s="10">
        <f t="shared" ca="1" si="0"/>
        <v>42</v>
      </c>
      <c r="N46" s="10" t="str">
        <f>LOOKUP(F46,Справочники!$F$2:$F$10,Справочники!$H$2:$H$10)</f>
        <v>+7(8332)64-32-01</v>
      </c>
    </row>
    <row r="47" spans="1:14" ht="15" hidden="1" x14ac:dyDescent="0.25">
      <c r="A47" s="10">
        <v>141</v>
      </c>
      <c r="B47" s="12" t="s">
        <v>163</v>
      </c>
      <c r="C47" s="12" t="s">
        <v>164</v>
      </c>
      <c r="D47" s="12" t="s">
        <v>93</v>
      </c>
      <c r="E47" s="10" t="s">
        <v>17</v>
      </c>
      <c r="F47" s="10" t="str">
        <f>LOOKUP(G47,Справочники!$B$2:$B$35,Справочники!$A$2:$A$35)</f>
        <v>Отдел худ. оформления</v>
      </c>
      <c r="G47" s="6" t="s">
        <v>44</v>
      </c>
      <c r="H47" s="16">
        <f>LOOKUP(G47,Справочники!$B$2:$B$35,Справочники!$C$2:$C$35)</f>
        <v>18000</v>
      </c>
      <c r="I47" s="6" t="s">
        <v>14</v>
      </c>
      <c r="J47" s="11">
        <v>35290</v>
      </c>
      <c r="K47" s="11">
        <v>27405</v>
      </c>
      <c r="L47" s="10">
        <f t="shared" ca="1" si="0"/>
        <v>26</v>
      </c>
      <c r="M47" s="10">
        <f t="shared" ca="1" si="0"/>
        <v>47</v>
      </c>
      <c r="N47" s="10" t="str">
        <f>LOOKUP(F47,Справочники!$F$2:$F$10,Справочники!$H$2:$H$10)</f>
        <v>+7(8332)64-32-01</v>
      </c>
    </row>
    <row r="48" spans="1:14" ht="15" x14ac:dyDescent="0.25">
      <c r="A48" s="10">
        <v>142</v>
      </c>
      <c r="B48" s="12" t="s">
        <v>165</v>
      </c>
      <c r="C48" s="12" t="s">
        <v>166</v>
      </c>
      <c r="D48" s="12" t="s">
        <v>127</v>
      </c>
      <c r="E48" s="10" t="s">
        <v>9</v>
      </c>
      <c r="F48" s="10" t="str">
        <f>LOOKUP(G48,Справочники!$B$2:$B$35,Справочники!$A$2:$A$35)</f>
        <v>Склад</v>
      </c>
      <c r="G48" s="6" t="s">
        <v>46</v>
      </c>
      <c r="H48" s="16">
        <f>LOOKUP(G48,Справочники!$B$2:$B$35,Справочники!$C$2:$C$35)</f>
        <v>15000</v>
      </c>
      <c r="I48" s="6" t="s">
        <v>33</v>
      </c>
      <c r="J48" s="11">
        <v>34955</v>
      </c>
      <c r="K48" s="11">
        <v>24134</v>
      </c>
      <c r="L48" s="10">
        <f t="shared" ca="1" si="0"/>
        <v>27</v>
      </c>
      <c r="M48" s="10">
        <f t="shared" ca="1" si="0"/>
        <v>56</v>
      </c>
      <c r="N48" s="10" t="str">
        <f>LOOKUP(F48,Справочники!$F$2:$F$10,Справочники!$H$2:$H$10)</f>
        <v>+7(8332)64-32-23</v>
      </c>
    </row>
    <row r="49" spans="1:14" ht="15" hidden="1" x14ac:dyDescent="0.25">
      <c r="A49" s="10">
        <v>143</v>
      </c>
      <c r="B49" s="12" t="s">
        <v>167</v>
      </c>
      <c r="C49" s="12" t="s">
        <v>168</v>
      </c>
      <c r="D49" s="12" t="s">
        <v>169</v>
      </c>
      <c r="E49" s="10" t="s">
        <v>17</v>
      </c>
      <c r="F49" s="10" t="str">
        <f>LOOKUP(G49,Справочники!$B$2:$B$35,Справочники!$A$2:$A$35)</f>
        <v>Склад</v>
      </c>
      <c r="G49" s="6" t="s">
        <v>47</v>
      </c>
      <c r="H49" s="16">
        <f>LOOKUP(G49,Справочники!$B$2:$B$35,Справочники!$C$2:$C$35)</f>
        <v>11000</v>
      </c>
      <c r="I49" s="6" t="s">
        <v>33</v>
      </c>
      <c r="J49" s="11">
        <v>42016</v>
      </c>
      <c r="K49" s="11">
        <v>30232</v>
      </c>
      <c r="L49" s="10">
        <f t="shared" ca="1" si="0"/>
        <v>7</v>
      </c>
      <c r="M49" s="10">
        <f t="shared" ca="1" si="0"/>
        <v>40</v>
      </c>
      <c r="N49" s="10" t="str">
        <f>LOOKUP(F49,Справочники!$F$2:$F$10,Справочники!$H$2:$H$10)</f>
        <v>+7(8332)64-32-23</v>
      </c>
    </row>
    <row r="50" spans="1:14" ht="15" hidden="1" x14ac:dyDescent="0.25">
      <c r="A50" s="10">
        <v>144</v>
      </c>
      <c r="B50" s="12" t="s">
        <v>170</v>
      </c>
      <c r="C50" s="12" t="s">
        <v>164</v>
      </c>
      <c r="D50" s="12" t="s">
        <v>171</v>
      </c>
      <c r="E50" s="10" t="s">
        <v>17</v>
      </c>
      <c r="F50" s="10" t="str">
        <f>LOOKUP(G50,Справочники!$B$2:$B$35,Справочники!$A$2:$A$35)</f>
        <v>Склад</v>
      </c>
      <c r="G50" s="6" t="s">
        <v>47</v>
      </c>
      <c r="H50" s="16">
        <f>LOOKUP(G50,Справочники!$B$2:$B$35,Справочники!$C$2:$C$35)</f>
        <v>11000</v>
      </c>
      <c r="I50" s="6" t="s">
        <v>33</v>
      </c>
      <c r="J50" s="11">
        <v>43115</v>
      </c>
      <c r="K50" s="11">
        <v>33207</v>
      </c>
      <c r="L50" s="10">
        <f t="shared" ca="1" si="0"/>
        <v>4</v>
      </c>
      <c r="M50" s="10">
        <f t="shared" ca="1" si="0"/>
        <v>31</v>
      </c>
      <c r="N50" s="10" t="str">
        <f>LOOKUP(F50,Справочники!$F$2:$F$10,Справочники!$H$2:$H$10)</f>
        <v>+7(8332)64-32-23</v>
      </c>
    </row>
    <row r="51" spans="1:14" ht="15" hidden="1" x14ac:dyDescent="0.25">
      <c r="A51" s="10">
        <v>145</v>
      </c>
      <c r="B51" s="12" t="s">
        <v>172</v>
      </c>
      <c r="C51" s="12" t="s">
        <v>131</v>
      </c>
      <c r="D51" s="12" t="s">
        <v>145</v>
      </c>
      <c r="E51" s="10" t="s">
        <v>17</v>
      </c>
      <c r="F51" s="10" t="str">
        <f>LOOKUP(G51,Справочники!$B$2:$B$35,Справочники!$A$2:$A$35)</f>
        <v>Склад</v>
      </c>
      <c r="G51" s="6" t="s">
        <v>48</v>
      </c>
      <c r="H51" s="16">
        <f>LOOKUP(G51,Справочники!$B$2:$B$35,Справочники!$C$2:$C$35)</f>
        <v>22000</v>
      </c>
      <c r="I51" s="6" t="s">
        <v>25</v>
      </c>
      <c r="J51" s="11">
        <v>34788</v>
      </c>
      <c r="K51" s="11">
        <v>25204</v>
      </c>
      <c r="L51" s="10">
        <f t="shared" ca="1" si="0"/>
        <v>27</v>
      </c>
      <c r="M51" s="10">
        <f t="shared" ca="1" si="0"/>
        <v>53</v>
      </c>
      <c r="N51" s="10" t="str">
        <f>LOOKUP(F51,Справочники!$F$2:$F$10,Справочники!$H$2:$H$10)</f>
        <v>+7(8332)64-32-23</v>
      </c>
    </row>
    <row r="52" spans="1:14" ht="15" hidden="1" x14ac:dyDescent="0.25">
      <c r="A52" s="10">
        <v>146</v>
      </c>
      <c r="B52" s="12" t="s">
        <v>173</v>
      </c>
      <c r="C52" s="12" t="s">
        <v>129</v>
      </c>
      <c r="D52" s="12" t="s">
        <v>174</v>
      </c>
      <c r="E52" s="10" t="s">
        <v>17</v>
      </c>
      <c r="F52" s="10" t="str">
        <f>LOOKUP(G52,Справочники!$B$2:$B$35,Справочники!$A$2:$A$35)</f>
        <v>Склад</v>
      </c>
      <c r="G52" s="6" t="s">
        <v>46</v>
      </c>
      <c r="H52" s="16">
        <f>LOOKUP(G52,Справочники!$B$2:$B$35,Справочники!$C$2:$C$35)</f>
        <v>15000</v>
      </c>
      <c r="I52" s="6" t="s">
        <v>33</v>
      </c>
      <c r="J52" s="11">
        <v>35032</v>
      </c>
      <c r="K52" s="11">
        <v>26821</v>
      </c>
      <c r="L52" s="10">
        <f t="shared" ca="1" si="0"/>
        <v>26</v>
      </c>
      <c r="M52" s="10">
        <f t="shared" ca="1" si="0"/>
        <v>49</v>
      </c>
      <c r="N52" s="10" t="str">
        <f>LOOKUP(F52,Справочники!$F$2:$F$10,Справочники!$H$2:$H$10)</f>
        <v>+7(8332)64-32-23</v>
      </c>
    </row>
    <row r="53" spans="1:14" ht="15" hidden="1" x14ac:dyDescent="0.25">
      <c r="A53" s="10">
        <v>147</v>
      </c>
      <c r="B53" s="12" t="s">
        <v>175</v>
      </c>
      <c r="C53" s="12" t="s">
        <v>176</v>
      </c>
      <c r="D53" s="12" t="s">
        <v>177</v>
      </c>
      <c r="E53" s="10" t="s">
        <v>17</v>
      </c>
      <c r="F53" s="10" t="str">
        <f>LOOKUP(G53,Справочники!$B$2:$B$35,Справочники!$A$2:$A$35)</f>
        <v>Склад</v>
      </c>
      <c r="G53" s="6" t="s">
        <v>47</v>
      </c>
      <c r="H53" s="16">
        <f>LOOKUP(G53,Справочники!$B$2:$B$35,Справочники!$C$2:$C$35)</f>
        <v>11000</v>
      </c>
      <c r="I53" s="6" t="s">
        <v>33</v>
      </c>
      <c r="J53" s="11">
        <v>42399</v>
      </c>
      <c r="K53" s="11">
        <v>33858</v>
      </c>
      <c r="L53" s="10">
        <f t="shared" ca="1" si="0"/>
        <v>6</v>
      </c>
      <c r="M53" s="10">
        <f t="shared" ca="1" si="0"/>
        <v>30</v>
      </c>
      <c r="N53" s="10" t="str">
        <f>LOOKUP(F53,Справочники!$F$2:$F$10,Справочники!$H$2:$H$10)</f>
        <v>+7(8332)64-32-23</v>
      </c>
    </row>
    <row r="54" spans="1:14" ht="15" hidden="1" x14ac:dyDescent="0.25">
      <c r="A54" s="10">
        <v>148</v>
      </c>
      <c r="B54" s="12" t="s">
        <v>178</v>
      </c>
      <c r="C54" s="12" t="s">
        <v>179</v>
      </c>
      <c r="D54" s="12" t="s">
        <v>101</v>
      </c>
      <c r="E54" s="10" t="s">
        <v>17</v>
      </c>
      <c r="F54" s="10" t="str">
        <f>LOOKUP(G54,Справочники!$B$2:$B$35,Справочники!$A$2:$A$35)</f>
        <v>Рекламный отдел</v>
      </c>
      <c r="G54" s="6" t="s">
        <v>27</v>
      </c>
      <c r="H54" s="16">
        <f>LOOKUP(G54,Справочники!$B$2:$B$35,Справочники!$C$2:$C$35)</f>
        <v>22000</v>
      </c>
      <c r="I54" s="6" t="s">
        <v>14</v>
      </c>
      <c r="J54" s="11">
        <v>43539</v>
      </c>
      <c r="K54" s="11">
        <v>27737</v>
      </c>
      <c r="L54" s="10">
        <f t="shared" ca="1" si="0"/>
        <v>3</v>
      </c>
      <c r="M54" s="10">
        <f t="shared" ca="1" si="0"/>
        <v>46</v>
      </c>
      <c r="N54" s="10" t="str">
        <f>LOOKUP(F54,Справочники!$F$2:$F$10,Справочники!$H$2:$H$10)</f>
        <v>+7(8332)64-32-01</v>
      </c>
    </row>
    <row r="55" spans="1:14" ht="15" hidden="1" x14ac:dyDescent="0.25">
      <c r="A55" s="10">
        <v>149</v>
      </c>
      <c r="B55" s="12" t="s">
        <v>180</v>
      </c>
      <c r="C55" s="12" t="s">
        <v>181</v>
      </c>
      <c r="D55" s="12" t="s">
        <v>132</v>
      </c>
      <c r="E55" s="10" t="s">
        <v>17</v>
      </c>
      <c r="F55" s="10" t="str">
        <f>LOOKUP(G55,Справочники!$B$2:$B$35,Справочники!$A$2:$A$35)</f>
        <v>Транспортный отдел</v>
      </c>
      <c r="G55" s="6" t="s">
        <v>50</v>
      </c>
      <c r="H55" s="16">
        <f>LOOKUP(G55,Справочники!$B$2:$B$35,Справочники!$C$2:$C$35)</f>
        <v>12000</v>
      </c>
      <c r="I55" s="6" t="s">
        <v>33</v>
      </c>
      <c r="J55" s="11">
        <v>34759</v>
      </c>
      <c r="K55" s="11">
        <v>25186</v>
      </c>
      <c r="L55" s="10">
        <f t="shared" ca="1" si="0"/>
        <v>27</v>
      </c>
      <c r="M55" s="10">
        <f t="shared" ca="1" si="0"/>
        <v>53</v>
      </c>
      <c r="N55" s="10" t="str">
        <f>LOOKUP(F55,Справочники!$F$2:$F$10,Справочники!$H$2:$H$10)</f>
        <v>+7(8332)64-32-18</v>
      </c>
    </row>
    <row r="56" spans="1:14" ht="15" x14ac:dyDescent="0.25">
      <c r="A56" s="10">
        <v>150</v>
      </c>
      <c r="B56" s="12" t="s">
        <v>182</v>
      </c>
      <c r="C56" s="12" t="s">
        <v>75</v>
      </c>
      <c r="D56" s="12" t="s">
        <v>76</v>
      </c>
      <c r="E56" s="10" t="s">
        <v>9</v>
      </c>
      <c r="F56" s="10" t="str">
        <f>LOOKUP(G56,Справочники!$B$2:$B$35,Справочники!$A$2:$A$35)</f>
        <v>Редакторский отдел</v>
      </c>
      <c r="G56" s="6" t="s">
        <v>52</v>
      </c>
      <c r="H56" s="16">
        <f>LOOKUP(G56,Справочники!$B$2:$B$35,Справочники!$C$2:$C$35)</f>
        <v>16000</v>
      </c>
      <c r="I56" s="6" t="s">
        <v>14</v>
      </c>
      <c r="J56" s="11">
        <v>34714</v>
      </c>
      <c r="K56" s="11">
        <v>22250</v>
      </c>
      <c r="L56" s="10">
        <f t="shared" ca="1" si="0"/>
        <v>27</v>
      </c>
      <c r="M56" s="10">
        <f t="shared" ca="1" si="0"/>
        <v>61</v>
      </c>
      <c r="N56" s="10" t="str">
        <f>LOOKUP(F56,Справочники!$F$2:$F$10,Справочники!$H$2:$H$10)</f>
        <v>+7(8332)64-32-01</v>
      </c>
    </row>
    <row r="57" spans="1:14" ht="15" hidden="1" x14ac:dyDescent="0.25">
      <c r="A57" s="10">
        <v>151</v>
      </c>
      <c r="B57" s="12" t="s">
        <v>183</v>
      </c>
      <c r="C57" s="12" t="s">
        <v>161</v>
      </c>
      <c r="D57" s="12" t="s">
        <v>184</v>
      </c>
      <c r="E57" s="10" t="s">
        <v>9</v>
      </c>
      <c r="F57" s="10" t="str">
        <f>LOOKUP(G57,Справочники!$B$2:$B$35,Справочники!$A$2:$A$35)</f>
        <v>Редакторский отдел</v>
      </c>
      <c r="G57" s="7" t="s">
        <v>53</v>
      </c>
      <c r="H57" s="16">
        <f>LOOKUP(G57,Справочники!$B$2:$B$35,Справочники!$C$2:$C$35)</f>
        <v>19000</v>
      </c>
      <c r="I57" s="6" t="s">
        <v>25</v>
      </c>
      <c r="J57" s="11">
        <v>35445</v>
      </c>
      <c r="K57" s="11">
        <v>26821</v>
      </c>
      <c r="L57" s="10">
        <f t="shared" ca="1" si="0"/>
        <v>25</v>
      </c>
      <c r="M57" s="10">
        <f t="shared" ca="1" si="0"/>
        <v>49</v>
      </c>
      <c r="N57" s="10" t="str">
        <f>LOOKUP(F57,Справочники!$F$2:$F$10,Справочники!$H$2:$H$10)</f>
        <v>+7(8332)64-32-01</v>
      </c>
    </row>
    <row r="58" spans="1:14" ht="15" hidden="1" x14ac:dyDescent="0.25">
      <c r="A58" s="10">
        <v>152</v>
      </c>
      <c r="B58" s="12" t="s">
        <v>185</v>
      </c>
      <c r="C58" s="12" t="s">
        <v>186</v>
      </c>
      <c r="D58" s="12" t="s">
        <v>76</v>
      </c>
      <c r="E58" s="10" t="s">
        <v>9</v>
      </c>
      <c r="F58" s="10" t="str">
        <f>LOOKUP(G58,Справочники!$B$2:$B$35,Справочники!$A$2:$A$35)</f>
        <v>Редакторский отдел</v>
      </c>
      <c r="G58" s="7" t="s">
        <v>54</v>
      </c>
      <c r="H58" s="16">
        <f>LOOKUP(G58,Справочники!$B$2:$B$35,Справочники!$C$2:$C$35)</f>
        <v>14000</v>
      </c>
      <c r="I58" s="6" t="s">
        <v>25</v>
      </c>
      <c r="J58" s="11">
        <v>40998</v>
      </c>
      <c r="K58" s="11">
        <v>30213</v>
      </c>
      <c r="L58" s="10">
        <f t="shared" ca="1" si="0"/>
        <v>10</v>
      </c>
      <c r="M58" s="10">
        <f t="shared" ca="1" si="0"/>
        <v>40</v>
      </c>
      <c r="N58" s="10" t="str">
        <f>LOOKUP(F58,Справочники!$F$2:$F$10,Справочники!$H$2:$H$10)</f>
        <v>+7(8332)64-32-01</v>
      </c>
    </row>
    <row r="59" spans="1:14" ht="15" hidden="1" x14ac:dyDescent="0.25">
      <c r="A59" s="10">
        <v>153</v>
      </c>
      <c r="B59" s="12" t="s">
        <v>187</v>
      </c>
      <c r="C59" s="12" t="s">
        <v>158</v>
      </c>
      <c r="D59" s="12" t="s">
        <v>111</v>
      </c>
      <c r="E59" s="10" t="s">
        <v>9</v>
      </c>
      <c r="F59" s="10" t="str">
        <f>LOOKUP(G59,Справочники!$B$2:$B$35,Справочники!$A$2:$A$35)</f>
        <v>Редакторский отдел</v>
      </c>
      <c r="G59" s="6" t="s">
        <v>52</v>
      </c>
      <c r="H59" s="16">
        <f>LOOKUP(G59,Справочники!$B$2:$B$35,Справочники!$C$2:$C$35)</f>
        <v>16000</v>
      </c>
      <c r="I59" s="6" t="s">
        <v>14</v>
      </c>
      <c r="J59" s="11">
        <v>36220</v>
      </c>
      <c r="K59" s="11">
        <v>26580</v>
      </c>
      <c r="L59" s="10">
        <f t="shared" ca="1" si="0"/>
        <v>23</v>
      </c>
      <c r="M59" s="10">
        <f t="shared" ca="1" si="0"/>
        <v>50</v>
      </c>
      <c r="N59" s="10" t="str">
        <f>LOOKUP(F59,Справочники!$F$2:$F$10,Справочники!$H$2:$H$10)</f>
        <v>+7(8332)64-32-01</v>
      </c>
    </row>
    <row r="60" spans="1:14" ht="15" x14ac:dyDescent="0.25">
      <c r="A60" s="10">
        <v>154</v>
      </c>
      <c r="B60" s="12" t="s">
        <v>188</v>
      </c>
      <c r="C60" s="12" t="s">
        <v>189</v>
      </c>
      <c r="D60" s="12" t="s">
        <v>162</v>
      </c>
      <c r="E60" s="10" t="s">
        <v>9</v>
      </c>
      <c r="F60" s="10" t="str">
        <f>LOOKUP(G60,Справочники!$B$2:$B$35,Справочники!$A$2:$A$35)</f>
        <v>Редакторский отдел</v>
      </c>
      <c r="G60" s="7" t="s">
        <v>54</v>
      </c>
      <c r="H60" s="16">
        <f>LOOKUP(G60,Справочники!$B$2:$B$35,Справочники!$C$2:$C$35)</f>
        <v>14000</v>
      </c>
      <c r="I60" s="6" t="s">
        <v>14</v>
      </c>
      <c r="J60" s="11">
        <v>35258</v>
      </c>
      <c r="K60" s="11">
        <v>21600</v>
      </c>
      <c r="L60" s="10">
        <f t="shared" ca="1" si="0"/>
        <v>26</v>
      </c>
      <c r="M60" s="10">
        <f t="shared" ca="1" si="0"/>
        <v>63</v>
      </c>
      <c r="N60" s="10" t="str">
        <f>LOOKUP(F60,Справочники!$F$2:$F$10,Справочники!$H$2:$H$10)</f>
        <v>+7(8332)64-32-01</v>
      </c>
    </row>
    <row r="61" spans="1:14" ht="15" x14ac:dyDescent="0.25">
      <c r="A61" s="10">
        <v>155</v>
      </c>
      <c r="B61" s="12" t="s">
        <v>190</v>
      </c>
      <c r="C61" s="12" t="s">
        <v>191</v>
      </c>
      <c r="D61" s="12" t="s">
        <v>192</v>
      </c>
      <c r="E61" s="10" t="s">
        <v>9</v>
      </c>
      <c r="F61" s="10" t="str">
        <f>LOOKUP(G61,Справочники!$B$2:$B$35,Справочники!$A$2:$A$35)</f>
        <v>Редакторский отдел</v>
      </c>
      <c r="G61" s="7" t="s">
        <v>55</v>
      </c>
      <c r="H61" s="16">
        <f>LOOKUP(G61,Справочники!$B$2:$B$35,Справочники!$C$2:$C$35)</f>
        <v>14000</v>
      </c>
      <c r="I61" s="6" t="s">
        <v>14</v>
      </c>
      <c r="J61" s="11">
        <v>35442</v>
      </c>
      <c r="K61" s="11">
        <v>24134</v>
      </c>
      <c r="L61" s="10">
        <f t="shared" ca="1" si="0"/>
        <v>25</v>
      </c>
      <c r="M61" s="10">
        <f t="shared" ca="1" si="0"/>
        <v>56</v>
      </c>
      <c r="N61" s="10" t="str">
        <f>LOOKUP(F61,Справочники!$F$2:$F$10,Справочники!$H$2:$H$10)</f>
        <v>+7(8332)64-32-01</v>
      </c>
    </row>
    <row r="62" spans="1:14" ht="15" x14ac:dyDescent="0.25">
      <c r="A62" s="10">
        <v>156</v>
      </c>
      <c r="B62" s="12" t="s">
        <v>193</v>
      </c>
      <c r="C62" s="12" t="s">
        <v>108</v>
      </c>
      <c r="D62" s="12" t="s">
        <v>194</v>
      </c>
      <c r="E62" s="10" t="s">
        <v>9</v>
      </c>
      <c r="F62" s="10" t="str">
        <f>LOOKUP(G62,Справочники!$B$2:$B$35,Справочники!$A$2:$A$35)</f>
        <v>Редакторский отдел</v>
      </c>
      <c r="G62" s="7" t="s">
        <v>55</v>
      </c>
      <c r="H62" s="16">
        <f>LOOKUP(G62,Справочники!$B$2:$B$35,Справочники!$C$2:$C$35)</f>
        <v>14000</v>
      </c>
      <c r="I62" s="6" t="s">
        <v>25</v>
      </c>
      <c r="J62" s="11">
        <v>35460</v>
      </c>
      <c r="K62" s="11">
        <v>21194</v>
      </c>
      <c r="L62" s="10">
        <f t="shared" ca="1" si="0"/>
        <v>25</v>
      </c>
      <c r="M62" s="10">
        <f t="shared" ca="1" si="0"/>
        <v>64</v>
      </c>
      <c r="N62" s="10" t="str">
        <f>LOOKUP(F62,Справочники!$F$2:$F$10,Справочники!$H$2:$H$10)</f>
        <v>+7(8332)64-32-01</v>
      </c>
    </row>
    <row r="63" spans="1:14" ht="15" hidden="1" x14ac:dyDescent="0.25">
      <c r="A63" s="10">
        <v>157</v>
      </c>
      <c r="B63" s="12" t="s">
        <v>195</v>
      </c>
      <c r="C63" s="12" t="s">
        <v>196</v>
      </c>
      <c r="D63" s="12" t="s">
        <v>197</v>
      </c>
      <c r="E63" s="10" t="s">
        <v>9</v>
      </c>
      <c r="F63" s="10" t="str">
        <f>LOOKUP(G63,Справочники!$B$2:$B$35,Справочники!$A$2:$A$35)</f>
        <v>Технологический отдел</v>
      </c>
      <c r="G63" s="6" t="s">
        <v>31</v>
      </c>
      <c r="H63" s="16">
        <f>LOOKUP(G63,Справочники!$B$2:$B$35,Справочники!$C$2:$C$35)</f>
        <v>12000</v>
      </c>
      <c r="I63" s="6" t="s">
        <v>12</v>
      </c>
      <c r="J63" s="11">
        <v>39887</v>
      </c>
      <c r="K63" s="11">
        <v>30205</v>
      </c>
      <c r="L63" s="10">
        <f t="shared" ca="1" si="0"/>
        <v>13</v>
      </c>
      <c r="M63" s="10">
        <f t="shared" ca="1" si="0"/>
        <v>40</v>
      </c>
      <c r="N63" s="10" t="str">
        <f>LOOKUP(F63,Справочники!$F$2:$F$10,Справочники!$H$2:$H$10)</f>
        <v>+7(8332)64-32-18</v>
      </c>
    </row>
    <row r="64" spans="1:14" ht="15" x14ac:dyDescent="0.25">
      <c r="A64" s="10">
        <v>158</v>
      </c>
      <c r="B64" s="12" t="s">
        <v>198</v>
      </c>
      <c r="C64" s="12" t="s">
        <v>199</v>
      </c>
      <c r="D64" s="12" t="s">
        <v>159</v>
      </c>
      <c r="E64" s="10" t="s">
        <v>9</v>
      </c>
      <c r="F64" s="10" t="str">
        <f>LOOKUP(G64,Справочники!$B$2:$B$35,Справочники!$A$2:$A$35)</f>
        <v>Редакторский отдел</v>
      </c>
      <c r="G64" s="7" t="s">
        <v>54</v>
      </c>
      <c r="H64" s="16">
        <f>LOOKUP(G64,Справочники!$B$2:$B$35,Справочники!$C$2:$C$35)</f>
        <v>14000</v>
      </c>
      <c r="I64" s="6" t="s">
        <v>14</v>
      </c>
      <c r="J64" s="11">
        <v>35122</v>
      </c>
      <c r="K64" s="11">
        <v>23253</v>
      </c>
      <c r="L64" s="10">
        <f t="shared" ca="1" si="0"/>
        <v>26</v>
      </c>
      <c r="M64" s="10">
        <f t="shared" ca="1" si="0"/>
        <v>59</v>
      </c>
      <c r="N64" s="10" t="str">
        <f>LOOKUP(F64,Справочники!$F$2:$F$10,Справочники!$H$2:$H$10)</f>
        <v>+7(8332)64-32-01</v>
      </c>
    </row>
    <row r="65" spans="1:14" ht="15" x14ac:dyDescent="0.25">
      <c r="A65" s="10">
        <v>159</v>
      </c>
      <c r="B65" s="12" t="s">
        <v>200</v>
      </c>
      <c r="C65" s="12" t="s">
        <v>158</v>
      </c>
      <c r="D65" s="12" t="s">
        <v>201</v>
      </c>
      <c r="E65" s="10" t="s">
        <v>9</v>
      </c>
      <c r="F65" s="10" t="str">
        <f>LOOKUP(G65,Справочники!$B$2:$B$35,Справочники!$A$2:$A$35)</f>
        <v>Редакторский отдел</v>
      </c>
      <c r="G65" s="7" t="s">
        <v>55</v>
      </c>
      <c r="H65" s="16">
        <f>LOOKUP(G65,Справочники!$B$2:$B$35,Справочники!$C$2:$C$35)</f>
        <v>14000</v>
      </c>
      <c r="I65" s="6" t="s">
        <v>14</v>
      </c>
      <c r="J65" s="11">
        <v>35032</v>
      </c>
      <c r="K65" s="11">
        <v>22065</v>
      </c>
      <c r="L65" s="10">
        <f t="shared" ca="1" si="0"/>
        <v>26</v>
      </c>
      <c r="M65" s="10">
        <f t="shared" ca="1" si="0"/>
        <v>62</v>
      </c>
      <c r="N65" s="10" t="str">
        <f>LOOKUP(F65,Справочники!$F$2:$F$10,Справочники!$H$2:$H$10)</f>
        <v>+7(8332)64-32-01</v>
      </c>
    </row>
    <row r="66" spans="1:14" ht="15" hidden="1" x14ac:dyDescent="0.25">
      <c r="A66" s="10">
        <v>160</v>
      </c>
      <c r="B66" s="12" t="s">
        <v>202</v>
      </c>
      <c r="C66" s="12" t="s">
        <v>203</v>
      </c>
      <c r="D66" s="12" t="s">
        <v>127</v>
      </c>
      <c r="E66" s="10" t="s">
        <v>9</v>
      </c>
      <c r="F66" s="10" t="str">
        <f>LOOKUP(G66,Справочники!$B$2:$B$35,Справочники!$A$2:$A$35)</f>
        <v>Редакторский отдел</v>
      </c>
      <c r="G66" s="7" t="s">
        <v>55</v>
      </c>
      <c r="H66" s="16">
        <f>LOOKUP(G66,Справочники!$B$2:$B$35,Справочники!$C$2:$C$35)</f>
        <v>14000</v>
      </c>
      <c r="I66" s="6" t="s">
        <v>14</v>
      </c>
      <c r="J66" s="11">
        <v>42991</v>
      </c>
      <c r="K66" s="11">
        <v>32936</v>
      </c>
      <c r="L66" s="10">
        <f t="shared" ca="1" si="0"/>
        <v>5</v>
      </c>
      <c r="M66" s="10">
        <f t="shared" ca="1" si="0"/>
        <v>32</v>
      </c>
      <c r="N66" s="10" t="str">
        <f>LOOKUP(F66,Справочники!$F$2:$F$10,Справочники!$H$2:$H$10)</f>
        <v>+7(8332)64-32-01</v>
      </c>
    </row>
    <row r="67" spans="1:14" ht="15" hidden="1" x14ac:dyDescent="0.25">
      <c r="A67" s="10">
        <v>161</v>
      </c>
      <c r="B67" s="12" t="s">
        <v>204</v>
      </c>
      <c r="C67" s="12" t="s">
        <v>205</v>
      </c>
      <c r="D67" s="12" t="s">
        <v>145</v>
      </c>
      <c r="E67" s="10" t="s">
        <v>17</v>
      </c>
      <c r="F67" s="10" t="str">
        <f>LOOKUP(G67,Справочники!$B$2:$B$35,Справочники!$A$2:$A$35)</f>
        <v>Транспортный отдел</v>
      </c>
      <c r="G67" s="6" t="s">
        <v>50</v>
      </c>
      <c r="H67" s="16">
        <f>LOOKUP(G67,Справочники!$B$2:$B$35,Справочники!$C$2:$C$35)</f>
        <v>12000</v>
      </c>
      <c r="I67" s="6" t="s">
        <v>12</v>
      </c>
      <c r="J67" s="11">
        <v>31108</v>
      </c>
      <c r="K67" s="11">
        <v>23891</v>
      </c>
      <c r="L67" s="10">
        <f t="shared" ca="1" si="0"/>
        <v>37</v>
      </c>
      <c r="M67" s="10">
        <f t="shared" ca="1" si="0"/>
        <v>57</v>
      </c>
      <c r="N67" s="10" t="str">
        <f>LOOKUP(F67,Справочники!$F$2:$F$10,Справочники!$H$2:$H$10)</f>
        <v>+7(8332)64-32-18</v>
      </c>
    </row>
    <row r="68" spans="1:14" ht="15" x14ac:dyDescent="0.25">
      <c r="A68" s="10">
        <v>162</v>
      </c>
      <c r="B68" s="12" t="s">
        <v>206</v>
      </c>
      <c r="C68" s="12" t="s">
        <v>100</v>
      </c>
      <c r="D68" s="12" t="s">
        <v>207</v>
      </c>
      <c r="E68" s="10" t="s">
        <v>17</v>
      </c>
      <c r="F68" s="10" t="str">
        <f>LOOKUP(G68,Справочники!$B$2:$B$35,Справочники!$A$2:$A$35)</f>
        <v>Транспортный отдел</v>
      </c>
      <c r="G68" s="6" t="s">
        <v>50</v>
      </c>
      <c r="H68" s="16">
        <f>LOOKUP(G68,Справочники!$B$2:$B$35,Справочники!$C$2:$C$35)</f>
        <v>12000</v>
      </c>
      <c r="I68" s="6" t="s">
        <v>12</v>
      </c>
      <c r="J68" s="11">
        <v>32023</v>
      </c>
      <c r="K68" s="11">
        <v>22893</v>
      </c>
      <c r="L68" s="10">
        <f t="shared" ca="1" si="0"/>
        <v>35</v>
      </c>
      <c r="M68" s="10">
        <f t="shared" ca="1" si="0"/>
        <v>60</v>
      </c>
      <c r="N68" s="10" t="str">
        <f>LOOKUP(F68,Справочники!$F$2:$F$10,Справочники!$H$2:$H$10)</f>
        <v>+7(8332)64-32-18</v>
      </c>
    </row>
    <row r="69" spans="1:14" ht="15" hidden="1" x14ac:dyDescent="0.25">
      <c r="A69" s="10">
        <v>163</v>
      </c>
      <c r="B69" s="12" t="s">
        <v>208</v>
      </c>
      <c r="C69" s="12" t="s">
        <v>209</v>
      </c>
      <c r="D69" s="12" t="s">
        <v>93</v>
      </c>
      <c r="E69" s="10" t="s">
        <v>17</v>
      </c>
      <c r="F69" s="10" t="str">
        <f>LOOKUP(G69,Справочники!$B$2:$B$35,Справочники!$A$2:$A$35)</f>
        <v>Редакторский отдел</v>
      </c>
      <c r="G69" s="7" t="s">
        <v>56</v>
      </c>
      <c r="H69" s="16">
        <f>LOOKUP(G69,Справочники!$B$2:$B$35,Справочники!$C$2:$C$35)</f>
        <v>20000</v>
      </c>
      <c r="I69" s="6" t="s">
        <v>14</v>
      </c>
      <c r="J69" s="11">
        <v>35153</v>
      </c>
      <c r="K69" s="11">
        <v>24814</v>
      </c>
      <c r="L69" s="10">
        <f t="shared" ca="1" si="0"/>
        <v>26</v>
      </c>
      <c r="M69" s="10">
        <f t="shared" ca="1" si="0"/>
        <v>54</v>
      </c>
      <c r="N69" s="10" t="str">
        <f>LOOKUP(F69,Справочники!$F$2:$F$10,Справочники!$H$2:$H$10)</f>
        <v>+7(8332)64-32-01</v>
      </c>
    </row>
    <row r="70" spans="1:14" ht="15" hidden="1" x14ac:dyDescent="0.25">
      <c r="A70" s="10">
        <v>164</v>
      </c>
      <c r="B70" s="12" t="s">
        <v>210</v>
      </c>
      <c r="C70" s="12" t="s">
        <v>211</v>
      </c>
      <c r="D70" s="12" t="s">
        <v>148</v>
      </c>
      <c r="E70" s="10" t="s">
        <v>9</v>
      </c>
      <c r="F70" s="10" t="str">
        <f>LOOKUP(G70,Справочники!$B$2:$B$35,Справочники!$A$2:$A$35)</f>
        <v>Транспортный отдел</v>
      </c>
      <c r="G70" s="6" t="s">
        <v>57</v>
      </c>
      <c r="H70" s="16">
        <f>LOOKUP(G70,Справочники!$B$2:$B$35,Справочники!$C$2:$C$35)</f>
        <v>12000</v>
      </c>
      <c r="I70" s="6" t="s">
        <v>33</v>
      </c>
      <c r="J70" s="11">
        <v>43438</v>
      </c>
      <c r="K70" s="11">
        <v>34714</v>
      </c>
      <c r="L70" s="10">
        <f t="shared" ca="1" si="0"/>
        <v>3</v>
      </c>
      <c r="M70" s="10">
        <f t="shared" ca="1" si="0"/>
        <v>27</v>
      </c>
      <c r="N70" s="10" t="str">
        <f>LOOKUP(F70,Справочники!$F$2:$F$10,Справочники!$H$2:$H$10)</f>
        <v>+7(8332)64-32-18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64CF-BF0C-4D02-BA37-685A1824BBBA}">
  <sheetPr filterMode="1"/>
  <dimension ref="A1:N71"/>
  <sheetViews>
    <sheetView topLeftCell="D1" zoomScaleNormal="100" workbookViewId="0">
      <pane ySplit="1" topLeftCell="A2" activePane="bottomLeft" state="frozen"/>
      <selection pane="bottomLeft" activeCell="F58" sqref="F58"/>
    </sheetView>
  </sheetViews>
  <sheetFormatPr defaultRowHeight="12.75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4.7109375" style="18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x14ac:dyDescent="0.2">
      <c r="A2" s="1"/>
      <c r="B2" s="1"/>
      <c r="C2" s="1"/>
      <c r="D2" s="1"/>
      <c r="E2" s="2"/>
      <c r="F2" s="2"/>
      <c r="G2" s="37" t="s">
        <v>263</v>
      </c>
      <c r="H2" s="37"/>
      <c r="I2" s="2" t="s">
        <v>14</v>
      </c>
      <c r="J2" s="2"/>
      <c r="K2" s="3"/>
      <c r="L2" s="1"/>
      <c r="M2" s="1"/>
      <c r="N2" s="1"/>
    </row>
    <row r="3" spans="1:14" x14ac:dyDescent="0.2">
      <c r="A3" s="1"/>
      <c r="B3" s="1"/>
      <c r="C3" s="1"/>
      <c r="D3" s="1"/>
      <c r="E3" s="2"/>
      <c r="F3" s="2"/>
      <c r="G3" s="37" t="s">
        <v>263</v>
      </c>
      <c r="H3" s="37"/>
      <c r="I3" s="2" t="s">
        <v>25</v>
      </c>
      <c r="J3" s="2"/>
      <c r="K3" s="3"/>
      <c r="L3" s="1"/>
      <c r="M3" s="1"/>
      <c r="N3" s="1"/>
    </row>
    <row r="4" spans="1:14" x14ac:dyDescent="0.2">
      <c r="A4" s="1"/>
      <c r="B4" s="1"/>
      <c r="C4" s="1"/>
      <c r="D4" s="1"/>
      <c r="E4" s="2"/>
      <c r="F4" s="2"/>
      <c r="G4" s="37" t="s">
        <v>264</v>
      </c>
      <c r="H4" s="37"/>
      <c r="I4" s="2" t="s">
        <v>14</v>
      </c>
      <c r="J4" s="2"/>
      <c r="K4" s="3"/>
      <c r="L4" s="1"/>
      <c r="M4" s="1"/>
      <c r="N4" s="1"/>
    </row>
    <row r="5" spans="1:14" x14ac:dyDescent="0.2">
      <c r="A5" s="1"/>
      <c r="B5" s="1"/>
      <c r="C5" s="1"/>
      <c r="D5" s="1"/>
      <c r="E5" s="2"/>
      <c r="F5" s="2"/>
      <c r="G5" s="37" t="s">
        <v>264</v>
      </c>
      <c r="H5" s="37"/>
      <c r="I5" s="2" t="s">
        <v>25</v>
      </c>
      <c r="J5" s="2"/>
      <c r="K5" s="3"/>
      <c r="L5" s="1"/>
      <c r="M5" s="1"/>
      <c r="N5" s="1"/>
    </row>
    <row r="6" spans="1:14" x14ac:dyDescent="0.2">
      <c r="A6" s="1"/>
      <c r="B6" s="1"/>
      <c r="C6" s="1"/>
      <c r="D6" s="1"/>
      <c r="E6" s="2"/>
      <c r="F6" s="2"/>
      <c r="G6" s="2"/>
      <c r="H6" s="6"/>
      <c r="I6" s="2"/>
      <c r="J6" s="2"/>
      <c r="K6" s="3"/>
      <c r="L6" s="1"/>
      <c r="M6" s="1"/>
      <c r="N6" s="1"/>
    </row>
    <row r="7" spans="1:14" ht="25.5" x14ac:dyDescent="0.2">
      <c r="A7" s="1" t="s">
        <v>1</v>
      </c>
      <c r="B7" s="1" t="s">
        <v>212</v>
      </c>
      <c r="C7" s="1" t="s">
        <v>213</v>
      </c>
      <c r="D7" s="1" t="s">
        <v>214</v>
      </c>
      <c r="E7" s="2" t="s">
        <v>2</v>
      </c>
      <c r="F7" s="2" t="s">
        <v>3</v>
      </c>
      <c r="G7" s="2" t="s">
        <v>4</v>
      </c>
      <c r="H7" s="15" t="s">
        <v>0</v>
      </c>
      <c r="I7" s="2" t="s">
        <v>5</v>
      </c>
      <c r="J7" s="2" t="s">
        <v>6</v>
      </c>
      <c r="K7" s="3" t="s">
        <v>7</v>
      </c>
      <c r="L7" s="1" t="s">
        <v>215</v>
      </c>
      <c r="M7" s="1" t="s">
        <v>216</v>
      </c>
      <c r="N7" s="1" t="s">
        <v>8</v>
      </c>
    </row>
    <row r="8" spans="1:14" ht="15" hidden="1" x14ac:dyDescent="0.25">
      <c r="A8" s="10">
        <v>101</v>
      </c>
      <c r="B8" s="12" t="s">
        <v>68</v>
      </c>
      <c r="C8" s="12" t="s">
        <v>69</v>
      </c>
      <c r="D8" s="12" t="s">
        <v>70</v>
      </c>
      <c r="E8" s="10" t="s">
        <v>9</v>
      </c>
      <c r="F8" s="10" t="str">
        <f>LOOKUP(G8,Справочники!$B$2:$B$35,Справочники!$A$2:$A$35)</f>
        <v>Бухгалтерия</v>
      </c>
      <c r="G8" s="6" t="s">
        <v>11</v>
      </c>
      <c r="H8" s="16">
        <f>LOOKUP(G8,Справочники!$B$2:$B$35,Справочники!$C$2:$C$35)</f>
        <v>12000</v>
      </c>
      <c r="I8" s="6" t="s">
        <v>14</v>
      </c>
      <c r="J8" s="11">
        <v>38944</v>
      </c>
      <c r="K8" s="11">
        <v>30198</v>
      </c>
      <c r="L8" s="10">
        <f ca="1">DATEDIF(J8, TODAY(),"Y")</f>
        <v>16</v>
      </c>
      <c r="M8" s="10">
        <f ca="1">DATEDIF(K8, TODAY(),"Y")</f>
        <v>40</v>
      </c>
      <c r="N8" s="10" t="str">
        <f>LOOKUP(F8,Справочники!$F$2:$F$10,Справочники!$H$2:$H$10)</f>
        <v>+7(8332)64-32-01</v>
      </c>
    </row>
    <row r="9" spans="1:14" ht="15" hidden="1" x14ac:dyDescent="0.25">
      <c r="A9" s="10">
        <v>102</v>
      </c>
      <c r="B9" s="12" t="s">
        <v>71</v>
      </c>
      <c r="C9" s="12" t="s">
        <v>72</v>
      </c>
      <c r="D9" s="12" t="s">
        <v>73</v>
      </c>
      <c r="E9" s="10" t="s">
        <v>9</v>
      </c>
      <c r="F9" s="10" t="str">
        <f>LOOKUP(G9,Справочники!$B$2:$B$35,Справочники!$A$2:$A$35)</f>
        <v>Бухгалтерия</v>
      </c>
      <c r="G9" s="6" t="s">
        <v>13</v>
      </c>
      <c r="H9" s="16">
        <f>LOOKUP(G9,Справочники!$B$2:$B$35,Справочники!$C$2:$C$35)</f>
        <v>20000</v>
      </c>
      <c r="I9" s="6" t="s">
        <v>14</v>
      </c>
      <c r="J9" s="11">
        <v>34380</v>
      </c>
      <c r="K9" s="11">
        <v>25186</v>
      </c>
      <c r="L9" s="10">
        <f t="shared" ref="L9:M71" ca="1" si="0">DATEDIF(J9, TODAY(),"Y")</f>
        <v>28</v>
      </c>
      <c r="M9" s="10">
        <f t="shared" ca="1" si="0"/>
        <v>53</v>
      </c>
      <c r="N9" s="10" t="str">
        <f>LOOKUP(F9,Справочники!$F$2:$F$10,Справочники!$H$2:$H$10)</f>
        <v>+7(8332)64-32-01</v>
      </c>
    </row>
    <row r="10" spans="1:14" ht="15" hidden="1" x14ac:dyDescent="0.25">
      <c r="A10" s="10">
        <v>103</v>
      </c>
      <c r="B10" s="12" t="s">
        <v>74</v>
      </c>
      <c r="C10" s="12" t="s">
        <v>75</v>
      </c>
      <c r="D10" s="12" t="s">
        <v>76</v>
      </c>
      <c r="E10" s="10" t="s">
        <v>9</v>
      </c>
      <c r="F10" s="10" t="str">
        <f>LOOKUP(G10,Справочники!$B$2:$B$35,Справочники!$A$2:$A$35)</f>
        <v>Бухгалтерия</v>
      </c>
      <c r="G10" s="6" t="s">
        <v>15</v>
      </c>
      <c r="H10" s="16">
        <f>LOOKUP(G10,Справочники!$B$2:$B$35,Справочники!$C$2:$C$35)</f>
        <v>12000</v>
      </c>
      <c r="I10" s="6" t="s">
        <v>12</v>
      </c>
      <c r="J10" s="11">
        <v>42962</v>
      </c>
      <c r="K10" s="11">
        <v>34762</v>
      </c>
      <c r="L10" s="10">
        <f t="shared" ca="1" si="0"/>
        <v>5</v>
      </c>
      <c r="M10" s="10">
        <f t="shared" ca="1" si="0"/>
        <v>27</v>
      </c>
      <c r="N10" s="10" t="str">
        <f>LOOKUP(F10,Справочники!$F$2:$F$10,Справочники!$H$2:$H$10)</f>
        <v>+7(8332)64-32-01</v>
      </c>
    </row>
    <row r="11" spans="1:14" ht="15" hidden="1" x14ac:dyDescent="0.25">
      <c r="A11" s="10">
        <v>104</v>
      </c>
      <c r="B11" s="12" t="s">
        <v>77</v>
      </c>
      <c r="C11" s="12" t="s">
        <v>78</v>
      </c>
      <c r="D11" s="12" t="s">
        <v>79</v>
      </c>
      <c r="E11" s="10" t="s">
        <v>9</v>
      </c>
      <c r="F11" s="10" t="str">
        <f>LOOKUP(G11,Справочники!$B$2:$B$35,Справочники!$A$2:$A$35)</f>
        <v>Бухгалтерия</v>
      </c>
      <c r="G11" s="6" t="s">
        <v>16</v>
      </c>
      <c r="H11" s="16">
        <f>LOOKUP(G11,Справочники!$B$2:$B$35,Справочники!$C$2:$C$35)</f>
        <v>15000</v>
      </c>
      <c r="I11" s="6" t="s">
        <v>14</v>
      </c>
      <c r="J11" s="11">
        <v>41530</v>
      </c>
      <c r="K11" s="11">
        <v>25346</v>
      </c>
      <c r="L11" s="10">
        <f t="shared" ca="1" si="0"/>
        <v>9</v>
      </c>
      <c r="M11" s="10">
        <f t="shared" ca="1" si="0"/>
        <v>53</v>
      </c>
      <c r="N11" s="10" t="str">
        <f>LOOKUP(F11,Справочники!$F$2:$F$10,Справочники!$H$2:$H$10)</f>
        <v>+7(8332)64-32-01</v>
      </c>
    </row>
    <row r="12" spans="1:14" ht="15" x14ac:dyDescent="0.25">
      <c r="A12" s="10">
        <v>105</v>
      </c>
      <c r="B12" s="12" t="s">
        <v>80</v>
      </c>
      <c r="C12" s="12" t="s">
        <v>81</v>
      </c>
      <c r="D12" s="12" t="s">
        <v>82</v>
      </c>
      <c r="E12" s="10" t="s">
        <v>17</v>
      </c>
      <c r="F12" s="10" t="str">
        <f>LOOKUP(G12,Справочники!$B$2:$B$35,Справочники!$A$2:$A$35)</f>
        <v>Бухгалтерия</v>
      </c>
      <c r="G12" s="6" t="s">
        <v>18</v>
      </c>
      <c r="H12" s="16">
        <f>LOOKUP(G12,Справочники!$B$2:$B$35,Справочники!$C$2:$C$35)</f>
        <v>17000</v>
      </c>
      <c r="I12" s="6" t="s">
        <v>14</v>
      </c>
      <c r="J12" s="11">
        <v>41165</v>
      </c>
      <c r="K12" s="11">
        <v>31196</v>
      </c>
      <c r="L12" s="10">
        <f t="shared" ca="1" si="0"/>
        <v>10</v>
      </c>
      <c r="M12" s="10">
        <f t="shared" ca="1" si="0"/>
        <v>37</v>
      </c>
      <c r="N12" s="10" t="str">
        <f>LOOKUP(F12,Справочники!$F$2:$F$10,Справочники!$H$2:$H$10)</f>
        <v>+7(8332)64-32-01</v>
      </c>
    </row>
    <row r="13" spans="1:14" ht="15" hidden="1" x14ac:dyDescent="0.25">
      <c r="A13" s="10">
        <v>106</v>
      </c>
      <c r="B13" s="12" t="s">
        <v>83</v>
      </c>
      <c r="C13" s="12" t="s">
        <v>84</v>
      </c>
      <c r="D13" s="12" t="s">
        <v>85</v>
      </c>
      <c r="E13" s="10" t="s">
        <v>17</v>
      </c>
      <c r="F13" s="10" t="str">
        <f>LOOKUP(G13,Справочники!$B$2:$B$35,Справочники!$A$2:$A$35)</f>
        <v>Бухгалтерия</v>
      </c>
      <c r="G13" s="6" t="s">
        <v>11</v>
      </c>
      <c r="H13" s="16">
        <f>LOOKUP(G13,Справочники!$B$2:$B$35,Справочники!$C$2:$C$35)</f>
        <v>12000</v>
      </c>
      <c r="I13" s="6" t="s">
        <v>25</v>
      </c>
      <c r="J13" s="11">
        <v>42626</v>
      </c>
      <c r="K13" s="11">
        <v>31062</v>
      </c>
      <c r="L13" s="10">
        <f t="shared" ca="1" si="0"/>
        <v>6</v>
      </c>
      <c r="M13" s="10">
        <f t="shared" ca="1" si="0"/>
        <v>37</v>
      </c>
      <c r="N13" s="10" t="str">
        <f>LOOKUP(F13,Справочники!$F$2:$F$10,Справочники!$H$2:$H$10)</f>
        <v>+7(8332)64-32-01</v>
      </c>
    </row>
    <row r="14" spans="1:14" ht="15" hidden="1" x14ac:dyDescent="0.25">
      <c r="A14" s="10">
        <v>107</v>
      </c>
      <c r="B14" s="12" t="s">
        <v>86</v>
      </c>
      <c r="C14" s="12" t="s">
        <v>87</v>
      </c>
      <c r="D14" s="12" t="s">
        <v>88</v>
      </c>
      <c r="E14" s="10" t="s">
        <v>9</v>
      </c>
      <c r="F14" s="10" t="str">
        <f>LOOKUP(G14,Справочники!$B$2:$B$35,Справочники!$A$2:$A$35)</f>
        <v>Управление</v>
      </c>
      <c r="G14" s="6" t="s">
        <v>20</v>
      </c>
      <c r="H14" s="16">
        <f>LOOKUP(G14,Справочники!$B$2:$B$35,Справочники!$C$2:$C$35)</f>
        <v>15000</v>
      </c>
      <c r="I14" s="6" t="s">
        <v>12</v>
      </c>
      <c r="J14" s="11">
        <v>39956</v>
      </c>
      <c r="K14" s="11">
        <v>30254</v>
      </c>
      <c r="L14" s="10">
        <f t="shared" ca="1" si="0"/>
        <v>13</v>
      </c>
      <c r="M14" s="10">
        <f t="shared" ca="1" si="0"/>
        <v>40</v>
      </c>
      <c r="N14" s="10" t="str">
        <f>LOOKUP(F14,Справочники!$F$2:$F$10,Справочники!$H$2:$H$10)</f>
        <v>+7(8332)64-32-18</v>
      </c>
    </row>
    <row r="15" spans="1:14" ht="15" hidden="1" x14ac:dyDescent="0.25">
      <c r="A15" s="10">
        <v>108</v>
      </c>
      <c r="B15" s="12" t="s">
        <v>89</v>
      </c>
      <c r="C15" s="12" t="s">
        <v>90</v>
      </c>
      <c r="D15" s="12" t="s">
        <v>91</v>
      </c>
      <c r="E15" s="10" t="s">
        <v>17</v>
      </c>
      <c r="F15" s="10" t="str">
        <f>LOOKUP(G15,Справочники!$B$2:$B$35,Справочники!$A$2:$A$35)</f>
        <v>Управление</v>
      </c>
      <c r="G15" s="6" t="s">
        <v>21</v>
      </c>
      <c r="H15" s="16">
        <f>LOOKUP(G15,Справочники!$B$2:$B$35,Справочники!$C$2:$C$35)</f>
        <v>35000</v>
      </c>
      <c r="I15" s="6" t="s">
        <v>14</v>
      </c>
      <c r="J15" s="11">
        <v>38579</v>
      </c>
      <c r="K15" s="11">
        <v>28499</v>
      </c>
      <c r="L15" s="10">
        <f t="shared" ca="1" si="0"/>
        <v>17</v>
      </c>
      <c r="M15" s="10">
        <f t="shared" ca="1" si="0"/>
        <v>44</v>
      </c>
      <c r="N15" s="10" t="str">
        <f>LOOKUP(F15,Справочники!$F$2:$F$10,Справочники!$H$2:$H$10)</f>
        <v>+7(8332)64-32-18</v>
      </c>
    </row>
    <row r="16" spans="1:14" ht="15" x14ac:dyDescent="0.25">
      <c r="A16" s="10">
        <v>109</v>
      </c>
      <c r="B16" s="12" t="s">
        <v>92</v>
      </c>
      <c r="C16" s="12" t="s">
        <v>81</v>
      </c>
      <c r="D16" s="12" t="s">
        <v>93</v>
      </c>
      <c r="E16" s="10" t="s">
        <v>17</v>
      </c>
      <c r="F16" s="10" t="str">
        <f>LOOKUP(G16,Справочники!$B$2:$B$35,Справочники!$A$2:$A$35)</f>
        <v>Управление</v>
      </c>
      <c r="G16" s="6" t="s">
        <v>22</v>
      </c>
      <c r="H16" s="16">
        <f>LOOKUP(G16,Справочники!$B$2:$B$35,Справочники!$C$2:$C$35)</f>
        <v>28000</v>
      </c>
      <c r="I16" s="6" t="s">
        <v>14</v>
      </c>
      <c r="J16" s="11">
        <v>39103</v>
      </c>
      <c r="K16" s="11">
        <v>27786</v>
      </c>
      <c r="L16" s="10">
        <f t="shared" ca="1" si="0"/>
        <v>15</v>
      </c>
      <c r="M16" s="10">
        <f t="shared" ca="1" si="0"/>
        <v>46</v>
      </c>
      <c r="N16" s="10" t="str">
        <f>LOOKUP(F16,Справочники!$F$2:$F$10,Справочники!$H$2:$H$10)</f>
        <v>+7(8332)64-32-18</v>
      </c>
    </row>
    <row r="17" spans="1:14" ht="15" hidden="1" x14ac:dyDescent="0.25">
      <c r="A17" s="10">
        <v>110</v>
      </c>
      <c r="B17" s="12" t="s">
        <v>94</v>
      </c>
      <c r="C17" s="12" t="s">
        <v>95</v>
      </c>
      <c r="D17" s="12" t="s">
        <v>96</v>
      </c>
      <c r="E17" s="10" t="s">
        <v>9</v>
      </c>
      <c r="F17" s="10" t="str">
        <f>LOOKUP(G17,Справочники!$B$2:$B$35,Справочники!$A$2:$A$35)</f>
        <v>Управление</v>
      </c>
      <c r="G17" s="6" t="s">
        <v>23</v>
      </c>
      <c r="H17" s="16">
        <f>LOOKUP(G17,Справочники!$B$2:$B$35,Справочники!$C$2:$C$35)</f>
        <v>30000</v>
      </c>
      <c r="I17" s="6" t="s">
        <v>14</v>
      </c>
      <c r="J17" s="11">
        <v>34436</v>
      </c>
      <c r="K17" s="11">
        <v>26821</v>
      </c>
      <c r="L17" s="10">
        <f t="shared" ca="1" si="0"/>
        <v>28</v>
      </c>
      <c r="M17" s="10">
        <f t="shared" ca="1" si="0"/>
        <v>49</v>
      </c>
      <c r="N17" s="10" t="str">
        <f>LOOKUP(F17,Справочники!$F$2:$F$10,Справочники!$H$2:$H$10)</f>
        <v>+7(8332)64-32-18</v>
      </c>
    </row>
    <row r="18" spans="1:14" ht="15" hidden="1" x14ac:dyDescent="0.25">
      <c r="A18" s="10">
        <v>111</v>
      </c>
      <c r="B18" s="12" t="s">
        <v>97</v>
      </c>
      <c r="C18" s="12" t="s">
        <v>98</v>
      </c>
      <c r="D18" s="12" t="s">
        <v>76</v>
      </c>
      <c r="E18" s="10" t="s">
        <v>9</v>
      </c>
      <c r="F18" s="10" t="str">
        <f>LOOKUP(G18,Справочники!$B$2:$B$35,Справочники!$A$2:$A$35)</f>
        <v>Управление</v>
      </c>
      <c r="G18" s="6" t="s">
        <v>24</v>
      </c>
      <c r="H18" s="16">
        <f>LOOKUP(G18,Справочники!$B$2:$B$35,Справочники!$C$2:$C$35)</f>
        <v>15000</v>
      </c>
      <c r="I18" s="6" t="s">
        <v>25</v>
      </c>
      <c r="J18" s="11">
        <v>42960</v>
      </c>
      <c r="K18" s="11">
        <v>33207</v>
      </c>
      <c r="L18" s="10">
        <f t="shared" ca="1" si="0"/>
        <v>5</v>
      </c>
      <c r="M18" s="10">
        <f t="shared" ca="1" si="0"/>
        <v>31</v>
      </c>
      <c r="N18" s="10" t="str">
        <f>LOOKUP(F18,Справочники!$F$2:$F$10,Справочники!$H$2:$H$10)</f>
        <v>+7(8332)64-32-18</v>
      </c>
    </row>
    <row r="19" spans="1:14" ht="15" hidden="1" x14ac:dyDescent="0.25">
      <c r="A19" s="10">
        <v>112</v>
      </c>
      <c r="B19" s="12" t="s">
        <v>99</v>
      </c>
      <c r="C19" s="12" t="s">
        <v>100</v>
      </c>
      <c r="D19" s="12" t="s">
        <v>101</v>
      </c>
      <c r="E19" s="10" t="s">
        <v>17</v>
      </c>
      <c r="F19" s="10" t="str">
        <f>LOOKUP(G19,Справочники!$B$2:$B$35,Справочники!$A$2:$A$35)</f>
        <v>Рекламный отдел</v>
      </c>
      <c r="G19" s="6" t="s">
        <v>27</v>
      </c>
      <c r="H19" s="16">
        <f>LOOKUP(G19,Справочники!$B$2:$B$35,Справочники!$C$2:$C$35)</f>
        <v>22000</v>
      </c>
      <c r="I19" s="6" t="s">
        <v>14</v>
      </c>
      <c r="J19" s="11">
        <v>40966</v>
      </c>
      <c r="K19" s="11">
        <v>31390</v>
      </c>
      <c r="L19" s="10">
        <f t="shared" ca="1" si="0"/>
        <v>10</v>
      </c>
      <c r="M19" s="10">
        <f t="shared" ca="1" si="0"/>
        <v>36</v>
      </c>
      <c r="N19" s="10" t="str">
        <f>LOOKUP(F19,Справочники!$F$2:$F$10,Справочники!$H$2:$H$10)</f>
        <v>+7(8332)64-32-01</v>
      </c>
    </row>
    <row r="20" spans="1:14" ht="15" x14ac:dyDescent="0.25">
      <c r="A20" s="10">
        <v>113</v>
      </c>
      <c r="B20" s="12" t="s">
        <v>102</v>
      </c>
      <c r="C20" s="12" t="s">
        <v>98</v>
      </c>
      <c r="D20" s="12" t="s">
        <v>103</v>
      </c>
      <c r="E20" s="10" t="s">
        <v>9</v>
      </c>
      <c r="F20" s="10" t="str">
        <f>LOOKUP(G20,Справочники!$B$2:$B$35,Справочники!$A$2:$A$35)</f>
        <v>Рекламный отдел</v>
      </c>
      <c r="G20" s="6" t="s">
        <v>28</v>
      </c>
      <c r="H20" s="16">
        <f>LOOKUP(G20,Справочники!$B$2:$B$35,Справочники!$C$2:$C$35)</f>
        <v>18000</v>
      </c>
      <c r="I20" s="6" t="s">
        <v>14</v>
      </c>
      <c r="J20" s="11">
        <v>34788</v>
      </c>
      <c r="K20" s="11">
        <v>25186</v>
      </c>
      <c r="L20" s="10">
        <f t="shared" ca="1" si="0"/>
        <v>27</v>
      </c>
      <c r="M20" s="10">
        <f t="shared" ca="1" si="0"/>
        <v>53</v>
      </c>
      <c r="N20" s="10" t="str">
        <f>LOOKUP(F20,Справочники!$F$2:$F$10,Справочники!$H$2:$H$10)</f>
        <v>+7(8332)64-32-01</v>
      </c>
    </row>
    <row r="21" spans="1:14" ht="15" hidden="1" x14ac:dyDescent="0.25">
      <c r="A21" s="10">
        <v>114</v>
      </c>
      <c r="B21" s="12" t="s">
        <v>104</v>
      </c>
      <c r="C21" s="12" t="s">
        <v>105</v>
      </c>
      <c r="D21" s="12" t="s">
        <v>106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30</v>
      </c>
      <c r="H21" s="16">
        <f>LOOKUP(G21,Справочники!$B$2:$B$35,Справочники!$C$2:$C$35)</f>
        <v>22000</v>
      </c>
      <c r="I21" s="6" t="s">
        <v>14</v>
      </c>
      <c r="J21" s="11">
        <v>43356</v>
      </c>
      <c r="K21" s="11">
        <v>24300</v>
      </c>
      <c r="L21" s="10">
        <f t="shared" ca="1" si="0"/>
        <v>4</v>
      </c>
      <c r="M21" s="10">
        <f t="shared" ca="1" si="0"/>
        <v>56</v>
      </c>
      <c r="N21" s="10" t="str">
        <f>LOOKUP(F21,Справочники!$F$2:$F$10,Справочники!$H$2:$H$10)</f>
        <v>+7(8332)64-32-18</v>
      </c>
    </row>
    <row r="22" spans="1:14" ht="15" hidden="1" x14ac:dyDescent="0.25">
      <c r="A22" s="10">
        <v>115</v>
      </c>
      <c r="B22" s="12" t="s">
        <v>107</v>
      </c>
      <c r="C22" s="12" t="s">
        <v>108</v>
      </c>
      <c r="D22" s="12" t="s">
        <v>76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31</v>
      </c>
      <c r="H22" s="16">
        <f>LOOKUP(G22,Справочники!$B$2:$B$35,Справочники!$C$2:$C$35)</f>
        <v>12000</v>
      </c>
      <c r="I22" s="6" t="s">
        <v>12</v>
      </c>
      <c r="J22" s="11">
        <v>35096</v>
      </c>
      <c r="K22" s="11">
        <v>26553</v>
      </c>
      <c r="L22" s="10">
        <f t="shared" ca="1" si="0"/>
        <v>26</v>
      </c>
      <c r="M22" s="10">
        <f t="shared" ca="1" si="0"/>
        <v>50</v>
      </c>
      <c r="N22" s="10" t="str">
        <f>LOOKUP(F22,Справочники!$F$2:$F$10,Справочники!$H$2:$H$10)</f>
        <v>+7(8332)64-32-18</v>
      </c>
    </row>
    <row r="23" spans="1:14" ht="15" hidden="1" x14ac:dyDescent="0.25">
      <c r="A23" s="10">
        <v>116</v>
      </c>
      <c r="B23" s="12" t="s">
        <v>109</v>
      </c>
      <c r="C23" s="12" t="s">
        <v>110</v>
      </c>
      <c r="D23" s="12" t="s">
        <v>111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32</v>
      </c>
      <c r="H23" s="16">
        <f>LOOKUP(G23,Справочники!$B$2:$B$35,Справочники!$C$2:$C$35)</f>
        <v>15000</v>
      </c>
      <c r="I23" s="6" t="s">
        <v>12</v>
      </c>
      <c r="J23" s="11">
        <v>35292</v>
      </c>
      <c r="K23" s="11">
        <v>25810</v>
      </c>
      <c r="L23" s="10">
        <f t="shared" ca="1" si="0"/>
        <v>26</v>
      </c>
      <c r="M23" s="10">
        <f t="shared" ca="1" si="0"/>
        <v>52</v>
      </c>
      <c r="N23" s="10" t="str">
        <f>LOOKUP(F23,Справочники!$F$2:$F$10,Справочники!$H$2:$H$10)</f>
        <v>+7(8332)64-32-18</v>
      </c>
    </row>
    <row r="24" spans="1:14" ht="15" hidden="1" x14ac:dyDescent="0.25">
      <c r="A24" s="10">
        <v>117</v>
      </c>
      <c r="B24" s="12" t="s">
        <v>112</v>
      </c>
      <c r="C24" s="12" t="s">
        <v>72</v>
      </c>
      <c r="D24" s="12" t="s">
        <v>88</v>
      </c>
      <c r="E24" s="10" t="s">
        <v>9</v>
      </c>
      <c r="F24" s="10" t="str">
        <f>LOOKUP(G24,Справочники!$B$2:$B$35,Справочники!$A$2:$A$35)</f>
        <v>Технологический отдел</v>
      </c>
      <c r="G24" s="6" t="s">
        <v>31</v>
      </c>
      <c r="H24" s="16">
        <f>LOOKUP(G24,Справочники!$B$2:$B$35,Справочники!$C$2:$C$35)</f>
        <v>12000</v>
      </c>
      <c r="I24" s="6" t="s">
        <v>33</v>
      </c>
      <c r="J24" s="11">
        <v>35445</v>
      </c>
      <c r="K24" s="11">
        <v>26821</v>
      </c>
      <c r="L24" s="10">
        <f t="shared" ca="1" si="0"/>
        <v>25</v>
      </c>
      <c r="M24" s="10">
        <f t="shared" ca="1" si="0"/>
        <v>49</v>
      </c>
      <c r="N24" s="10" t="str">
        <f>LOOKUP(F24,Справочники!$F$2:$F$10,Справочники!$H$2:$H$10)</f>
        <v>+7(8332)64-32-18</v>
      </c>
    </row>
    <row r="25" spans="1:14" ht="15" hidden="1" x14ac:dyDescent="0.25">
      <c r="A25" s="10">
        <v>118</v>
      </c>
      <c r="B25" s="12" t="s">
        <v>113</v>
      </c>
      <c r="C25" s="12" t="s">
        <v>114</v>
      </c>
      <c r="D25" s="12" t="s">
        <v>115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34</v>
      </c>
      <c r="H25" s="16">
        <f>LOOKUP(G25,Справочники!$B$2:$B$35,Справочники!$C$2:$C$35)</f>
        <v>12000</v>
      </c>
      <c r="I25" s="6" t="s">
        <v>12</v>
      </c>
      <c r="J25" s="11">
        <v>36303</v>
      </c>
      <c r="K25" s="11">
        <v>25641</v>
      </c>
      <c r="L25" s="10">
        <f t="shared" ca="1" si="0"/>
        <v>23</v>
      </c>
      <c r="M25" s="10">
        <f t="shared" ca="1" si="0"/>
        <v>52</v>
      </c>
      <c r="N25" s="10" t="str">
        <f>LOOKUP(F25,Справочники!$F$2:$F$10,Справочники!$H$2:$H$10)</f>
        <v>+7(8332)64-32-18</v>
      </c>
    </row>
    <row r="26" spans="1:14" ht="15" x14ac:dyDescent="0.25">
      <c r="A26" s="10">
        <v>119</v>
      </c>
      <c r="B26" s="12" t="s">
        <v>116</v>
      </c>
      <c r="C26" s="12" t="s">
        <v>117</v>
      </c>
      <c r="D26" s="12" t="s">
        <v>70</v>
      </c>
      <c r="E26" s="10" t="s">
        <v>9</v>
      </c>
      <c r="F26" s="10" t="str">
        <f>LOOKUP(G26,Справочники!$B$2:$B$35,Справочники!$A$2:$A$35)</f>
        <v>Технологический отдел</v>
      </c>
      <c r="G26" s="6" t="s">
        <v>35</v>
      </c>
      <c r="H26" s="16">
        <f>LOOKUP(G26,Справочники!$B$2:$B$35,Справочники!$C$2:$C$35)</f>
        <v>17000</v>
      </c>
      <c r="I26" s="6" t="s">
        <v>14</v>
      </c>
      <c r="J26" s="11">
        <v>39550</v>
      </c>
      <c r="K26" s="11">
        <v>28420</v>
      </c>
      <c r="L26" s="10">
        <f t="shared" ca="1" si="0"/>
        <v>14</v>
      </c>
      <c r="M26" s="10">
        <f t="shared" ca="1" si="0"/>
        <v>45</v>
      </c>
      <c r="N26" s="10" t="str">
        <f>LOOKUP(F26,Справочники!$F$2:$F$10,Справочники!$H$2:$H$10)</f>
        <v>+7(8332)64-32-18</v>
      </c>
    </row>
    <row r="27" spans="1:14" ht="15" hidden="1" x14ac:dyDescent="0.25">
      <c r="A27" s="10">
        <v>120</v>
      </c>
      <c r="B27" s="12" t="s">
        <v>118</v>
      </c>
      <c r="C27" s="12" t="s">
        <v>98</v>
      </c>
      <c r="D27" s="12" t="s">
        <v>119</v>
      </c>
      <c r="E27" s="10" t="s">
        <v>9</v>
      </c>
      <c r="F27" s="10" t="str">
        <f>LOOKUP(G27,Справочники!$B$2:$B$35,Справочники!$A$2:$A$35)</f>
        <v>Технологический отдел</v>
      </c>
      <c r="G27" s="6" t="s">
        <v>36</v>
      </c>
      <c r="H27" s="16">
        <f>LOOKUP(G27,Справочники!$B$2:$B$35,Справочники!$C$2:$C$35)</f>
        <v>14000</v>
      </c>
      <c r="I27" s="6" t="s">
        <v>12</v>
      </c>
      <c r="J27" s="11">
        <v>35442</v>
      </c>
      <c r="K27" s="11">
        <v>24134</v>
      </c>
      <c r="L27" s="10">
        <f t="shared" ca="1" si="0"/>
        <v>25</v>
      </c>
      <c r="M27" s="10">
        <f t="shared" ca="1" si="0"/>
        <v>56</v>
      </c>
      <c r="N27" s="10" t="str">
        <f>LOOKUP(F27,Справочники!$F$2:$F$10,Справочники!$H$2:$H$10)</f>
        <v>+7(8332)64-32-18</v>
      </c>
    </row>
    <row r="28" spans="1:14" ht="15" hidden="1" x14ac:dyDescent="0.25">
      <c r="A28" s="10">
        <v>121</v>
      </c>
      <c r="B28" s="12" t="s">
        <v>120</v>
      </c>
      <c r="C28" s="12" t="s">
        <v>75</v>
      </c>
      <c r="D28" s="12" t="s">
        <v>79</v>
      </c>
      <c r="E28" s="10" t="s">
        <v>9</v>
      </c>
      <c r="F28" s="10" t="str">
        <f>LOOKUP(G28,Справочники!$B$2:$B$35,Справочники!$A$2:$A$35)</f>
        <v>Технологический отдел</v>
      </c>
      <c r="G28" s="6" t="s">
        <v>36</v>
      </c>
      <c r="H28" s="16">
        <f>LOOKUP(G28,Справочники!$B$2:$B$35,Справочники!$C$2:$C$35)</f>
        <v>14000</v>
      </c>
      <c r="I28" s="6" t="s">
        <v>12</v>
      </c>
      <c r="J28" s="11">
        <v>39845</v>
      </c>
      <c r="K28" s="11">
        <v>31391</v>
      </c>
      <c r="L28" s="10">
        <f t="shared" ca="1" si="0"/>
        <v>13</v>
      </c>
      <c r="M28" s="10">
        <f t="shared" ca="1" si="0"/>
        <v>36</v>
      </c>
      <c r="N28" s="10" t="str">
        <f>LOOKUP(F28,Справочники!$F$2:$F$10,Справочники!$H$2:$H$10)</f>
        <v>+7(8332)64-32-18</v>
      </c>
    </row>
    <row r="29" spans="1:14" ht="15" hidden="1" x14ac:dyDescent="0.25">
      <c r="A29" s="10">
        <v>122</v>
      </c>
      <c r="B29" s="12" t="s">
        <v>121</v>
      </c>
      <c r="C29" s="12" t="s">
        <v>122</v>
      </c>
      <c r="D29" s="12" t="s">
        <v>96</v>
      </c>
      <c r="E29" s="10" t="s">
        <v>9</v>
      </c>
      <c r="F29" s="10" t="str">
        <f>LOOKUP(G29,Справочники!$B$2:$B$35,Справочники!$A$2:$A$35)</f>
        <v>Технологический отдел</v>
      </c>
      <c r="G29" s="6" t="s">
        <v>37</v>
      </c>
      <c r="H29" s="16">
        <f>LOOKUP(G29,Справочники!$B$2:$B$35,Справочники!$C$2:$C$35)</f>
        <v>14000</v>
      </c>
      <c r="I29" s="6" t="s">
        <v>12</v>
      </c>
      <c r="J29" s="11">
        <v>36427</v>
      </c>
      <c r="K29" s="11">
        <v>24846</v>
      </c>
      <c r="L29" s="10">
        <f t="shared" ca="1" si="0"/>
        <v>23</v>
      </c>
      <c r="M29" s="10">
        <f t="shared" ca="1" si="0"/>
        <v>54</v>
      </c>
      <c r="N29" s="10" t="str">
        <f>LOOKUP(F29,Справочники!$F$2:$F$10,Справочники!$H$2:$H$10)</f>
        <v>+7(8332)64-32-18</v>
      </c>
    </row>
    <row r="30" spans="1:14" ht="15" hidden="1" x14ac:dyDescent="0.25">
      <c r="A30" s="10">
        <v>123</v>
      </c>
      <c r="B30" s="12" t="s">
        <v>123</v>
      </c>
      <c r="C30" s="12" t="s">
        <v>114</v>
      </c>
      <c r="D30" s="12" t="s">
        <v>103</v>
      </c>
      <c r="E30" s="10" t="s">
        <v>9</v>
      </c>
      <c r="F30" s="10" t="str">
        <f>LOOKUP(G30,Справочники!$B$2:$B$35,Справочники!$A$2:$A$35)</f>
        <v>Технологический отдел</v>
      </c>
      <c r="G30" s="6" t="s">
        <v>34</v>
      </c>
      <c r="H30" s="16">
        <f>LOOKUP(G30,Справочники!$B$2:$B$35,Справочники!$C$2:$C$35)</f>
        <v>12000</v>
      </c>
      <c r="I30" s="6" t="s">
        <v>14</v>
      </c>
      <c r="J30" s="11">
        <v>35290</v>
      </c>
      <c r="K30" s="11">
        <v>22280</v>
      </c>
      <c r="L30" s="10">
        <f t="shared" ca="1" si="0"/>
        <v>26</v>
      </c>
      <c r="M30" s="10">
        <f t="shared" ca="1" si="0"/>
        <v>61</v>
      </c>
      <c r="N30" s="10" t="str">
        <f>LOOKUP(F30,Справочники!$F$2:$F$10,Справочники!$H$2:$H$10)</f>
        <v>+7(8332)64-32-18</v>
      </c>
    </row>
    <row r="31" spans="1:14" ht="15" hidden="1" x14ac:dyDescent="0.25">
      <c r="A31" s="10">
        <v>124</v>
      </c>
      <c r="B31" s="12" t="s">
        <v>124</v>
      </c>
      <c r="C31" s="12" t="s">
        <v>125</v>
      </c>
      <c r="D31" s="12" t="s">
        <v>96</v>
      </c>
      <c r="E31" s="10" t="s">
        <v>9</v>
      </c>
      <c r="F31" s="10" t="str">
        <f>LOOKUP(G31,Справочники!$B$2:$B$35,Справочники!$A$2:$A$35)</f>
        <v>Технологический отдел</v>
      </c>
      <c r="G31" s="6" t="s">
        <v>32</v>
      </c>
      <c r="H31" s="16">
        <f>LOOKUP(G31,Справочники!$B$2:$B$35,Справочники!$C$2:$C$35)</f>
        <v>15000</v>
      </c>
      <c r="I31" s="6" t="s">
        <v>33</v>
      </c>
      <c r="J31" s="11">
        <v>35451</v>
      </c>
      <c r="K31" s="11">
        <v>27551</v>
      </c>
      <c r="L31" s="10">
        <f t="shared" ca="1" si="0"/>
        <v>25</v>
      </c>
      <c r="M31" s="10">
        <f t="shared" ca="1" si="0"/>
        <v>47</v>
      </c>
      <c r="N31" s="10" t="str">
        <f>LOOKUP(F31,Справочники!$F$2:$F$10,Справочники!$H$2:$H$10)</f>
        <v>+7(8332)64-32-18</v>
      </c>
    </row>
    <row r="32" spans="1:14" ht="15" hidden="1" x14ac:dyDescent="0.25">
      <c r="A32" s="10">
        <v>125</v>
      </c>
      <c r="B32" s="12" t="s">
        <v>126</v>
      </c>
      <c r="C32" s="12" t="s">
        <v>98</v>
      </c>
      <c r="D32" s="12" t="s">
        <v>127</v>
      </c>
      <c r="E32" s="10" t="s">
        <v>9</v>
      </c>
      <c r="F32" s="10" t="str">
        <f>LOOKUP(G32,Справочники!$B$2:$B$35,Справочники!$A$2:$A$35)</f>
        <v>Технологический отдел</v>
      </c>
      <c r="G32" s="6" t="s">
        <v>34</v>
      </c>
      <c r="H32" s="16">
        <f>LOOKUP(G32,Справочники!$B$2:$B$35,Справочники!$C$2:$C$35)</f>
        <v>12000</v>
      </c>
      <c r="I32" s="6" t="s">
        <v>33</v>
      </c>
      <c r="J32" s="11">
        <v>35290</v>
      </c>
      <c r="K32" s="11">
        <v>22065</v>
      </c>
      <c r="L32" s="10">
        <f t="shared" ca="1" si="0"/>
        <v>26</v>
      </c>
      <c r="M32" s="10">
        <f t="shared" ca="1" si="0"/>
        <v>62</v>
      </c>
      <c r="N32" s="10" t="str">
        <f>LOOKUP(F32,Справочники!$F$2:$F$10,Справочники!$H$2:$H$10)</f>
        <v>+7(8332)64-32-18</v>
      </c>
    </row>
    <row r="33" spans="1:14" ht="15" hidden="1" x14ac:dyDescent="0.25">
      <c r="A33" s="10">
        <v>126</v>
      </c>
      <c r="B33" s="12" t="s">
        <v>128</v>
      </c>
      <c r="C33" s="12" t="s">
        <v>129</v>
      </c>
      <c r="D33" s="12" t="s">
        <v>101</v>
      </c>
      <c r="E33" s="10" t="s">
        <v>17</v>
      </c>
      <c r="F33" s="10" t="str">
        <f>LOOKUP(G33,Справочники!$B$2:$B$35,Справочники!$A$2:$A$35)</f>
        <v>Рекламный отдел</v>
      </c>
      <c r="G33" s="6" t="s">
        <v>27</v>
      </c>
      <c r="H33" s="16">
        <f>LOOKUP(G33,Справочники!$B$2:$B$35,Справочники!$C$2:$C$35)</f>
        <v>22000</v>
      </c>
      <c r="I33" s="6" t="s">
        <v>14</v>
      </c>
      <c r="J33" s="11">
        <v>40321</v>
      </c>
      <c r="K33" s="11">
        <v>30232</v>
      </c>
      <c r="L33" s="10">
        <f t="shared" ca="1" si="0"/>
        <v>12</v>
      </c>
      <c r="M33" s="10">
        <f t="shared" ca="1" si="0"/>
        <v>40</v>
      </c>
      <c r="N33" s="10" t="str">
        <f>LOOKUP(F33,Справочники!$F$2:$F$10,Справочники!$H$2:$H$10)</f>
        <v>+7(8332)64-32-01</v>
      </c>
    </row>
    <row r="34" spans="1:14" ht="15" hidden="1" x14ac:dyDescent="0.25">
      <c r="A34" s="10">
        <v>127</v>
      </c>
      <c r="B34" s="12" t="s">
        <v>130</v>
      </c>
      <c r="C34" s="12" t="s">
        <v>131</v>
      </c>
      <c r="D34" s="12" t="s">
        <v>132</v>
      </c>
      <c r="E34" s="10" t="s">
        <v>17</v>
      </c>
      <c r="F34" s="10" t="str">
        <f>LOOKUP(G34,Справочники!$B$2:$B$35,Справочники!$A$2:$A$35)</f>
        <v>Технологический отдел</v>
      </c>
      <c r="G34" s="6" t="s">
        <v>38</v>
      </c>
      <c r="H34" s="16">
        <f>LOOKUP(G34,Справочники!$B$2:$B$35,Справочники!$C$2:$C$35)</f>
        <v>20000</v>
      </c>
      <c r="I34" s="6" t="s">
        <v>14</v>
      </c>
      <c r="J34" s="11">
        <v>40810</v>
      </c>
      <c r="K34" s="11">
        <v>31390</v>
      </c>
      <c r="L34" s="10">
        <f t="shared" ca="1" si="0"/>
        <v>11</v>
      </c>
      <c r="M34" s="10">
        <f t="shared" ca="1" si="0"/>
        <v>36</v>
      </c>
      <c r="N34" s="10" t="str">
        <f>LOOKUP(F34,Справочники!$F$2:$F$10,Справочники!$H$2:$H$10)</f>
        <v>+7(8332)64-32-18</v>
      </c>
    </row>
    <row r="35" spans="1:14" ht="15" hidden="1" x14ac:dyDescent="0.25">
      <c r="A35" s="10">
        <v>128</v>
      </c>
      <c r="B35" s="12" t="s">
        <v>133</v>
      </c>
      <c r="C35" s="12" t="s">
        <v>90</v>
      </c>
      <c r="D35" s="12" t="s">
        <v>132</v>
      </c>
      <c r="E35" s="10" t="s">
        <v>17</v>
      </c>
      <c r="F35" s="10" t="str">
        <f>LOOKUP(G35,Справочники!$B$2:$B$35,Справочники!$A$2:$A$35)</f>
        <v>Рекламный отдел</v>
      </c>
      <c r="G35" s="6" t="s">
        <v>39</v>
      </c>
      <c r="H35" s="16">
        <f>LOOKUP(G35,Справочники!$B$2:$B$35,Справочники!$C$2:$C$35)</f>
        <v>18000</v>
      </c>
      <c r="I35" s="6" t="s">
        <v>12</v>
      </c>
      <c r="J35" s="11">
        <v>42260</v>
      </c>
      <c r="K35" s="11">
        <v>32292</v>
      </c>
      <c r="L35" s="10">
        <f t="shared" ca="1" si="0"/>
        <v>7</v>
      </c>
      <c r="M35" s="10">
        <f t="shared" ca="1" si="0"/>
        <v>34</v>
      </c>
      <c r="N35" s="10" t="str">
        <f>LOOKUP(F35,Справочники!$F$2:$F$10,Справочники!$H$2:$H$10)</f>
        <v>+7(8332)64-32-01</v>
      </c>
    </row>
    <row r="36" spans="1:14" ht="15" hidden="1" x14ac:dyDescent="0.25">
      <c r="A36" s="10">
        <v>129</v>
      </c>
      <c r="B36" s="12" t="s">
        <v>134</v>
      </c>
      <c r="C36" s="12" t="s">
        <v>135</v>
      </c>
      <c r="D36" s="12" t="s">
        <v>136</v>
      </c>
      <c r="E36" s="10" t="s">
        <v>17</v>
      </c>
      <c r="F36" s="10" t="str">
        <f>LOOKUP(G36,Справочники!$B$2:$B$35,Справочники!$A$2:$A$35)</f>
        <v>Рекламный отдел</v>
      </c>
      <c r="G36" s="6" t="s">
        <v>40</v>
      </c>
      <c r="H36" s="16">
        <f>LOOKUP(G36,Справочники!$B$2:$B$35,Справочники!$C$2:$C$35)</f>
        <v>15000</v>
      </c>
      <c r="I36" s="6" t="s">
        <v>14</v>
      </c>
      <c r="J36" s="11">
        <v>41972</v>
      </c>
      <c r="K36" s="11">
        <v>33851</v>
      </c>
      <c r="L36" s="10">
        <f t="shared" ca="1" si="0"/>
        <v>7</v>
      </c>
      <c r="M36" s="10">
        <f t="shared" ca="1" si="0"/>
        <v>30</v>
      </c>
      <c r="N36" s="10" t="str">
        <f>LOOKUP(F36,Справочники!$F$2:$F$10,Справочники!$H$2:$H$10)</f>
        <v>+7(8332)64-32-01</v>
      </c>
    </row>
    <row r="37" spans="1:14" ht="15" hidden="1" x14ac:dyDescent="0.25">
      <c r="A37" s="10">
        <v>130</v>
      </c>
      <c r="B37" s="12" t="s">
        <v>137</v>
      </c>
      <c r="C37" s="12" t="s">
        <v>138</v>
      </c>
      <c r="D37" s="12" t="s">
        <v>139</v>
      </c>
      <c r="E37" s="10" t="s">
        <v>9</v>
      </c>
      <c r="F37" s="10" t="str">
        <f>LOOKUP(G37,Справочники!$B$2:$B$35,Справочники!$A$2:$A$35)</f>
        <v>Управление</v>
      </c>
      <c r="G37" s="6" t="s">
        <v>20</v>
      </c>
      <c r="H37" s="16">
        <f>LOOKUP(G37,Справочники!$B$2:$B$35,Справочники!$C$2:$C$35)</f>
        <v>15000</v>
      </c>
      <c r="I37" s="6" t="s">
        <v>25</v>
      </c>
      <c r="J37" s="11">
        <v>42765</v>
      </c>
      <c r="K37" s="11">
        <v>34714</v>
      </c>
      <c r="L37" s="10">
        <f t="shared" ca="1" si="0"/>
        <v>5</v>
      </c>
      <c r="M37" s="10">
        <f t="shared" ca="1" si="0"/>
        <v>27</v>
      </c>
      <c r="N37" s="10" t="str">
        <f>LOOKUP(F37,Справочники!$F$2:$F$10,Справочники!$H$2:$H$10)</f>
        <v>+7(8332)64-32-18</v>
      </c>
    </row>
    <row r="38" spans="1:14" ht="15" hidden="1" x14ac:dyDescent="0.25">
      <c r="A38" s="10">
        <v>131</v>
      </c>
      <c r="B38" s="12" t="s">
        <v>140</v>
      </c>
      <c r="C38" s="12" t="s">
        <v>141</v>
      </c>
      <c r="D38" s="12" t="s">
        <v>142</v>
      </c>
      <c r="E38" s="10" t="s">
        <v>17</v>
      </c>
      <c r="F38" s="10" t="str">
        <f>LOOKUP(G38,Справочники!$B$2:$B$35,Справочники!$A$2:$A$35)</f>
        <v>Рекламный отдел</v>
      </c>
      <c r="G38" s="6" t="s">
        <v>27</v>
      </c>
      <c r="H38" s="16">
        <f>LOOKUP(G38,Справочники!$B$2:$B$35,Справочники!$C$2:$C$35)</f>
        <v>22000</v>
      </c>
      <c r="I38" s="6" t="s">
        <v>14</v>
      </c>
      <c r="J38" s="11">
        <v>39459</v>
      </c>
      <c r="K38" s="11">
        <v>27953</v>
      </c>
      <c r="L38" s="10">
        <f t="shared" ca="1" si="0"/>
        <v>14</v>
      </c>
      <c r="M38" s="10">
        <f t="shared" ca="1" si="0"/>
        <v>46</v>
      </c>
      <c r="N38" s="10" t="str">
        <f>LOOKUP(F38,Справочники!$F$2:$F$10,Справочники!$H$2:$H$10)</f>
        <v>+7(8332)64-32-01</v>
      </c>
    </row>
    <row r="39" spans="1:14" ht="15" hidden="1" x14ac:dyDescent="0.25">
      <c r="A39" s="10">
        <v>132</v>
      </c>
      <c r="B39" s="12" t="s">
        <v>143</v>
      </c>
      <c r="C39" s="12" t="s">
        <v>141</v>
      </c>
      <c r="D39" s="12" t="s">
        <v>85</v>
      </c>
      <c r="E39" s="10" t="s">
        <v>17</v>
      </c>
      <c r="F39" s="10" t="str">
        <f>LOOKUP(G39,Справочники!$B$2:$B$35,Справочники!$A$2:$A$35)</f>
        <v>Отдел продаж</v>
      </c>
      <c r="G39" s="6" t="s">
        <v>42</v>
      </c>
      <c r="H39" s="16">
        <f>LOOKUP(G39,Справочники!$B$2:$B$35,Справочники!$C$2:$C$35)</f>
        <v>15000</v>
      </c>
      <c r="I39" s="6" t="s">
        <v>12</v>
      </c>
      <c r="J39" s="11">
        <v>41306</v>
      </c>
      <c r="K39" s="11">
        <v>33115</v>
      </c>
      <c r="L39" s="10">
        <f t="shared" ca="1" si="0"/>
        <v>9</v>
      </c>
      <c r="M39" s="10">
        <f t="shared" ca="1" si="0"/>
        <v>32</v>
      </c>
      <c r="N39" s="10" t="str">
        <f>LOOKUP(F39,Справочники!$F$2:$F$10,Справочники!$H$2:$H$10)</f>
        <v>+7(8332)64-32-01</v>
      </c>
    </row>
    <row r="40" spans="1:14" ht="15" hidden="1" x14ac:dyDescent="0.25">
      <c r="A40" s="10">
        <v>133</v>
      </c>
      <c r="B40" s="12" t="s">
        <v>144</v>
      </c>
      <c r="C40" s="12" t="s">
        <v>84</v>
      </c>
      <c r="D40" s="12" t="s">
        <v>145</v>
      </c>
      <c r="E40" s="10" t="s">
        <v>17</v>
      </c>
      <c r="F40" s="10" t="str">
        <f>LOOKUP(G40,Справочники!$B$2:$B$35,Справочники!$A$2:$A$35)</f>
        <v>Рекламный отдел</v>
      </c>
      <c r="G40" s="6" t="s">
        <v>40</v>
      </c>
      <c r="H40" s="16">
        <f>LOOKUP(G40,Справочники!$B$2:$B$35,Справочники!$C$2:$C$35)</f>
        <v>15000</v>
      </c>
      <c r="I40" s="6" t="s">
        <v>14</v>
      </c>
      <c r="J40" s="11">
        <v>41782</v>
      </c>
      <c r="K40" s="11">
        <v>33871</v>
      </c>
      <c r="L40" s="10">
        <f t="shared" ca="1" si="0"/>
        <v>8</v>
      </c>
      <c r="M40" s="10">
        <f t="shared" ca="1" si="0"/>
        <v>30</v>
      </c>
      <c r="N40" s="10" t="str">
        <f>LOOKUP(F40,Справочники!$F$2:$F$10,Справочники!$H$2:$H$10)</f>
        <v>+7(8332)64-32-01</v>
      </c>
    </row>
    <row r="41" spans="1:14" ht="15" hidden="1" x14ac:dyDescent="0.25">
      <c r="A41" s="10">
        <v>134</v>
      </c>
      <c r="B41" s="12" t="s">
        <v>146</v>
      </c>
      <c r="C41" s="12" t="s">
        <v>147</v>
      </c>
      <c r="D41" s="12" t="s">
        <v>148</v>
      </c>
      <c r="E41" s="10" t="s">
        <v>9</v>
      </c>
      <c r="F41" s="10" t="str">
        <f>LOOKUP(G41,Справочники!$B$2:$B$35,Справочники!$A$2:$A$35)</f>
        <v>Технологический отдел</v>
      </c>
      <c r="G41" s="6" t="s">
        <v>38</v>
      </c>
      <c r="H41" s="16">
        <f>LOOKUP(G41,Справочники!$B$2:$B$35,Справочники!$C$2:$C$35)</f>
        <v>20000</v>
      </c>
      <c r="I41" s="6" t="s">
        <v>14</v>
      </c>
      <c r="J41" s="11">
        <v>35208</v>
      </c>
      <c r="K41" s="11">
        <v>25186</v>
      </c>
      <c r="L41" s="10">
        <f t="shared" ca="1" si="0"/>
        <v>26</v>
      </c>
      <c r="M41" s="10">
        <f t="shared" ca="1" si="0"/>
        <v>53</v>
      </c>
      <c r="N41" s="10" t="str">
        <f>LOOKUP(F41,Справочники!$F$2:$F$10,Справочники!$H$2:$H$10)</f>
        <v>+7(8332)64-32-18</v>
      </c>
    </row>
    <row r="42" spans="1:14" ht="15" hidden="1" x14ac:dyDescent="0.25">
      <c r="A42" s="10">
        <v>135</v>
      </c>
      <c r="B42" s="12" t="s">
        <v>149</v>
      </c>
      <c r="C42" s="12" t="s">
        <v>75</v>
      </c>
      <c r="D42" s="12" t="s">
        <v>96</v>
      </c>
      <c r="E42" s="10" t="s">
        <v>9</v>
      </c>
      <c r="F42" s="10" t="str">
        <f>LOOKUP(G42,Справочники!$B$2:$B$35,Справочники!$A$2:$A$35)</f>
        <v>Технологический отдел</v>
      </c>
      <c r="G42" s="6" t="s">
        <v>38</v>
      </c>
      <c r="H42" s="16">
        <f>LOOKUP(G42,Справочники!$B$2:$B$35,Справочники!$C$2:$C$35)</f>
        <v>20000</v>
      </c>
      <c r="I42" s="6" t="s">
        <v>25</v>
      </c>
      <c r="J42" s="11">
        <v>35290</v>
      </c>
      <c r="K42" s="11">
        <v>23891</v>
      </c>
      <c r="L42" s="10">
        <f t="shared" ca="1" si="0"/>
        <v>26</v>
      </c>
      <c r="M42" s="10">
        <f t="shared" ca="1" si="0"/>
        <v>57</v>
      </c>
      <c r="N42" s="10" t="str">
        <f>LOOKUP(F42,Справочники!$F$2:$F$10,Справочники!$H$2:$H$10)</f>
        <v>+7(8332)64-32-18</v>
      </c>
    </row>
    <row r="43" spans="1:14" ht="15" hidden="1" x14ac:dyDescent="0.25">
      <c r="A43" s="10">
        <v>136</v>
      </c>
      <c r="B43" s="12" t="s">
        <v>150</v>
      </c>
      <c r="C43" s="12" t="s">
        <v>151</v>
      </c>
      <c r="D43" s="12" t="s">
        <v>152</v>
      </c>
      <c r="E43" s="10" t="s">
        <v>9</v>
      </c>
      <c r="F43" s="10" t="str">
        <f>LOOKUP(G43,Справочники!$B$2:$B$35,Справочники!$A$2:$A$35)</f>
        <v>Рекламный отдел</v>
      </c>
      <c r="G43" s="6" t="s">
        <v>27</v>
      </c>
      <c r="H43" s="16">
        <f>LOOKUP(G43,Справочники!$B$2:$B$35,Справочники!$C$2:$C$35)</f>
        <v>22000</v>
      </c>
      <c r="I43" s="6" t="s">
        <v>25</v>
      </c>
      <c r="J43" s="11">
        <v>39479</v>
      </c>
      <c r="K43" s="11">
        <v>27737</v>
      </c>
      <c r="L43" s="10">
        <f t="shared" ca="1" si="0"/>
        <v>14</v>
      </c>
      <c r="M43" s="10">
        <f t="shared" ca="1" si="0"/>
        <v>46</v>
      </c>
      <c r="N43" s="10" t="str">
        <f>LOOKUP(F43,Справочники!$F$2:$F$10,Справочники!$H$2:$H$10)</f>
        <v>+7(8332)64-32-01</v>
      </c>
    </row>
    <row r="44" spans="1:14" ht="15" hidden="1" x14ac:dyDescent="0.25">
      <c r="A44" s="10">
        <v>137</v>
      </c>
      <c r="B44" s="12" t="s">
        <v>153</v>
      </c>
      <c r="C44" s="12" t="s">
        <v>114</v>
      </c>
      <c r="D44" s="12" t="s">
        <v>154</v>
      </c>
      <c r="E44" s="10" t="s">
        <v>9</v>
      </c>
      <c r="F44" s="10" t="str">
        <f>LOOKUP(G44,Справочники!$B$2:$B$35,Справочники!$A$2:$A$35)</f>
        <v>Управление</v>
      </c>
      <c r="G44" s="6" t="s">
        <v>20</v>
      </c>
      <c r="H44" s="16">
        <f>LOOKUP(G44,Справочники!$B$2:$B$35,Справочники!$C$2:$C$35)</f>
        <v>15000</v>
      </c>
      <c r="I44" s="6" t="s">
        <v>25</v>
      </c>
      <c r="J44" s="11">
        <v>42271</v>
      </c>
      <c r="K44" s="11">
        <v>33851</v>
      </c>
      <c r="L44" s="10">
        <f t="shared" ca="1" si="0"/>
        <v>7</v>
      </c>
      <c r="M44" s="10">
        <f t="shared" ca="1" si="0"/>
        <v>30</v>
      </c>
      <c r="N44" s="10" t="str">
        <f>LOOKUP(F44,Справочники!$F$2:$F$10,Справочники!$H$2:$H$10)</f>
        <v>+7(8332)64-32-18</v>
      </c>
    </row>
    <row r="45" spans="1:14" ht="15" x14ac:dyDescent="0.25">
      <c r="A45" s="10">
        <v>138</v>
      </c>
      <c r="B45" s="12" t="s">
        <v>155</v>
      </c>
      <c r="C45" s="12" t="s">
        <v>108</v>
      </c>
      <c r="D45" s="12" t="s">
        <v>156</v>
      </c>
      <c r="E45" s="10" t="s">
        <v>9</v>
      </c>
      <c r="F45" s="10" t="str">
        <f>LOOKUP(G45,Справочники!$B$2:$B$35,Справочники!$A$2:$A$35)</f>
        <v>Отдел худ. оформления</v>
      </c>
      <c r="G45" s="6" t="s">
        <v>44</v>
      </c>
      <c r="H45" s="16">
        <f>LOOKUP(G45,Справочники!$B$2:$B$35,Справочники!$C$2:$C$35)</f>
        <v>18000</v>
      </c>
      <c r="I45" s="6" t="s">
        <v>14</v>
      </c>
      <c r="J45" s="11">
        <v>34380</v>
      </c>
      <c r="K45" s="11">
        <v>23757</v>
      </c>
      <c r="L45" s="10">
        <f t="shared" ca="1" si="0"/>
        <v>28</v>
      </c>
      <c r="M45" s="10">
        <f t="shared" ca="1" si="0"/>
        <v>57</v>
      </c>
      <c r="N45" s="10" t="str">
        <f>LOOKUP(F45,Справочники!$F$2:$F$10,Справочники!$H$2:$H$10)</f>
        <v>+7(8332)64-32-01</v>
      </c>
    </row>
    <row r="46" spans="1:14" ht="15" hidden="1" x14ac:dyDescent="0.25">
      <c r="A46" s="10">
        <v>139</v>
      </c>
      <c r="B46" s="12" t="s">
        <v>157</v>
      </c>
      <c r="C46" s="12" t="s">
        <v>158</v>
      </c>
      <c r="D46" s="12" t="s">
        <v>159</v>
      </c>
      <c r="E46" s="10" t="s">
        <v>9</v>
      </c>
      <c r="F46" s="10" t="str">
        <f>LOOKUP(G46,Справочники!$B$2:$B$35,Справочники!$A$2:$A$35)</f>
        <v>Управление</v>
      </c>
      <c r="G46" s="6" t="s">
        <v>20</v>
      </c>
      <c r="H46" s="16">
        <f>LOOKUP(G46,Справочники!$B$2:$B$35,Справочники!$C$2:$C$35)</f>
        <v>15000</v>
      </c>
      <c r="I46" s="6" t="s">
        <v>12</v>
      </c>
      <c r="J46" s="11">
        <v>41697</v>
      </c>
      <c r="K46" s="11">
        <v>33022</v>
      </c>
      <c r="L46" s="10">
        <f t="shared" ca="1" si="0"/>
        <v>8</v>
      </c>
      <c r="M46" s="10">
        <f t="shared" ca="1" si="0"/>
        <v>32</v>
      </c>
      <c r="N46" s="10" t="str">
        <f>LOOKUP(F46,Справочники!$F$2:$F$10,Справочники!$H$2:$H$10)</f>
        <v>+7(8332)64-32-18</v>
      </c>
    </row>
    <row r="47" spans="1:14" ht="15" hidden="1" x14ac:dyDescent="0.25">
      <c r="A47" s="10">
        <v>140</v>
      </c>
      <c r="B47" s="12" t="s">
        <v>160</v>
      </c>
      <c r="C47" s="12" t="s">
        <v>161</v>
      </c>
      <c r="D47" s="12" t="s">
        <v>162</v>
      </c>
      <c r="E47" s="10" t="s">
        <v>9</v>
      </c>
      <c r="F47" s="10" t="str">
        <f>LOOKUP(G47,Справочники!$B$2:$B$35,Справочники!$A$2:$A$35)</f>
        <v>Рекламный отдел</v>
      </c>
      <c r="G47" s="6" t="s">
        <v>40</v>
      </c>
      <c r="H47" s="16">
        <f>LOOKUP(G47,Справочники!$B$2:$B$35,Справочники!$C$2:$C$35)</f>
        <v>15000</v>
      </c>
      <c r="I47" s="6" t="s">
        <v>25</v>
      </c>
      <c r="J47" s="11">
        <v>39641</v>
      </c>
      <c r="K47" s="11">
        <v>29284</v>
      </c>
      <c r="L47" s="10">
        <f t="shared" ca="1" si="0"/>
        <v>14</v>
      </c>
      <c r="M47" s="10">
        <f t="shared" ca="1" si="0"/>
        <v>42</v>
      </c>
      <c r="N47" s="10" t="str">
        <f>LOOKUP(F47,Справочники!$F$2:$F$10,Справочники!$H$2:$H$10)</f>
        <v>+7(8332)64-32-01</v>
      </c>
    </row>
    <row r="48" spans="1:14" ht="15" x14ac:dyDescent="0.25">
      <c r="A48" s="10">
        <v>141</v>
      </c>
      <c r="B48" s="12" t="s">
        <v>163</v>
      </c>
      <c r="C48" s="12" t="s">
        <v>164</v>
      </c>
      <c r="D48" s="12" t="s">
        <v>93</v>
      </c>
      <c r="E48" s="10" t="s">
        <v>17</v>
      </c>
      <c r="F48" s="10" t="str">
        <f>LOOKUP(G48,Справочники!$B$2:$B$35,Справочники!$A$2:$A$35)</f>
        <v>Отдел худ. оформления</v>
      </c>
      <c r="G48" s="6" t="s">
        <v>44</v>
      </c>
      <c r="H48" s="16">
        <f>LOOKUP(G48,Справочники!$B$2:$B$35,Справочники!$C$2:$C$35)</f>
        <v>18000</v>
      </c>
      <c r="I48" s="6" t="s">
        <v>14</v>
      </c>
      <c r="J48" s="11">
        <v>35290</v>
      </c>
      <c r="K48" s="11">
        <v>27405</v>
      </c>
      <c r="L48" s="10">
        <f t="shared" ca="1" si="0"/>
        <v>26</v>
      </c>
      <c r="M48" s="10">
        <f t="shared" ca="1" si="0"/>
        <v>47</v>
      </c>
      <c r="N48" s="10" t="str">
        <f>LOOKUP(F48,Справочники!$F$2:$F$10,Справочники!$H$2:$H$10)</f>
        <v>+7(8332)64-32-01</v>
      </c>
    </row>
    <row r="49" spans="1:14" ht="15" hidden="1" x14ac:dyDescent="0.25">
      <c r="A49" s="10">
        <v>142</v>
      </c>
      <c r="B49" s="12" t="s">
        <v>165</v>
      </c>
      <c r="C49" s="12" t="s">
        <v>166</v>
      </c>
      <c r="D49" s="12" t="s">
        <v>127</v>
      </c>
      <c r="E49" s="10" t="s">
        <v>9</v>
      </c>
      <c r="F49" s="10" t="str">
        <f>LOOKUP(G49,Справочники!$B$2:$B$35,Справочники!$A$2:$A$35)</f>
        <v>Склад</v>
      </c>
      <c r="G49" s="6" t="s">
        <v>46</v>
      </c>
      <c r="H49" s="16">
        <f>LOOKUP(G49,Справочники!$B$2:$B$35,Справочники!$C$2:$C$35)</f>
        <v>15000</v>
      </c>
      <c r="I49" s="6" t="s">
        <v>33</v>
      </c>
      <c r="J49" s="11">
        <v>34955</v>
      </c>
      <c r="K49" s="11">
        <v>24134</v>
      </c>
      <c r="L49" s="10">
        <f t="shared" ca="1" si="0"/>
        <v>27</v>
      </c>
      <c r="M49" s="10">
        <f t="shared" ca="1" si="0"/>
        <v>56</v>
      </c>
      <c r="N49" s="10" t="str">
        <f>LOOKUP(F49,Справочники!$F$2:$F$10,Справочники!$H$2:$H$10)</f>
        <v>+7(8332)64-32-23</v>
      </c>
    </row>
    <row r="50" spans="1:14" ht="15" hidden="1" x14ac:dyDescent="0.25">
      <c r="A50" s="10">
        <v>143</v>
      </c>
      <c r="B50" s="12" t="s">
        <v>167</v>
      </c>
      <c r="C50" s="12" t="s">
        <v>168</v>
      </c>
      <c r="D50" s="12" t="s">
        <v>169</v>
      </c>
      <c r="E50" s="10" t="s">
        <v>17</v>
      </c>
      <c r="F50" s="10" t="str">
        <f>LOOKUP(G50,Справочники!$B$2:$B$35,Справочники!$A$2:$A$35)</f>
        <v>Склад</v>
      </c>
      <c r="G50" s="6" t="s">
        <v>47</v>
      </c>
      <c r="H50" s="16">
        <f>LOOKUP(G50,Справочники!$B$2:$B$35,Справочники!$C$2:$C$35)</f>
        <v>11000</v>
      </c>
      <c r="I50" s="6" t="s">
        <v>33</v>
      </c>
      <c r="J50" s="11">
        <v>42016</v>
      </c>
      <c r="K50" s="11">
        <v>30232</v>
      </c>
      <c r="L50" s="10">
        <f t="shared" ca="1" si="0"/>
        <v>7</v>
      </c>
      <c r="M50" s="10">
        <f t="shared" ca="1" si="0"/>
        <v>40</v>
      </c>
      <c r="N50" s="10" t="str">
        <f>LOOKUP(F50,Справочники!$F$2:$F$10,Справочники!$H$2:$H$10)</f>
        <v>+7(8332)64-32-23</v>
      </c>
    </row>
    <row r="51" spans="1:14" ht="15" hidden="1" x14ac:dyDescent="0.25">
      <c r="A51" s="10">
        <v>144</v>
      </c>
      <c r="B51" s="12" t="s">
        <v>170</v>
      </c>
      <c r="C51" s="12" t="s">
        <v>164</v>
      </c>
      <c r="D51" s="12" t="s">
        <v>171</v>
      </c>
      <c r="E51" s="10" t="s">
        <v>17</v>
      </c>
      <c r="F51" s="10" t="str">
        <f>LOOKUP(G51,Справочники!$B$2:$B$35,Справочники!$A$2:$A$35)</f>
        <v>Склад</v>
      </c>
      <c r="G51" s="6" t="s">
        <v>47</v>
      </c>
      <c r="H51" s="16">
        <f>LOOKUP(G51,Справочники!$B$2:$B$35,Справочники!$C$2:$C$35)</f>
        <v>11000</v>
      </c>
      <c r="I51" s="6" t="s">
        <v>33</v>
      </c>
      <c r="J51" s="11">
        <v>43115</v>
      </c>
      <c r="K51" s="11">
        <v>33207</v>
      </c>
      <c r="L51" s="10">
        <f t="shared" ca="1" si="0"/>
        <v>4</v>
      </c>
      <c r="M51" s="10">
        <f t="shared" ca="1" si="0"/>
        <v>31</v>
      </c>
      <c r="N51" s="10" t="str">
        <f>LOOKUP(F51,Справочники!$F$2:$F$10,Справочники!$H$2:$H$10)</f>
        <v>+7(8332)64-32-23</v>
      </c>
    </row>
    <row r="52" spans="1:14" ht="15" hidden="1" x14ac:dyDescent="0.25">
      <c r="A52" s="10">
        <v>145</v>
      </c>
      <c r="B52" s="12" t="s">
        <v>172</v>
      </c>
      <c r="C52" s="12" t="s">
        <v>131</v>
      </c>
      <c r="D52" s="12" t="s">
        <v>145</v>
      </c>
      <c r="E52" s="10" t="s">
        <v>17</v>
      </c>
      <c r="F52" s="10" t="str">
        <f>LOOKUP(G52,Справочники!$B$2:$B$35,Справочники!$A$2:$A$35)</f>
        <v>Склад</v>
      </c>
      <c r="G52" s="6" t="s">
        <v>48</v>
      </c>
      <c r="H52" s="16">
        <f>LOOKUP(G52,Справочники!$B$2:$B$35,Справочники!$C$2:$C$35)</f>
        <v>22000</v>
      </c>
      <c r="I52" s="6" t="s">
        <v>25</v>
      </c>
      <c r="J52" s="11">
        <v>34788</v>
      </c>
      <c r="K52" s="11">
        <v>25204</v>
      </c>
      <c r="L52" s="10">
        <f t="shared" ca="1" si="0"/>
        <v>27</v>
      </c>
      <c r="M52" s="10">
        <f t="shared" ca="1" si="0"/>
        <v>53</v>
      </c>
      <c r="N52" s="10" t="str">
        <f>LOOKUP(F52,Справочники!$F$2:$F$10,Справочники!$H$2:$H$10)</f>
        <v>+7(8332)64-32-23</v>
      </c>
    </row>
    <row r="53" spans="1:14" ht="15" hidden="1" x14ac:dyDescent="0.25">
      <c r="A53" s="10">
        <v>146</v>
      </c>
      <c r="B53" s="12" t="s">
        <v>173</v>
      </c>
      <c r="C53" s="12" t="s">
        <v>129</v>
      </c>
      <c r="D53" s="12" t="s">
        <v>174</v>
      </c>
      <c r="E53" s="10" t="s">
        <v>17</v>
      </c>
      <c r="F53" s="10" t="str">
        <f>LOOKUP(G53,Справочники!$B$2:$B$35,Справочники!$A$2:$A$35)</f>
        <v>Склад</v>
      </c>
      <c r="G53" s="6" t="s">
        <v>46</v>
      </c>
      <c r="H53" s="16">
        <f>LOOKUP(G53,Справочники!$B$2:$B$35,Справочники!$C$2:$C$35)</f>
        <v>15000</v>
      </c>
      <c r="I53" s="6" t="s">
        <v>33</v>
      </c>
      <c r="J53" s="11">
        <v>35032</v>
      </c>
      <c r="K53" s="11">
        <v>26821</v>
      </c>
      <c r="L53" s="10">
        <f t="shared" ca="1" si="0"/>
        <v>26</v>
      </c>
      <c r="M53" s="10">
        <f t="shared" ca="1" si="0"/>
        <v>49</v>
      </c>
      <c r="N53" s="10" t="str">
        <f>LOOKUP(F53,Справочники!$F$2:$F$10,Справочники!$H$2:$H$10)</f>
        <v>+7(8332)64-32-23</v>
      </c>
    </row>
    <row r="54" spans="1:14" ht="15" hidden="1" x14ac:dyDescent="0.25">
      <c r="A54" s="10">
        <v>147</v>
      </c>
      <c r="B54" s="12" t="s">
        <v>175</v>
      </c>
      <c r="C54" s="12" t="s">
        <v>176</v>
      </c>
      <c r="D54" s="12" t="s">
        <v>177</v>
      </c>
      <c r="E54" s="10" t="s">
        <v>17</v>
      </c>
      <c r="F54" s="10" t="str">
        <f>LOOKUP(G54,Справочники!$B$2:$B$35,Справочники!$A$2:$A$35)</f>
        <v>Склад</v>
      </c>
      <c r="G54" s="6" t="s">
        <v>47</v>
      </c>
      <c r="H54" s="16">
        <f>LOOKUP(G54,Справочники!$B$2:$B$35,Справочники!$C$2:$C$35)</f>
        <v>11000</v>
      </c>
      <c r="I54" s="6" t="s">
        <v>33</v>
      </c>
      <c r="J54" s="11">
        <v>42399</v>
      </c>
      <c r="K54" s="11">
        <v>33858</v>
      </c>
      <c r="L54" s="10">
        <f t="shared" ca="1" si="0"/>
        <v>6</v>
      </c>
      <c r="M54" s="10">
        <f t="shared" ca="1" si="0"/>
        <v>30</v>
      </c>
      <c r="N54" s="10" t="str">
        <f>LOOKUP(F54,Справочники!$F$2:$F$10,Справочники!$H$2:$H$10)</f>
        <v>+7(8332)64-32-23</v>
      </c>
    </row>
    <row r="55" spans="1:14" ht="15" hidden="1" x14ac:dyDescent="0.25">
      <c r="A55" s="10">
        <v>148</v>
      </c>
      <c r="B55" s="12" t="s">
        <v>178</v>
      </c>
      <c r="C55" s="12" t="s">
        <v>179</v>
      </c>
      <c r="D55" s="12" t="s">
        <v>101</v>
      </c>
      <c r="E55" s="10" t="s">
        <v>17</v>
      </c>
      <c r="F55" s="10" t="str">
        <f>LOOKUP(G55,Справочники!$B$2:$B$35,Справочники!$A$2:$A$35)</f>
        <v>Рекламный отдел</v>
      </c>
      <c r="G55" s="6" t="s">
        <v>27</v>
      </c>
      <c r="H55" s="16">
        <f>LOOKUP(G55,Справочники!$B$2:$B$35,Справочники!$C$2:$C$35)</f>
        <v>22000</v>
      </c>
      <c r="I55" s="6" t="s">
        <v>14</v>
      </c>
      <c r="J55" s="11">
        <v>43539</v>
      </c>
      <c r="K55" s="11">
        <v>27737</v>
      </c>
      <c r="L55" s="10">
        <f t="shared" ca="1" si="0"/>
        <v>3</v>
      </c>
      <c r="M55" s="10">
        <f t="shared" ca="1" si="0"/>
        <v>46</v>
      </c>
      <c r="N55" s="10" t="str">
        <f>LOOKUP(F55,Справочники!$F$2:$F$10,Справочники!$H$2:$H$10)</f>
        <v>+7(8332)64-32-01</v>
      </c>
    </row>
    <row r="56" spans="1:14" ht="15" hidden="1" x14ac:dyDescent="0.25">
      <c r="A56" s="10">
        <v>149</v>
      </c>
      <c r="B56" s="12" t="s">
        <v>180</v>
      </c>
      <c r="C56" s="12" t="s">
        <v>181</v>
      </c>
      <c r="D56" s="12" t="s">
        <v>132</v>
      </c>
      <c r="E56" s="10" t="s">
        <v>17</v>
      </c>
      <c r="F56" s="10" t="str">
        <f>LOOKUP(G56,Справочники!$B$2:$B$35,Справочники!$A$2:$A$35)</f>
        <v>Транспортный отдел</v>
      </c>
      <c r="G56" s="6" t="s">
        <v>50</v>
      </c>
      <c r="H56" s="16">
        <f>LOOKUP(G56,Справочники!$B$2:$B$35,Справочники!$C$2:$C$35)</f>
        <v>12000</v>
      </c>
      <c r="I56" s="6" t="s">
        <v>33</v>
      </c>
      <c r="J56" s="11">
        <v>34759</v>
      </c>
      <c r="K56" s="11">
        <v>25186</v>
      </c>
      <c r="L56" s="10">
        <f t="shared" ca="1" si="0"/>
        <v>27</v>
      </c>
      <c r="M56" s="10">
        <f t="shared" ca="1" si="0"/>
        <v>53</v>
      </c>
      <c r="N56" s="10" t="str">
        <f>LOOKUP(F56,Справочники!$F$2:$F$10,Справочники!$H$2:$H$10)</f>
        <v>+7(8332)64-32-18</v>
      </c>
    </row>
    <row r="57" spans="1:14" ht="15" hidden="1" x14ac:dyDescent="0.25">
      <c r="A57" s="10">
        <v>150</v>
      </c>
      <c r="B57" s="12" t="s">
        <v>182</v>
      </c>
      <c r="C57" s="12" t="s">
        <v>75</v>
      </c>
      <c r="D57" s="12" t="s">
        <v>76</v>
      </c>
      <c r="E57" s="10" t="s">
        <v>9</v>
      </c>
      <c r="F57" s="10" t="str">
        <f>LOOKUP(G57,Справочники!$B$2:$B$35,Справочники!$A$2:$A$35)</f>
        <v>Редакторский отдел</v>
      </c>
      <c r="G57" s="6" t="s">
        <v>52</v>
      </c>
      <c r="H57" s="16">
        <f>LOOKUP(G57,Справочники!$B$2:$B$35,Справочники!$C$2:$C$35)</f>
        <v>16000</v>
      </c>
      <c r="I57" s="6" t="s">
        <v>14</v>
      </c>
      <c r="J57" s="11">
        <v>34714</v>
      </c>
      <c r="K57" s="11">
        <v>22250</v>
      </c>
      <c r="L57" s="10">
        <f t="shared" ca="1" si="0"/>
        <v>27</v>
      </c>
      <c r="M57" s="10">
        <f t="shared" ca="1" si="0"/>
        <v>61</v>
      </c>
      <c r="N57" s="10" t="str">
        <f>LOOKUP(F57,Справочники!$F$2:$F$10,Справочники!$H$2:$H$10)</f>
        <v>+7(8332)64-32-01</v>
      </c>
    </row>
    <row r="58" spans="1:14" ht="15" x14ac:dyDescent="0.25">
      <c r="A58" s="10">
        <v>151</v>
      </c>
      <c r="B58" s="12" t="s">
        <v>183</v>
      </c>
      <c r="C58" s="12" t="s">
        <v>161</v>
      </c>
      <c r="D58" s="12" t="s">
        <v>184</v>
      </c>
      <c r="E58" s="10" t="s">
        <v>9</v>
      </c>
      <c r="F58" s="10" t="str">
        <f>LOOKUP(G58,Справочники!$B$2:$B$35,Справочники!$A$2:$A$35)</f>
        <v>Редакторский отдел</v>
      </c>
      <c r="G58" s="7" t="s">
        <v>53</v>
      </c>
      <c r="H58" s="16">
        <f>LOOKUP(G58,Справочники!$B$2:$B$35,Справочники!$C$2:$C$35)</f>
        <v>19000</v>
      </c>
      <c r="I58" s="6" t="s">
        <v>25</v>
      </c>
      <c r="J58" s="11">
        <v>35445</v>
      </c>
      <c r="K58" s="11">
        <v>26821</v>
      </c>
      <c r="L58" s="10">
        <f t="shared" ca="1" si="0"/>
        <v>25</v>
      </c>
      <c r="M58" s="10">
        <f t="shared" ca="1" si="0"/>
        <v>49</v>
      </c>
      <c r="N58" s="10" t="str">
        <f>LOOKUP(F58,Справочники!$F$2:$F$10,Справочники!$H$2:$H$10)</f>
        <v>+7(8332)64-32-01</v>
      </c>
    </row>
    <row r="59" spans="1:14" ht="15" hidden="1" x14ac:dyDescent="0.25">
      <c r="A59" s="10">
        <v>152</v>
      </c>
      <c r="B59" s="12" t="s">
        <v>185</v>
      </c>
      <c r="C59" s="12" t="s">
        <v>186</v>
      </c>
      <c r="D59" s="12" t="s">
        <v>76</v>
      </c>
      <c r="E59" s="10" t="s">
        <v>9</v>
      </c>
      <c r="F59" s="10" t="str">
        <f>LOOKUP(G59,Справочники!$B$2:$B$35,Справочники!$A$2:$A$35)</f>
        <v>Редакторский отдел</v>
      </c>
      <c r="G59" s="7" t="s">
        <v>54</v>
      </c>
      <c r="H59" s="16">
        <f>LOOKUP(G59,Справочники!$B$2:$B$35,Справочники!$C$2:$C$35)</f>
        <v>14000</v>
      </c>
      <c r="I59" s="6" t="s">
        <v>25</v>
      </c>
      <c r="J59" s="11">
        <v>40998</v>
      </c>
      <c r="K59" s="11">
        <v>30213</v>
      </c>
      <c r="L59" s="10">
        <f t="shared" ca="1" si="0"/>
        <v>10</v>
      </c>
      <c r="M59" s="10">
        <f t="shared" ca="1" si="0"/>
        <v>40</v>
      </c>
      <c r="N59" s="10" t="str">
        <f>LOOKUP(F59,Справочники!$F$2:$F$10,Справочники!$H$2:$H$10)</f>
        <v>+7(8332)64-32-01</v>
      </c>
    </row>
    <row r="60" spans="1:14" ht="15" hidden="1" x14ac:dyDescent="0.25">
      <c r="A60" s="10">
        <v>153</v>
      </c>
      <c r="B60" s="12" t="s">
        <v>187</v>
      </c>
      <c r="C60" s="12" t="s">
        <v>158</v>
      </c>
      <c r="D60" s="12" t="s">
        <v>111</v>
      </c>
      <c r="E60" s="10" t="s">
        <v>9</v>
      </c>
      <c r="F60" s="10" t="str">
        <f>LOOKUP(G60,Справочники!$B$2:$B$35,Справочники!$A$2:$A$35)</f>
        <v>Редакторский отдел</v>
      </c>
      <c r="G60" s="6" t="s">
        <v>52</v>
      </c>
      <c r="H60" s="16">
        <f>LOOKUP(G60,Справочники!$B$2:$B$35,Справочники!$C$2:$C$35)</f>
        <v>16000</v>
      </c>
      <c r="I60" s="6" t="s">
        <v>14</v>
      </c>
      <c r="J60" s="11">
        <v>36220</v>
      </c>
      <c r="K60" s="11">
        <v>26580</v>
      </c>
      <c r="L60" s="10">
        <f t="shared" ca="1" si="0"/>
        <v>23</v>
      </c>
      <c r="M60" s="10">
        <f t="shared" ca="1" si="0"/>
        <v>50</v>
      </c>
      <c r="N60" s="10" t="str">
        <f>LOOKUP(F60,Справочники!$F$2:$F$10,Справочники!$H$2:$H$10)</f>
        <v>+7(8332)64-32-01</v>
      </c>
    </row>
    <row r="61" spans="1:14" ht="15" hidden="1" x14ac:dyDescent="0.25">
      <c r="A61" s="10">
        <v>154</v>
      </c>
      <c r="B61" s="12" t="s">
        <v>188</v>
      </c>
      <c r="C61" s="12" t="s">
        <v>189</v>
      </c>
      <c r="D61" s="12" t="s">
        <v>162</v>
      </c>
      <c r="E61" s="10" t="s">
        <v>9</v>
      </c>
      <c r="F61" s="10" t="str">
        <f>LOOKUP(G61,Справочники!$B$2:$B$35,Справочники!$A$2:$A$35)</f>
        <v>Редакторский отдел</v>
      </c>
      <c r="G61" s="7" t="s">
        <v>54</v>
      </c>
      <c r="H61" s="16">
        <f>LOOKUP(G61,Справочники!$B$2:$B$35,Справочники!$C$2:$C$35)</f>
        <v>14000</v>
      </c>
      <c r="I61" s="6" t="s">
        <v>14</v>
      </c>
      <c r="J61" s="11">
        <v>35258</v>
      </c>
      <c r="K61" s="11">
        <v>21600</v>
      </c>
      <c r="L61" s="10">
        <f t="shared" ca="1" si="0"/>
        <v>26</v>
      </c>
      <c r="M61" s="10">
        <f t="shared" ca="1" si="0"/>
        <v>63</v>
      </c>
      <c r="N61" s="10" t="str">
        <f>LOOKUP(F61,Справочники!$F$2:$F$10,Справочники!$H$2:$H$10)</f>
        <v>+7(8332)64-32-01</v>
      </c>
    </row>
    <row r="62" spans="1:14" ht="15" hidden="1" x14ac:dyDescent="0.25">
      <c r="A62" s="10">
        <v>155</v>
      </c>
      <c r="B62" s="12" t="s">
        <v>190</v>
      </c>
      <c r="C62" s="12" t="s">
        <v>191</v>
      </c>
      <c r="D62" s="12" t="s">
        <v>192</v>
      </c>
      <c r="E62" s="10" t="s">
        <v>9</v>
      </c>
      <c r="F62" s="10" t="str">
        <f>LOOKUP(G62,Справочники!$B$2:$B$35,Справочники!$A$2:$A$35)</f>
        <v>Редакторский отдел</v>
      </c>
      <c r="G62" s="7" t="s">
        <v>55</v>
      </c>
      <c r="H62" s="16">
        <f>LOOKUP(G62,Справочники!$B$2:$B$35,Справочники!$C$2:$C$35)</f>
        <v>14000</v>
      </c>
      <c r="I62" s="6" t="s">
        <v>14</v>
      </c>
      <c r="J62" s="11">
        <v>35442</v>
      </c>
      <c r="K62" s="11">
        <v>24134</v>
      </c>
      <c r="L62" s="10">
        <f t="shared" ca="1" si="0"/>
        <v>25</v>
      </c>
      <c r="M62" s="10">
        <f t="shared" ca="1" si="0"/>
        <v>56</v>
      </c>
      <c r="N62" s="10" t="str">
        <f>LOOKUP(F62,Справочники!$F$2:$F$10,Справочники!$H$2:$H$10)</f>
        <v>+7(8332)64-32-01</v>
      </c>
    </row>
    <row r="63" spans="1:14" ht="15" hidden="1" x14ac:dyDescent="0.25">
      <c r="A63" s="10">
        <v>156</v>
      </c>
      <c r="B63" s="12" t="s">
        <v>193</v>
      </c>
      <c r="C63" s="12" t="s">
        <v>108</v>
      </c>
      <c r="D63" s="12" t="s">
        <v>194</v>
      </c>
      <c r="E63" s="10" t="s">
        <v>9</v>
      </c>
      <c r="F63" s="10" t="str">
        <f>LOOKUP(G63,Справочники!$B$2:$B$35,Справочники!$A$2:$A$35)</f>
        <v>Редакторский отдел</v>
      </c>
      <c r="G63" s="7" t="s">
        <v>55</v>
      </c>
      <c r="H63" s="16">
        <f>LOOKUP(G63,Справочники!$B$2:$B$35,Справочники!$C$2:$C$35)</f>
        <v>14000</v>
      </c>
      <c r="I63" s="6" t="s">
        <v>25</v>
      </c>
      <c r="J63" s="11">
        <v>35460</v>
      </c>
      <c r="K63" s="11">
        <v>21194</v>
      </c>
      <c r="L63" s="10">
        <f t="shared" ca="1" si="0"/>
        <v>25</v>
      </c>
      <c r="M63" s="10">
        <f t="shared" ca="1" si="0"/>
        <v>64</v>
      </c>
      <c r="N63" s="10" t="str">
        <f>LOOKUP(F63,Справочники!$F$2:$F$10,Справочники!$H$2:$H$10)</f>
        <v>+7(8332)64-32-01</v>
      </c>
    </row>
    <row r="64" spans="1:14" ht="15" hidden="1" x14ac:dyDescent="0.25">
      <c r="A64" s="10">
        <v>157</v>
      </c>
      <c r="B64" s="12" t="s">
        <v>195</v>
      </c>
      <c r="C64" s="12" t="s">
        <v>196</v>
      </c>
      <c r="D64" s="12" t="s">
        <v>197</v>
      </c>
      <c r="E64" s="10" t="s">
        <v>9</v>
      </c>
      <c r="F64" s="10" t="str">
        <f>LOOKUP(G64,Справочники!$B$2:$B$35,Справочники!$A$2:$A$35)</f>
        <v>Технологический отдел</v>
      </c>
      <c r="G64" s="6" t="s">
        <v>31</v>
      </c>
      <c r="H64" s="16">
        <f>LOOKUP(G64,Справочники!$B$2:$B$35,Справочники!$C$2:$C$35)</f>
        <v>12000</v>
      </c>
      <c r="I64" s="6" t="s">
        <v>12</v>
      </c>
      <c r="J64" s="11">
        <v>39887</v>
      </c>
      <c r="K64" s="11">
        <v>30205</v>
      </c>
      <c r="L64" s="10">
        <f t="shared" ca="1" si="0"/>
        <v>13</v>
      </c>
      <c r="M64" s="10">
        <f t="shared" ca="1" si="0"/>
        <v>40</v>
      </c>
      <c r="N64" s="10" t="str">
        <f>LOOKUP(F64,Справочники!$F$2:$F$10,Справочники!$H$2:$H$10)</f>
        <v>+7(8332)64-32-18</v>
      </c>
    </row>
    <row r="65" spans="1:14" ht="15" hidden="1" x14ac:dyDescent="0.25">
      <c r="A65" s="10">
        <v>158</v>
      </c>
      <c r="B65" s="12" t="s">
        <v>198</v>
      </c>
      <c r="C65" s="12" t="s">
        <v>199</v>
      </c>
      <c r="D65" s="12" t="s">
        <v>159</v>
      </c>
      <c r="E65" s="10" t="s">
        <v>9</v>
      </c>
      <c r="F65" s="10" t="str">
        <f>LOOKUP(G65,Справочники!$B$2:$B$35,Справочники!$A$2:$A$35)</f>
        <v>Редакторский отдел</v>
      </c>
      <c r="G65" s="7" t="s">
        <v>54</v>
      </c>
      <c r="H65" s="16">
        <f>LOOKUP(G65,Справочники!$B$2:$B$35,Справочники!$C$2:$C$35)</f>
        <v>14000</v>
      </c>
      <c r="I65" s="6" t="s">
        <v>14</v>
      </c>
      <c r="J65" s="11">
        <v>35122</v>
      </c>
      <c r="K65" s="11">
        <v>23253</v>
      </c>
      <c r="L65" s="10">
        <f t="shared" ca="1" si="0"/>
        <v>26</v>
      </c>
      <c r="M65" s="10">
        <f t="shared" ca="1" si="0"/>
        <v>59</v>
      </c>
      <c r="N65" s="10" t="str">
        <f>LOOKUP(F65,Справочники!$F$2:$F$10,Справочники!$H$2:$H$10)</f>
        <v>+7(8332)64-32-01</v>
      </c>
    </row>
    <row r="66" spans="1:14" ht="15" hidden="1" x14ac:dyDescent="0.25">
      <c r="A66" s="10">
        <v>159</v>
      </c>
      <c r="B66" s="12" t="s">
        <v>200</v>
      </c>
      <c r="C66" s="12" t="s">
        <v>158</v>
      </c>
      <c r="D66" s="12" t="s">
        <v>201</v>
      </c>
      <c r="E66" s="10" t="s">
        <v>9</v>
      </c>
      <c r="F66" s="10" t="str">
        <f>LOOKUP(G66,Справочники!$B$2:$B$35,Справочники!$A$2:$A$35)</f>
        <v>Редакторский отдел</v>
      </c>
      <c r="G66" s="7" t="s">
        <v>55</v>
      </c>
      <c r="H66" s="16">
        <f>LOOKUP(G66,Справочники!$B$2:$B$35,Справочники!$C$2:$C$35)</f>
        <v>14000</v>
      </c>
      <c r="I66" s="6" t="s">
        <v>14</v>
      </c>
      <c r="J66" s="11">
        <v>35032</v>
      </c>
      <c r="K66" s="11">
        <v>22065</v>
      </c>
      <c r="L66" s="10">
        <f t="shared" ca="1" si="0"/>
        <v>26</v>
      </c>
      <c r="M66" s="10">
        <f t="shared" ca="1" si="0"/>
        <v>62</v>
      </c>
      <c r="N66" s="10" t="str">
        <f>LOOKUP(F66,Справочники!$F$2:$F$10,Справочники!$H$2:$H$10)</f>
        <v>+7(8332)64-32-01</v>
      </c>
    </row>
    <row r="67" spans="1:14" ht="15" hidden="1" x14ac:dyDescent="0.25">
      <c r="A67" s="10">
        <v>160</v>
      </c>
      <c r="B67" s="12" t="s">
        <v>202</v>
      </c>
      <c r="C67" s="12" t="s">
        <v>203</v>
      </c>
      <c r="D67" s="12" t="s">
        <v>127</v>
      </c>
      <c r="E67" s="10" t="s">
        <v>9</v>
      </c>
      <c r="F67" s="10" t="str">
        <f>LOOKUP(G67,Справочники!$B$2:$B$35,Справочники!$A$2:$A$35)</f>
        <v>Редакторский отдел</v>
      </c>
      <c r="G67" s="7" t="s">
        <v>55</v>
      </c>
      <c r="H67" s="16">
        <f>LOOKUP(G67,Справочники!$B$2:$B$35,Справочники!$C$2:$C$35)</f>
        <v>14000</v>
      </c>
      <c r="I67" s="6" t="s">
        <v>14</v>
      </c>
      <c r="J67" s="11">
        <v>42991</v>
      </c>
      <c r="K67" s="11">
        <v>32936</v>
      </c>
      <c r="L67" s="10">
        <f t="shared" ca="1" si="0"/>
        <v>5</v>
      </c>
      <c r="M67" s="10">
        <f t="shared" ca="1" si="0"/>
        <v>32</v>
      </c>
      <c r="N67" s="10" t="str">
        <f>LOOKUP(F67,Справочники!$F$2:$F$10,Справочники!$H$2:$H$10)</f>
        <v>+7(8332)64-32-01</v>
      </c>
    </row>
    <row r="68" spans="1:14" ht="15" hidden="1" x14ac:dyDescent="0.25">
      <c r="A68" s="10">
        <v>161</v>
      </c>
      <c r="B68" s="12" t="s">
        <v>204</v>
      </c>
      <c r="C68" s="12" t="s">
        <v>205</v>
      </c>
      <c r="D68" s="12" t="s">
        <v>145</v>
      </c>
      <c r="E68" s="10" t="s">
        <v>17</v>
      </c>
      <c r="F68" s="10" t="str">
        <f>LOOKUP(G68,Справочники!$B$2:$B$35,Справочники!$A$2:$A$35)</f>
        <v>Транспортный отдел</v>
      </c>
      <c r="G68" s="6" t="s">
        <v>50</v>
      </c>
      <c r="H68" s="16">
        <f>LOOKUP(G68,Справочники!$B$2:$B$35,Справочники!$C$2:$C$35)</f>
        <v>12000</v>
      </c>
      <c r="I68" s="6" t="s">
        <v>12</v>
      </c>
      <c r="J68" s="11">
        <v>31108</v>
      </c>
      <c r="K68" s="11">
        <v>23891</v>
      </c>
      <c r="L68" s="10">
        <f t="shared" ca="1" si="0"/>
        <v>37</v>
      </c>
      <c r="M68" s="10">
        <f t="shared" ca="1" si="0"/>
        <v>57</v>
      </c>
      <c r="N68" s="10" t="str">
        <f>LOOKUP(F68,Справочники!$F$2:$F$10,Справочники!$H$2:$H$10)</f>
        <v>+7(8332)64-32-18</v>
      </c>
    </row>
    <row r="69" spans="1:14" ht="15" hidden="1" x14ac:dyDescent="0.25">
      <c r="A69" s="10">
        <v>162</v>
      </c>
      <c r="B69" s="12" t="s">
        <v>206</v>
      </c>
      <c r="C69" s="12" t="s">
        <v>100</v>
      </c>
      <c r="D69" s="12" t="s">
        <v>207</v>
      </c>
      <c r="E69" s="10" t="s">
        <v>17</v>
      </c>
      <c r="F69" s="10" t="str">
        <f>LOOKUP(G69,Справочники!$B$2:$B$35,Справочники!$A$2:$A$35)</f>
        <v>Транспортный отдел</v>
      </c>
      <c r="G69" s="6" t="s">
        <v>50</v>
      </c>
      <c r="H69" s="16">
        <f>LOOKUP(G69,Справочники!$B$2:$B$35,Справочники!$C$2:$C$35)</f>
        <v>12000</v>
      </c>
      <c r="I69" s="6" t="s">
        <v>12</v>
      </c>
      <c r="J69" s="11">
        <v>32023</v>
      </c>
      <c r="K69" s="11">
        <v>22893</v>
      </c>
      <c r="L69" s="10">
        <f t="shared" ca="1" si="0"/>
        <v>35</v>
      </c>
      <c r="M69" s="10">
        <f t="shared" ca="1" si="0"/>
        <v>60</v>
      </c>
      <c r="N69" s="10" t="str">
        <f>LOOKUP(F69,Справочники!$F$2:$F$10,Справочники!$H$2:$H$10)</f>
        <v>+7(8332)64-32-18</v>
      </c>
    </row>
    <row r="70" spans="1:14" ht="15" hidden="1" x14ac:dyDescent="0.25">
      <c r="A70" s="10">
        <v>163</v>
      </c>
      <c r="B70" s="12" t="s">
        <v>208</v>
      </c>
      <c r="C70" s="12" t="s">
        <v>209</v>
      </c>
      <c r="D70" s="12" t="s">
        <v>93</v>
      </c>
      <c r="E70" s="10" t="s">
        <v>17</v>
      </c>
      <c r="F70" s="10" t="str">
        <f>LOOKUP(G70,Справочники!$B$2:$B$35,Справочники!$A$2:$A$35)</f>
        <v>Редакторский отдел</v>
      </c>
      <c r="G70" s="7" t="s">
        <v>56</v>
      </c>
      <c r="H70" s="16">
        <f>LOOKUP(G70,Справочники!$B$2:$B$35,Справочники!$C$2:$C$35)</f>
        <v>20000</v>
      </c>
      <c r="I70" s="6" t="s">
        <v>14</v>
      </c>
      <c r="J70" s="11">
        <v>35153</v>
      </c>
      <c r="K70" s="11">
        <v>24814</v>
      </c>
      <c r="L70" s="10">
        <f t="shared" ca="1" si="0"/>
        <v>26</v>
      </c>
      <c r="M70" s="10">
        <f t="shared" ca="1" si="0"/>
        <v>54</v>
      </c>
      <c r="N70" s="10" t="str">
        <f>LOOKUP(F70,Справочники!$F$2:$F$10,Справочники!$H$2:$H$10)</f>
        <v>+7(8332)64-32-01</v>
      </c>
    </row>
    <row r="71" spans="1:14" ht="15" hidden="1" x14ac:dyDescent="0.25">
      <c r="A71" s="10">
        <v>164</v>
      </c>
      <c r="B71" s="12" t="s">
        <v>210</v>
      </c>
      <c r="C71" s="12" t="s">
        <v>211</v>
      </c>
      <c r="D71" s="12" t="s">
        <v>148</v>
      </c>
      <c r="E71" s="10" t="s">
        <v>9</v>
      </c>
      <c r="F71" s="10" t="str">
        <f>LOOKUP(G71,Справочники!$B$2:$B$35,Справочники!$A$2:$A$35)</f>
        <v>Транспортный отдел</v>
      </c>
      <c r="G71" s="6" t="s">
        <v>57</v>
      </c>
      <c r="H71" s="16">
        <f>LOOKUP(G71,Справочники!$B$2:$B$35,Справочники!$C$2:$C$35)</f>
        <v>12000</v>
      </c>
      <c r="I71" s="6" t="s">
        <v>33</v>
      </c>
      <c r="J71" s="11">
        <v>43438</v>
      </c>
      <c r="K71" s="11">
        <v>34714</v>
      </c>
      <c r="L71" s="10">
        <f t="shared" ca="1" si="0"/>
        <v>3</v>
      </c>
      <c r="M71" s="10">
        <f t="shared" ca="1" si="0"/>
        <v>27</v>
      </c>
      <c r="N71" s="10" t="str">
        <f>LOOKUP(F71,Справочники!$F$2:$F$10,Справочники!$H$2:$H$10)</f>
        <v>+7(8332)64-32-18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0295-6F47-47BF-902F-223C6372D717}">
  <dimension ref="A1:N75"/>
  <sheetViews>
    <sheetView zoomScaleNormal="100" workbookViewId="0">
      <pane ySplit="1" topLeftCell="A2" activePane="bottomLeft" state="frozen"/>
      <selection pane="bottomLeft" activeCell="P78" sqref="P78"/>
    </sheetView>
  </sheetViews>
  <sheetFormatPr defaultRowHeight="12.75" outlineLevelRow="2" x14ac:dyDescent="0.2"/>
  <cols>
    <col min="1" max="1" width="11.42578125" style="4" hidden="1" customWidth="1"/>
    <col min="2" max="2" width="29.85546875" style="13" hidden="1" customWidth="1"/>
    <col min="3" max="3" width="16.140625" style="13" hidden="1" customWidth="1"/>
    <col min="4" max="4" width="21.140625" style="13" hidden="1" customWidth="1"/>
    <col min="5" max="5" width="35.42578125" style="5" customWidth="1"/>
    <col min="6" max="6" width="22.140625" style="5" bestFit="1" customWidth="1"/>
    <col min="7" max="7" width="24.140625" style="4" hidden="1" customWidth="1"/>
    <col min="8" max="8" width="10.7109375" style="18" hidden="1" customWidth="1"/>
    <col min="9" max="9" width="20" style="4" hidden="1" customWidth="1"/>
    <col min="10" max="10" width="11.85546875" style="4" hidden="1" customWidth="1"/>
    <col min="11" max="11" width="10.42578125" style="4" hidden="1" customWidth="1"/>
    <col min="12" max="12" width="12" style="4" hidden="1" customWidth="1"/>
    <col min="13" max="13" width="14.28515625" style="4" hidden="1" customWidth="1"/>
    <col min="14" max="14" width="18.28515625" style="4" hidden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41" t="s">
        <v>214</v>
      </c>
      <c r="E1" s="2" t="s">
        <v>3</v>
      </c>
      <c r="F1" s="2" t="s">
        <v>258</v>
      </c>
      <c r="G1" s="43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hidden="1" outlineLevel="2" x14ac:dyDescent="0.25">
      <c r="A2" s="10">
        <v>101</v>
      </c>
      <c r="B2" s="12" t="s">
        <v>68</v>
      </c>
      <c r="C2" s="12" t="s">
        <v>69</v>
      </c>
      <c r="D2" s="42" t="s">
        <v>70</v>
      </c>
      <c r="E2" s="10" t="s">
        <v>9</v>
      </c>
      <c r="F2" s="10" t="str">
        <f>LOOKUP(G2,Справочники!$B$2:$B$35,Справочники!$A$2:$A$35)</f>
        <v>Бухгалтерия</v>
      </c>
      <c r="G2" s="44" t="s">
        <v>11</v>
      </c>
      <c r="H2" s="16">
        <f>LOOKUP(G2,Справочники!$B$2:$B$35,Справочники!$C$2:$C$35)</f>
        <v>12000</v>
      </c>
      <c r="I2" s="6" t="s">
        <v>14</v>
      </c>
      <c r="J2" s="11">
        <v>38944</v>
      </c>
      <c r="K2" s="11">
        <v>30198</v>
      </c>
      <c r="L2" s="10">
        <f t="shared" ref="L2:M7" ca="1" si="0">DATEDIF(J2, TODAY(),"Y")</f>
        <v>16</v>
      </c>
      <c r="M2" s="10">
        <f t="shared" ca="1" si="0"/>
        <v>40</v>
      </c>
      <c r="N2" s="10" t="str">
        <f>LOOKUP(F2,Справочники!$F$2:$F$10,Справочники!$H$2:$H$10)</f>
        <v>+7(8332)64-32-01</v>
      </c>
    </row>
    <row r="3" spans="1:14" ht="15" hidden="1" outlineLevel="2" x14ac:dyDescent="0.25">
      <c r="A3" s="10">
        <v>102</v>
      </c>
      <c r="B3" s="12" t="s">
        <v>71</v>
      </c>
      <c r="C3" s="12" t="s">
        <v>72</v>
      </c>
      <c r="D3" s="42" t="s">
        <v>73</v>
      </c>
      <c r="E3" s="10" t="s">
        <v>9</v>
      </c>
      <c r="F3" s="10" t="str">
        <f>LOOKUP(G3,Справочники!$B$2:$B$35,Справочники!$A$2:$A$35)</f>
        <v>Бухгалтерия</v>
      </c>
      <c r="G3" s="44" t="s">
        <v>13</v>
      </c>
      <c r="H3" s="16">
        <f>LOOKUP(G3,Справочники!$B$2:$B$35,Справочники!$C$2:$C$35)</f>
        <v>20000</v>
      </c>
      <c r="I3" s="6" t="s">
        <v>14</v>
      </c>
      <c r="J3" s="11">
        <v>34380</v>
      </c>
      <c r="K3" s="11">
        <v>25186</v>
      </c>
      <c r="L3" s="10">
        <f t="shared" ca="1" si="0"/>
        <v>28</v>
      </c>
      <c r="M3" s="10">
        <f t="shared" ca="1" si="0"/>
        <v>53</v>
      </c>
      <c r="N3" s="10" t="str">
        <f>LOOKUP(F3,Справочники!$F$2:$F$10,Справочники!$H$2:$H$10)</f>
        <v>+7(8332)64-32-01</v>
      </c>
    </row>
    <row r="4" spans="1:14" ht="15" hidden="1" outlineLevel="2" x14ac:dyDescent="0.25">
      <c r="A4" s="10">
        <v>103</v>
      </c>
      <c r="B4" s="12" t="s">
        <v>74</v>
      </c>
      <c r="C4" s="12" t="s">
        <v>75</v>
      </c>
      <c r="D4" s="42" t="s">
        <v>76</v>
      </c>
      <c r="E4" s="10" t="s">
        <v>9</v>
      </c>
      <c r="F4" s="10" t="str">
        <f>LOOKUP(G4,Справочники!$B$2:$B$35,Справочники!$A$2:$A$35)</f>
        <v>Бухгалтерия</v>
      </c>
      <c r="G4" s="44" t="s">
        <v>15</v>
      </c>
      <c r="H4" s="16">
        <f>LOOKUP(G4,Справочники!$B$2:$B$35,Справочники!$C$2:$C$35)</f>
        <v>12000</v>
      </c>
      <c r="I4" s="6" t="s">
        <v>12</v>
      </c>
      <c r="J4" s="11">
        <v>42962</v>
      </c>
      <c r="K4" s="11">
        <v>34762</v>
      </c>
      <c r="L4" s="10">
        <f t="shared" ca="1" si="0"/>
        <v>5</v>
      </c>
      <c r="M4" s="10">
        <f t="shared" ca="1" si="0"/>
        <v>27</v>
      </c>
      <c r="N4" s="10" t="str">
        <f>LOOKUP(F4,Справочники!$F$2:$F$10,Справочники!$H$2:$H$10)</f>
        <v>+7(8332)64-32-01</v>
      </c>
    </row>
    <row r="5" spans="1:14" ht="15" hidden="1" outlineLevel="2" x14ac:dyDescent="0.25">
      <c r="A5" s="10">
        <v>104</v>
      </c>
      <c r="B5" s="12" t="s">
        <v>77</v>
      </c>
      <c r="C5" s="12" t="s">
        <v>78</v>
      </c>
      <c r="D5" s="42" t="s">
        <v>79</v>
      </c>
      <c r="E5" s="10" t="s">
        <v>9</v>
      </c>
      <c r="F5" s="10" t="str">
        <f>LOOKUP(G5,Справочники!$B$2:$B$35,Справочники!$A$2:$A$35)</f>
        <v>Бухгалтерия</v>
      </c>
      <c r="G5" s="44" t="s">
        <v>16</v>
      </c>
      <c r="H5" s="16">
        <f>LOOKUP(G5,Справочники!$B$2:$B$35,Справочники!$C$2:$C$35)</f>
        <v>15000</v>
      </c>
      <c r="I5" s="6" t="s">
        <v>14</v>
      </c>
      <c r="J5" s="11">
        <v>41530</v>
      </c>
      <c r="K5" s="11">
        <v>25346</v>
      </c>
      <c r="L5" s="10">
        <f t="shared" ca="1" si="0"/>
        <v>9</v>
      </c>
      <c r="M5" s="10">
        <f t="shared" ca="1" si="0"/>
        <v>53</v>
      </c>
      <c r="N5" s="10" t="str">
        <f>LOOKUP(F5,Справочники!$F$2:$F$10,Справочники!$H$2:$H$10)</f>
        <v>+7(8332)64-32-01</v>
      </c>
    </row>
    <row r="6" spans="1:14" ht="15" hidden="1" outlineLevel="2" x14ac:dyDescent="0.25">
      <c r="A6" s="10">
        <v>105</v>
      </c>
      <c r="B6" s="12" t="s">
        <v>80</v>
      </c>
      <c r="C6" s="12" t="s">
        <v>81</v>
      </c>
      <c r="D6" s="42" t="s">
        <v>82</v>
      </c>
      <c r="E6" s="10" t="s">
        <v>17</v>
      </c>
      <c r="F6" s="10" t="str">
        <f>LOOKUP(G6,Справочники!$B$2:$B$35,Справочники!$A$2:$A$35)</f>
        <v>Бухгалтерия</v>
      </c>
      <c r="G6" s="44" t="s">
        <v>18</v>
      </c>
      <c r="H6" s="16">
        <f>LOOKUP(G6,Справочники!$B$2:$B$35,Справочники!$C$2:$C$35)</f>
        <v>17000</v>
      </c>
      <c r="I6" s="6" t="s">
        <v>14</v>
      </c>
      <c r="J6" s="11">
        <v>41165</v>
      </c>
      <c r="K6" s="11">
        <v>31196</v>
      </c>
      <c r="L6" s="10">
        <f t="shared" ca="1" si="0"/>
        <v>10</v>
      </c>
      <c r="M6" s="10">
        <f t="shared" ca="1" si="0"/>
        <v>37</v>
      </c>
      <c r="N6" s="10" t="str">
        <f>LOOKUP(F6,Справочники!$F$2:$F$10,Справочники!$H$2:$H$10)</f>
        <v>+7(8332)64-32-01</v>
      </c>
    </row>
    <row r="7" spans="1:14" ht="15" hidden="1" outlineLevel="2" x14ac:dyDescent="0.25">
      <c r="A7" s="10">
        <v>106</v>
      </c>
      <c r="B7" s="12" t="s">
        <v>83</v>
      </c>
      <c r="C7" s="12" t="s">
        <v>84</v>
      </c>
      <c r="D7" s="42" t="s">
        <v>85</v>
      </c>
      <c r="E7" s="10" t="s">
        <v>17</v>
      </c>
      <c r="F7" s="10" t="str">
        <f>LOOKUP(G7,Справочники!$B$2:$B$35,Справочники!$A$2:$A$35)</f>
        <v>Бухгалтерия</v>
      </c>
      <c r="G7" s="44" t="s">
        <v>11</v>
      </c>
      <c r="H7" s="16">
        <f>LOOKUP(G7,Справочники!$B$2:$B$35,Справочники!$C$2:$C$35)</f>
        <v>12000</v>
      </c>
      <c r="I7" s="6" t="s">
        <v>25</v>
      </c>
      <c r="J7" s="11">
        <v>42626</v>
      </c>
      <c r="K7" s="11">
        <v>31062</v>
      </c>
      <c r="L7" s="10">
        <f t="shared" ca="1" si="0"/>
        <v>6</v>
      </c>
      <c r="M7" s="10">
        <f t="shared" ca="1" si="0"/>
        <v>37</v>
      </c>
      <c r="N7" s="10" t="str">
        <f>LOOKUP(F7,Справочники!$F$2:$F$10,Справочники!$H$2:$H$10)</f>
        <v>+7(8332)64-32-01</v>
      </c>
    </row>
    <row r="8" spans="1:14" ht="15" outlineLevel="1" collapsed="1" x14ac:dyDescent="0.25">
      <c r="A8" s="10"/>
      <c r="B8" s="12"/>
      <c r="C8" s="12"/>
      <c r="D8" s="42"/>
      <c r="E8" s="40" t="s">
        <v>237</v>
      </c>
      <c r="F8" s="10">
        <f>SUBTOTAL(3,F2:F7)</f>
        <v>6</v>
      </c>
      <c r="G8" s="44"/>
      <c r="H8" s="16"/>
      <c r="I8" s="6"/>
      <c r="J8" s="11"/>
      <c r="K8" s="11"/>
      <c r="L8" s="10"/>
      <c r="M8" s="10"/>
      <c r="N8" s="10"/>
    </row>
    <row r="9" spans="1:14" ht="15" hidden="1" outlineLevel="2" x14ac:dyDescent="0.25">
      <c r="A9" s="10">
        <v>132</v>
      </c>
      <c r="B9" s="12" t="s">
        <v>143</v>
      </c>
      <c r="C9" s="12" t="s">
        <v>141</v>
      </c>
      <c r="D9" s="42" t="s">
        <v>85</v>
      </c>
      <c r="E9" s="10" t="s">
        <v>17</v>
      </c>
      <c r="F9" s="10" t="str">
        <f>LOOKUP(G9,Справочники!$B$2:$B$35,Справочники!$A$2:$A$35)</f>
        <v>Отдел продаж</v>
      </c>
      <c r="G9" s="44" t="s">
        <v>42</v>
      </c>
      <c r="H9" s="16">
        <f>LOOKUP(G9,Справочники!$B$2:$B$35,Справочники!$C$2:$C$35)</f>
        <v>15000</v>
      </c>
      <c r="I9" s="6" t="s">
        <v>12</v>
      </c>
      <c r="J9" s="11">
        <v>41306</v>
      </c>
      <c r="K9" s="11">
        <v>33115</v>
      </c>
      <c r="L9" s="10">
        <f ca="1">DATEDIF(J9, TODAY(),"Y")</f>
        <v>9</v>
      </c>
      <c r="M9" s="10">
        <f ca="1">DATEDIF(K9, TODAY(),"Y")</f>
        <v>32</v>
      </c>
      <c r="N9" s="10" t="str">
        <f>LOOKUP(F9,Справочники!$F$2:$F$10,Справочники!$H$2:$H$10)</f>
        <v>+7(8332)64-32-01</v>
      </c>
    </row>
    <row r="10" spans="1:14" ht="15" outlineLevel="1" collapsed="1" x14ac:dyDescent="0.25">
      <c r="A10" s="10"/>
      <c r="B10" s="12"/>
      <c r="C10" s="12"/>
      <c r="D10" s="42"/>
      <c r="E10" s="37" t="s">
        <v>238</v>
      </c>
      <c r="F10" s="10">
        <f>SUBTOTAL(3,F9:F9)</f>
        <v>1</v>
      </c>
      <c r="G10" s="44"/>
      <c r="H10" s="16"/>
      <c r="I10" s="6"/>
      <c r="J10" s="11"/>
      <c r="K10" s="11"/>
      <c r="L10" s="10"/>
      <c r="M10" s="10"/>
      <c r="N10" s="10"/>
    </row>
    <row r="11" spans="1:14" ht="15" hidden="1" outlineLevel="2" x14ac:dyDescent="0.25">
      <c r="A11" s="10">
        <v>138</v>
      </c>
      <c r="B11" s="12" t="s">
        <v>155</v>
      </c>
      <c r="C11" s="12" t="s">
        <v>108</v>
      </c>
      <c r="D11" s="42" t="s">
        <v>156</v>
      </c>
      <c r="E11" s="10" t="s">
        <v>9</v>
      </c>
      <c r="F11" s="10" t="str">
        <f>LOOKUP(G11,Справочники!$B$2:$B$35,Справочники!$A$2:$A$35)</f>
        <v>Отдел худ. оформления</v>
      </c>
      <c r="G11" s="44" t="s">
        <v>44</v>
      </c>
      <c r="H11" s="16">
        <f>LOOKUP(G11,Справочники!$B$2:$B$35,Справочники!$C$2:$C$35)</f>
        <v>18000</v>
      </c>
      <c r="I11" s="6" t="s">
        <v>14</v>
      </c>
      <c r="J11" s="11">
        <v>34380</v>
      </c>
      <c r="K11" s="11">
        <v>23757</v>
      </c>
      <c r="L11" s="10">
        <f ca="1">DATEDIF(J11, TODAY(),"Y")</f>
        <v>28</v>
      </c>
      <c r="M11" s="10">
        <f ca="1">DATEDIF(K11, TODAY(),"Y")</f>
        <v>57</v>
      </c>
      <c r="N11" s="10" t="str">
        <f>LOOKUP(F11,Справочники!$F$2:$F$10,Справочники!$H$2:$H$10)</f>
        <v>+7(8332)64-32-01</v>
      </c>
    </row>
    <row r="12" spans="1:14" ht="15" hidden="1" outlineLevel="2" x14ac:dyDescent="0.25">
      <c r="A12" s="10">
        <v>141</v>
      </c>
      <c r="B12" s="12" t="s">
        <v>163</v>
      </c>
      <c r="C12" s="12" t="s">
        <v>164</v>
      </c>
      <c r="D12" s="42" t="s">
        <v>93</v>
      </c>
      <c r="E12" s="10" t="s">
        <v>17</v>
      </c>
      <c r="F12" s="10" t="str">
        <f>LOOKUP(G12,Справочники!$B$2:$B$35,Справочники!$A$2:$A$35)</f>
        <v>Отдел худ. оформления</v>
      </c>
      <c r="G12" s="44" t="s">
        <v>44</v>
      </c>
      <c r="H12" s="16">
        <f>LOOKUP(G12,Справочники!$B$2:$B$35,Справочники!$C$2:$C$35)</f>
        <v>18000</v>
      </c>
      <c r="I12" s="6" t="s">
        <v>14</v>
      </c>
      <c r="J12" s="11">
        <v>35290</v>
      </c>
      <c r="K12" s="11">
        <v>27405</v>
      </c>
      <c r="L12" s="10">
        <f ca="1">DATEDIF(J12, TODAY(),"Y")</f>
        <v>26</v>
      </c>
      <c r="M12" s="10">
        <f ca="1">DATEDIF(K12, TODAY(),"Y")</f>
        <v>47</v>
      </c>
      <c r="N12" s="10" t="str">
        <f>LOOKUP(F12,Справочники!$F$2:$F$10,Справочники!$H$2:$H$10)</f>
        <v>+7(8332)64-32-01</v>
      </c>
    </row>
    <row r="13" spans="1:14" ht="15" outlineLevel="1" collapsed="1" x14ac:dyDescent="0.25">
      <c r="A13" s="10"/>
      <c r="B13" s="12"/>
      <c r="C13" s="12"/>
      <c r="D13" s="42"/>
      <c r="E13" s="37" t="s">
        <v>239</v>
      </c>
      <c r="F13" s="10">
        <f>SUBTOTAL(3,F11:F12)</f>
        <v>2</v>
      </c>
      <c r="G13" s="44"/>
      <c r="H13" s="16"/>
      <c r="I13" s="6"/>
      <c r="J13" s="11"/>
      <c r="K13" s="11"/>
      <c r="L13" s="10"/>
      <c r="M13" s="10"/>
      <c r="N13" s="10"/>
    </row>
    <row r="14" spans="1:14" ht="15" hidden="1" outlineLevel="2" x14ac:dyDescent="0.25">
      <c r="A14" s="10">
        <v>150</v>
      </c>
      <c r="B14" s="12" t="s">
        <v>182</v>
      </c>
      <c r="C14" s="12" t="s">
        <v>75</v>
      </c>
      <c r="D14" s="42" t="s">
        <v>76</v>
      </c>
      <c r="E14" s="10" t="s">
        <v>9</v>
      </c>
      <c r="F14" s="10" t="str">
        <f>LOOKUP(G14,Справочники!$B$2:$B$35,Справочники!$A$2:$A$35)</f>
        <v>Редакторский отдел</v>
      </c>
      <c r="G14" s="44" t="s">
        <v>52</v>
      </c>
      <c r="H14" s="16">
        <f>LOOKUP(G14,Справочники!$B$2:$B$35,Справочники!$C$2:$C$35)</f>
        <v>16000</v>
      </c>
      <c r="I14" s="6" t="s">
        <v>14</v>
      </c>
      <c r="J14" s="11">
        <v>34714</v>
      </c>
      <c r="K14" s="11">
        <v>22250</v>
      </c>
      <c r="L14" s="10">
        <f t="shared" ref="L14:L24" ca="1" si="1">DATEDIF(J14, TODAY(),"Y")</f>
        <v>27</v>
      </c>
      <c r="M14" s="10">
        <f t="shared" ref="M14:M24" ca="1" si="2">DATEDIF(K14, TODAY(),"Y")</f>
        <v>61</v>
      </c>
      <c r="N14" s="10" t="str">
        <f>LOOKUP(F14,Справочники!$F$2:$F$10,Справочники!$H$2:$H$10)</f>
        <v>+7(8332)64-32-01</v>
      </c>
    </row>
    <row r="15" spans="1:14" ht="15" hidden="1" outlineLevel="2" x14ac:dyDescent="0.25">
      <c r="A15" s="10">
        <v>151</v>
      </c>
      <c r="B15" s="12" t="s">
        <v>183</v>
      </c>
      <c r="C15" s="12" t="s">
        <v>161</v>
      </c>
      <c r="D15" s="42" t="s">
        <v>184</v>
      </c>
      <c r="E15" s="10" t="s">
        <v>9</v>
      </c>
      <c r="F15" s="10" t="str">
        <f>LOOKUP(G15,Справочники!$B$2:$B$35,Справочники!$A$2:$A$35)</f>
        <v>Редакторский отдел</v>
      </c>
      <c r="G15" s="45" t="s">
        <v>53</v>
      </c>
      <c r="H15" s="16">
        <f>LOOKUP(G15,Справочники!$B$2:$B$35,Справочники!$C$2:$C$35)</f>
        <v>19000</v>
      </c>
      <c r="I15" s="6" t="s">
        <v>25</v>
      </c>
      <c r="J15" s="11">
        <v>35445</v>
      </c>
      <c r="K15" s="11">
        <v>26821</v>
      </c>
      <c r="L15" s="10">
        <f t="shared" ca="1" si="1"/>
        <v>25</v>
      </c>
      <c r="M15" s="10">
        <f t="shared" ca="1" si="2"/>
        <v>49</v>
      </c>
      <c r="N15" s="10" t="str">
        <f>LOOKUP(F15,Справочники!$F$2:$F$10,Справочники!$H$2:$H$10)</f>
        <v>+7(8332)64-32-01</v>
      </c>
    </row>
    <row r="16" spans="1:14" ht="15" hidden="1" outlineLevel="2" x14ac:dyDescent="0.25">
      <c r="A16" s="10">
        <v>152</v>
      </c>
      <c r="B16" s="12" t="s">
        <v>185</v>
      </c>
      <c r="C16" s="12" t="s">
        <v>186</v>
      </c>
      <c r="D16" s="42" t="s">
        <v>76</v>
      </c>
      <c r="E16" s="10" t="s">
        <v>9</v>
      </c>
      <c r="F16" s="10" t="str">
        <f>LOOKUP(G16,Справочники!$B$2:$B$35,Справочники!$A$2:$A$35)</f>
        <v>Редакторский отдел</v>
      </c>
      <c r="G16" s="45" t="s">
        <v>54</v>
      </c>
      <c r="H16" s="16">
        <f>LOOKUP(G16,Справочники!$B$2:$B$35,Справочники!$C$2:$C$35)</f>
        <v>14000</v>
      </c>
      <c r="I16" s="6" t="s">
        <v>25</v>
      </c>
      <c r="J16" s="11">
        <v>40998</v>
      </c>
      <c r="K16" s="11">
        <v>30213</v>
      </c>
      <c r="L16" s="10">
        <f t="shared" ca="1" si="1"/>
        <v>10</v>
      </c>
      <c r="M16" s="10">
        <f t="shared" ca="1" si="2"/>
        <v>40</v>
      </c>
      <c r="N16" s="10" t="str">
        <f>LOOKUP(F16,Справочники!$F$2:$F$10,Справочники!$H$2:$H$10)</f>
        <v>+7(8332)64-32-01</v>
      </c>
    </row>
    <row r="17" spans="1:14" ht="15" hidden="1" outlineLevel="2" x14ac:dyDescent="0.25">
      <c r="A17" s="10">
        <v>153</v>
      </c>
      <c r="B17" s="12" t="s">
        <v>187</v>
      </c>
      <c r="C17" s="12" t="s">
        <v>158</v>
      </c>
      <c r="D17" s="42" t="s">
        <v>111</v>
      </c>
      <c r="E17" s="10" t="s">
        <v>9</v>
      </c>
      <c r="F17" s="10" t="str">
        <f>LOOKUP(G17,Справочники!$B$2:$B$35,Справочники!$A$2:$A$35)</f>
        <v>Редакторский отдел</v>
      </c>
      <c r="G17" s="44" t="s">
        <v>52</v>
      </c>
      <c r="H17" s="16">
        <f>LOOKUP(G17,Справочники!$B$2:$B$35,Справочники!$C$2:$C$35)</f>
        <v>16000</v>
      </c>
      <c r="I17" s="6" t="s">
        <v>14</v>
      </c>
      <c r="J17" s="11">
        <v>36220</v>
      </c>
      <c r="K17" s="11">
        <v>26580</v>
      </c>
      <c r="L17" s="10">
        <f t="shared" ca="1" si="1"/>
        <v>23</v>
      </c>
      <c r="M17" s="10">
        <f t="shared" ca="1" si="2"/>
        <v>50</v>
      </c>
      <c r="N17" s="10" t="str">
        <f>LOOKUP(F17,Справочники!$F$2:$F$10,Справочники!$H$2:$H$10)</f>
        <v>+7(8332)64-32-01</v>
      </c>
    </row>
    <row r="18" spans="1:14" ht="15" hidden="1" outlineLevel="2" x14ac:dyDescent="0.25">
      <c r="A18" s="10">
        <v>154</v>
      </c>
      <c r="B18" s="12" t="s">
        <v>188</v>
      </c>
      <c r="C18" s="12" t="s">
        <v>189</v>
      </c>
      <c r="D18" s="42" t="s">
        <v>162</v>
      </c>
      <c r="E18" s="10" t="s">
        <v>9</v>
      </c>
      <c r="F18" s="10" t="str">
        <f>LOOKUP(G18,Справочники!$B$2:$B$35,Справочники!$A$2:$A$35)</f>
        <v>Редакторский отдел</v>
      </c>
      <c r="G18" s="45" t="s">
        <v>54</v>
      </c>
      <c r="H18" s="16">
        <f>LOOKUP(G18,Справочники!$B$2:$B$35,Справочники!$C$2:$C$35)</f>
        <v>14000</v>
      </c>
      <c r="I18" s="6" t="s">
        <v>14</v>
      </c>
      <c r="J18" s="11">
        <v>35258</v>
      </c>
      <c r="K18" s="11">
        <v>21600</v>
      </c>
      <c r="L18" s="10">
        <f t="shared" ca="1" si="1"/>
        <v>26</v>
      </c>
      <c r="M18" s="10">
        <f t="shared" ca="1" si="2"/>
        <v>63</v>
      </c>
      <c r="N18" s="10" t="str">
        <f>LOOKUP(F18,Справочники!$F$2:$F$10,Справочники!$H$2:$H$10)</f>
        <v>+7(8332)64-32-01</v>
      </c>
    </row>
    <row r="19" spans="1:14" ht="15" hidden="1" outlineLevel="2" x14ac:dyDescent="0.25">
      <c r="A19" s="10">
        <v>155</v>
      </c>
      <c r="B19" s="12" t="s">
        <v>190</v>
      </c>
      <c r="C19" s="12" t="s">
        <v>191</v>
      </c>
      <c r="D19" s="42" t="s">
        <v>192</v>
      </c>
      <c r="E19" s="10" t="s">
        <v>9</v>
      </c>
      <c r="F19" s="10" t="str">
        <f>LOOKUP(G19,Справочники!$B$2:$B$35,Справочники!$A$2:$A$35)</f>
        <v>Редакторский отдел</v>
      </c>
      <c r="G19" s="45" t="s">
        <v>55</v>
      </c>
      <c r="H19" s="16">
        <f>LOOKUP(G19,Справочники!$B$2:$B$35,Справочники!$C$2:$C$35)</f>
        <v>14000</v>
      </c>
      <c r="I19" s="6" t="s">
        <v>14</v>
      </c>
      <c r="J19" s="11">
        <v>35442</v>
      </c>
      <c r="K19" s="11">
        <v>24134</v>
      </c>
      <c r="L19" s="10">
        <f t="shared" ca="1" si="1"/>
        <v>25</v>
      </c>
      <c r="M19" s="10">
        <f t="shared" ca="1" si="2"/>
        <v>56</v>
      </c>
      <c r="N19" s="10" t="str">
        <f>LOOKUP(F19,Справочники!$F$2:$F$10,Справочники!$H$2:$H$10)</f>
        <v>+7(8332)64-32-01</v>
      </c>
    </row>
    <row r="20" spans="1:14" ht="15" hidden="1" outlineLevel="2" x14ac:dyDescent="0.25">
      <c r="A20" s="10">
        <v>156</v>
      </c>
      <c r="B20" s="12" t="s">
        <v>193</v>
      </c>
      <c r="C20" s="12" t="s">
        <v>108</v>
      </c>
      <c r="D20" s="42" t="s">
        <v>194</v>
      </c>
      <c r="E20" s="10" t="s">
        <v>9</v>
      </c>
      <c r="F20" s="10" t="str">
        <f>LOOKUP(G20,Справочники!$B$2:$B$35,Справочники!$A$2:$A$35)</f>
        <v>Редакторский отдел</v>
      </c>
      <c r="G20" s="45" t="s">
        <v>55</v>
      </c>
      <c r="H20" s="16">
        <f>LOOKUP(G20,Справочники!$B$2:$B$35,Справочники!$C$2:$C$35)</f>
        <v>14000</v>
      </c>
      <c r="I20" s="6" t="s">
        <v>25</v>
      </c>
      <c r="J20" s="11">
        <v>35460</v>
      </c>
      <c r="K20" s="11">
        <v>21194</v>
      </c>
      <c r="L20" s="10">
        <f t="shared" ca="1" si="1"/>
        <v>25</v>
      </c>
      <c r="M20" s="10">
        <f t="shared" ca="1" si="2"/>
        <v>64</v>
      </c>
      <c r="N20" s="10" t="str">
        <f>LOOKUP(F20,Справочники!$F$2:$F$10,Справочники!$H$2:$H$10)</f>
        <v>+7(8332)64-32-01</v>
      </c>
    </row>
    <row r="21" spans="1:14" ht="15" hidden="1" outlineLevel="2" x14ac:dyDescent="0.25">
      <c r="A21" s="10">
        <v>158</v>
      </c>
      <c r="B21" s="12" t="s">
        <v>198</v>
      </c>
      <c r="C21" s="12" t="s">
        <v>199</v>
      </c>
      <c r="D21" s="42" t="s">
        <v>159</v>
      </c>
      <c r="E21" s="10" t="s">
        <v>9</v>
      </c>
      <c r="F21" s="10" t="str">
        <f>LOOKUP(G21,Справочники!$B$2:$B$35,Справочники!$A$2:$A$35)</f>
        <v>Редакторский отдел</v>
      </c>
      <c r="G21" s="45" t="s">
        <v>54</v>
      </c>
      <c r="H21" s="16">
        <f>LOOKUP(G21,Справочники!$B$2:$B$35,Справочники!$C$2:$C$35)</f>
        <v>14000</v>
      </c>
      <c r="I21" s="6" t="s">
        <v>14</v>
      </c>
      <c r="J21" s="11">
        <v>35122</v>
      </c>
      <c r="K21" s="11">
        <v>23253</v>
      </c>
      <c r="L21" s="10">
        <f t="shared" ca="1" si="1"/>
        <v>26</v>
      </c>
      <c r="M21" s="10">
        <f t="shared" ca="1" si="2"/>
        <v>59</v>
      </c>
      <c r="N21" s="10" t="str">
        <f>LOOKUP(F21,Справочники!$F$2:$F$10,Справочники!$H$2:$H$10)</f>
        <v>+7(8332)64-32-01</v>
      </c>
    </row>
    <row r="22" spans="1:14" ht="15" hidden="1" outlineLevel="2" x14ac:dyDescent="0.25">
      <c r="A22" s="10">
        <v>159</v>
      </c>
      <c r="B22" s="12" t="s">
        <v>200</v>
      </c>
      <c r="C22" s="12" t="s">
        <v>158</v>
      </c>
      <c r="D22" s="42" t="s">
        <v>201</v>
      </c>
      <c r="E22" s="10" t="s">
        <v>9</v>
      </c>
      <c r="F22" s="10" t="str">
        <f>LOOKUP(G22,Справочники!$B$2:$B$35,Справочники!$A$2:$A$35)</f>
        <v>Редакторский отдел</v>
      </c>
      <c r="G22" s="45" t="s">
        <v>55</v>
      </c>
      <c r="H22" s="16">
        <f>LOOKUP(G22,Справочники!$B$2:$B$35,Справочники!$C$2:$C$35)</f>
        <v>14000</v>
      </c>
      <c r="I22" s="6" t="s">
        <v>14</v>
      </c>
      <c r="J22" s="11">
        <v>35032</v>
      </c>
      <c r="K22" s="11">
        <v>22065</v>
      </c>
      <c r="L22" s="10">
        <f t="shared" ca="1" si="1"/>
        <v>26</v>
      </c>
      <c r="M22" s="10">
        <f t="shared" ca="1" si="2"/>
        <v>62</v>
      </c>
      <c r="N22" s="10" t="str">
        <f>LOOKUP(F22,Справочники!$F$2:$F$10,Справочники!$H$2:$H$10)</f>
        <v>+7(8332)64-32-01</v>
      </c>
    </row>
    <row r="23" spans="1:14" ht="15" hidden="1" outlineLevel="2" x14ac:dyDescent="0.25">
      <c r="A23" s="10">
        <v>160</v>
      </c>
      <c r="B23" s="12" t="s">
        <v>202</v>
      </c>
      <c r="C23" s="12" t="s">
        <v>203</v>
      </c>
      <c r="D23" s="42" t="s">
        <v>127</v>
      </c>
      <c r="E23" s="10" t="s">
        <v>9</v>
      </c>
      <c r="F23" s="10" t="str">
        <f>LOOKUP(G23,Справочники!$B$2:$B$35,Справочники!$A$2:$A$35)</f>
        <v>Редакторский отдел</v>
      </c>
      <c r="G23" s="45" t="s">
        <v>55</v>
      </c>
      <c r="H23" s="16">
        <f>LOOKUP(G23,Справочники!$B$2:$B$35,Справочники!$C$2:$C$35)</f>
        <v>14000</v>
      </c>
      <c r="I23" s="6" t="s">
        <v>14</v>
      </c>
      <c r="J23" s="11">
        <v>42991</v>
      </c>
      <c r="K23" s="11">
        <v>32936</v>
      </c>
      <c r="L23" s="10">
        <f t="shared" ca="1" si="1"/>
        <v>5</v>
      </c>
      <c r="M23" s="10">
        <f t="shared" ca="1" si="2"/>
        <v>32</v>
      </c>
      <c r="N23" s="10" t="str">
        <f>LOOKUP(F23,Справочники!$F$2:$F$10,Справочники!$H$2:$H$10)</f>
        <v>+7(8332)64-32-01</v>
      </c>
    </row>
    <row r="24" spans="1:14" ht="15" hidden="1" outlineLevel="2" x14ac:dyDescent="0.25">
      <c r="A24" s="10">
        <v>163</v>
      </c>
      <c r="B24" s="12" t="s">
        <v>208</v>
      </c>
      <c r="C24" s="12" t="s">
        <v>209</v>
      </c>
      <c r="D24" s="42" t="s">
        <v>93</v>
      </c>
      <c r="E24" s="10" t="s">
        <v>17</v>
      </c>
      <c r="F24" s="10" t="str">
        <f>LOOKUP(G24,Справочники!$B$2:$B$35,Справочники!$A$2:$A$35)</f>
        <v>Редакторский отдел</v>
      </c>
      <c r="G24" s="45" t="s">
        <v>56</v>
      </c>
      <c r="H24" s="16">
        <f>LOOKUP(G24,Справочники!$B$2:$B$35,Справочники!$C$2:$C$35)</f>
        <v>20000</v>
      </c>
      <c r="I24" s="6" t="s">
        <v>14</v>
      </c>
      <c r="J24" s="11">
        <v>35153</v>
      </c>
      <c r="K24" s="11">
        <v>24814</v>
      </c>
      <c r="L24" s="10">
        <f t="shared" ca="1" si="1"/>
        <v>26</v>
      </c>
      <c r="M24" s="10">
        <f t="shared" ca="1" si="2"/>
        <v>54</v>
      </c>
      <c r="N24" s="10" t="str">
        <f>LOOKUP(F24,Справочники!$F$2:$F$10,Справочники!$H$2:$H$10)</f>
        <v>+7(8332)64-32-01</v>
      </c>
    </row>
    <row r="25" spans="1:14" ht="15" outlineLevel="1" collapsed="1" x14ac:dyDescent="0.25">
      <c r="A25" s="10"/>
      <c r="B25" s="12"/>
      <c r="C25" s="12"/>
      <c r="D25" s="42"/>
      <c r="E25" s="37" t="s">
        <v>240</v>
      </c>
      <c r="F25" s="10">
        <f>SUBTOTAL(3,F14:F24)</f>
        <v>11</v>
      </c>
      <c r="G25" s="45"/>
      <c r="H25" s="16"/>
      <c r="I25" s="6"/>
      <c r="J25" s="11"/>
      <c r="K25" s="11"/>
      <c r="L25" s="10"/>
      <c r="M25" s="10"/>
      <c r="N25" s="10"/>
    </row>
    <row r="26" spans="1:14" ht="15" hidden="1" outlineLevel="2" x14ac:dyDescent="0.25">
      <c r="A26" s="10">
        <v>112</v>
      </c>
      <c r="B26" s="12" t="s">
        <v>99</v>
      </c>
      <c r="C26" s="12" t="s">
        <v>100</v>
      </c>
      <c r="D26" s="42" t="s">
        <v>101</v>
      </c>
      <c r="E26" s="10" t="s">
        <v>17</v>
      </c>
      <c r="F26" s="10" t="str">
        <f>LOOKUP(G26,Справочники!$B$2:$B$35,Справочники!$A$2:$A$35)</f>
        <v>Рекламный отдел</v>
      </c>
      <c r="G26" s="44" t="s">
        <v>27</v>
      </c>
      <c r="H26" s="16">
        <f>LOOKUP(G26,Справочники!$B$2:$B$35,Справочники!$C$2:$C$35)</f>
        <v>22000</v>
      </c>
      <c r="I26" s="6" t="s">
        <v>14</v>
      </c>
      <c r="J26" s="11">
        <v>40966</v>
      </c>
      <c r="K26" s="11">
        <v>31390</v>
      </c>
      <c r="L26" s="10">
        <f t="shared" ref="L26:L35" ca="1" si="3">DATEDIF(J26, TODAY(),"Y")</f>
        <v>10</v>
      </c>
      <c r="M26" s="10">
        <f t="shared" ref="M26:M35" ca="1" si="4">DATEDIF(K26, TODAY(),"Y")</f>
        <v>36</v>
      </c>
      <c r="N26" s="10" t="str">
        <f>LOOKUP(F26,Справочники!$F$2:$F$10,Справочники!$H$2:$H$10)</f>
        <v>+7(8332)64-32-01</v>
      </c>
    </row>
    <row r="27" spans="1:14" ht="15" hidden="1" outlineLevel="2" x14ac:dyDescent="0.25">
      <c r="A27" s="10">
        <v>113</v>
      </c>
      <c r="B27" s="12" t="s">
        <v>102</v>
      </c>
      <c r="C27" s="12" t="s">
        <v>98</v>
      </c>
      <c r="D27" s="42" t="s">
        <v>103</v>
      </c>
      <c r="E27" s="10" t="s">
        <v>9</v>
      </c>
      <c r="F27" s="10" t="str">
        <f>LOOKUP(G27,Справочники!$B$2:$B$35,Справочники!$A$2:$A$35)</f>
        <v>Рекламный отдел</v>
      </c>
      <c r="G27" s="44" t="s">
        <v>28</v>
      </c>
      <c r="H27" s="16">
        <f>LOOKUP(G27,Справочники!$B$2:$B$35,Справочники!$C$2:$C$35)</f>
        <v>18000</v>
      </c>
      <c r="I27" s="6" t="s">
        <v>14</v>
      </c>
      <c r="J27" s="11">
        <v>34788</v>
      </c>
      <c r="K27" s="11">
        <v>25186</v>
      </c>
      <c r="L27" s="10">
        <f t="shared" ca="1" si="3"/>
        <v>27</v>
      </c>
      <c r="M27" s="10">
        <f t="shared" ca="1" si="4"/>
        <v>53</v>
      </c>
      <c r="N27" s="10" t="str">
        <f>LOOKUP(F27,Справочники!$F$2:$F$10,Справочники!$H$2:$H$10)</f>
        <v>+7(8332)64-32-01</v>
      </c>
    </row>
    <row r="28" spans="1:14" ht="15" hidden="1" outlineLevel="2" x14ac:dyDescent="0.25">
      <c r="A28" s="10">
        <v>126</v>
      </c>
      <c r="B28" s="12" t="s">
        <v>128</v>
      </c>
      <c r="C28" s="12" t="s">
        <v>129</v>
      </c>
      <c r="D28" s="42" t="s">
        <v>101</v>
      </c>
      <c r="E28" s="10" t="s">
        <v>17</v>
      </c>
      <c r="F28" s="10" t="str">
        <f>LOOKUP(G28,Справочники!$B$2:$B$35,Справочники!$A$2:$A$35)</f>
        <v>Рекламный отдел</v>
      </c>
      <c r="G28" s="44" t="s">
        <v>27</v>
      </c>
      <c r="H28" s="16">
        <f>LOOKUP(G28,Справочники!$B$2:$B$35,Справочники!$C$2:$C$35)</f>
        <v>22000</v>
      </c>
      <c r="I28" s="6" t="s">
        <v>14</v>
      </c>
      <c r="J28" s="11">
        <v>40321</v>
      </c>
      <c r="K28" s="11">
        <v>30232</v>
      </c>
      <c r="L28" s="10">
        <f t="shared" ca="1" si="3"/>
        <v>12</v>
      </c>
      <c r="M28" s="10">
        <f t="shared" ca="1" si="4"/>
        <v>40</v>
      </c>
      <c r="N28" s="10" t="str">
        <f>LOOKUP(F28,Справочники!$F$2:$F$10,Справочники!$H$2:$H$10)</f>
        <v>+7(8332)64-32-01</v>
      </c>
    </row>
    <row r="29" spans="1:14" ht="15" hidden="1" outlineLevel="2" x14ac:dyDescent="0.25">
      <c r="A29" s="10">
        <v>128</v>
      </c>
      <c r="B29" s="12" t="s">
        <v>133</v>
      </c>
      <c r="C29" s="12" t="s">
        <v>90</v>
      </c>
      <c r="D29" s="42" t="s">
        <v>132</v>
      </c>
      <c r="E29" s="10" t="s">
        <v>17</v>
      </c>
      <c r="F29" s="10" t="str">
        <f>LOOKUP(G29,Справочники!$B$2:$B$35,Справочники!$A$2:$A$35)</f>
        <v>Рекламный отдел</v>
      </c>
      <c r="G29" s="44" t="s">
        <v>39</v>
      </c>
      <c r="H29" s="16">
        <f>LOOKUP(G29,Справочники!$B$2:$B$35,Справочники!$C$2:$C$35)</f>
        <v>18000</v>
      </c>
      <c r="I29" s="6" t="s">
        <v>12</v>
      </c>
      <c r="J29" s="11">
        <v>42260</v>
      </c>
      <c r="K29" s="11">
        <v>32292</v>
      </c>
      <c r="L29" s="10">
        <f t="shared" ca="1" si="3"/>
        <v>7</v>
      </c>
      <c r="M29" s="10">
        <f t="shared" ca="1" si="4"/>
        <v>34</v>
      </c>
      <c r="N29" s="10" t="str">
        <f>LOOKUP(F29,Справочники!$F$2:$F$10,Справочники!$H$2:$H$10)</f>
        <v>+7(8332)64-32-01</v>
      </c>
    </row>
    <row r="30" spans="1:14" ht="15" hidden="1" outlineLevel="2" x14ac:dyDescent="0.25">
      <c r="A30" s="10">
        <v>129</v>
      </c>
      <c r="B30" s="12" t="s">
        <v>134</v>
      </c>
      <c r="C30" s="12" t="s">
        <v>135</v>
      </c>
      <c r="D30" s="42" t="s">
        <v>136</v>
      </c>
      <c r="E30" s="10" t="s">
        <v>17</v>
      </c>
      <c r="F30" s="10" t="str">
        <f>LOOKUP(G30,Справочники!$B$2:$B$35,Справочники!$A$2:$A$35)</f>
        <v>Рекламный отдел</v>
      </c>
      <c r="G30" s="44" t="s">
        <v>40</v>
      </c>
      <c r="H30" s="16">
        <f>LOOKUP(G30,Справочники!$B$2:$B$35,Справочники!$C$2:$C$35)</f>
        <v>15000</v>
      </c>
      <c r="I30" s="6" t="s">
        <v>14</v>
      </c>
      <c r="J30" s="11">
        <v>41972</v>
      </c>
      <c r="K30" s="11">
        <v>33851</v>
      </c>
      <c r="L30" s="10">
        <f t="shared" ca="1" si="3"/>
        <v>7</v>
      </c>
      <c r="M30" s="10">
        <f t="shared" ca="1" si="4"/>
        <v>30</v>
      </c>
      <c r="N30" s="10" t="str">
        <f>LOOKUP(F30,Справочники!$F$2:$F$10,Справочники!$H$2:$H$10)</f>
        <v>+7(8332)64-32-01</v>
      </c>
    </row>
    <row r="31" spans="1:14" ht="15" hidden="1" outlineLevel="2" x14ac:dyDescent="0.25">
      <c r="A31" s="10">
        <v>131</v>
      </c>
      <c r="B31" s="12" t="s">
        <v>140</v>
      </c>
      <c r="C31" s="12" t="s">
        <v>141</v>
      </c>
      <c r="D31" s="42" t="s">
        <v>142</v>
      </c>
      <c r="E31" s="10" t="s">
        <v>17</v>
      </c>
      <c r="F31" s="10" t="str">
        <f>LOOKUP(G31,Справочники!$B$2:$B$35,Справочники!$A$2:$A$35)</f>
        <v>Рекламный отдел</v>
      </c>
      <c r="G31" s="44" t="s">
        <v>27</v>
      </c>
      <c r="H31" s="16">
        <f>LOOKUP(G31,Справочники!$B$2:$B$35,Справочники!$C$2:$C$35)</f>
        <v>22000</v>
      </c>
      <c r="I31" s="6" t="s">
        <v>14</v>
      </c>
      <c r="J31" s="11">
        <v>39459</v>
      </c>
      <c r="K31" s="11">
        <v>27953</v>
      </c>
      <c r="L31" s="10">
        <f t="shared" ca="1" si="3"/>
        <v>14</v>
      </c>
      <c r="M31" s="10">
        <f t="shared" ca="1" si="4"/>
        <v>46</v>
      </c>
      <c r="N31" s="10" t="str">
        <f>LOOKUP(F31,Справочники!$F$2:$F$10,Справочники!$H$2:$H$10)</f>
        <v>+7(8332)64-32-01</v>
      </c>
    </row>
    <row r="32" spans="1:14" ht="15" hidden="1" outlineLevel="2" x14ac:dyDescent="0.25">
      <c r="A32" s="10">
        <v>133</v>
      </c>
      <c r="B32" s="12" t="s">
        <v>144</v>
      </c>
      <c r="C32" s="12" t="s">
        <v>84</v>
      </c>
      <c r="D32" s="42" t="s">
        <v>145</v>
      </c>
      <c r="E32" s="10" t="s">
        <v>17</v>
      </c>
      <c r="F32" s="10" t="str">
        <f>LOOKUP(G32,Справочники!$B$2:$B$35,Справочники!$A$2:$A$35)</f>
        <v>Рекламный отдел</v>
      </c>
      <c r="G32" s="44" t="s">
        <v>40</v>
      </c>
      <c r="H32" s="16">
        <f>LOOKUP(G32,Справочники!$B$2:$B$35,Справочники!$C$2:$C$35)</f>
        <v>15000</v>
      </c>
      <c r="I32" s="6" t="s">
        <v>14</v>
      </c>
      <c r="J32" s="11">
        <v>41782</v>
      </c>
      <c r="K32" s="11">
        <v>33871</v>
      </c>
      <c r="L32" s="10">
        <f t="shared" ca="1" si="3"/>
        <v>8</v>
      </c>
      <c r="M32" s="10">
        <f t="shared" ca="1" si="4"/>
        <v>30</v>
      </c>
      <c r="N32" s="10" t="str">
        <f>LOOKUP(F32,Справочники!$F$2:$F$10,Справочники!$H$2:$H$10)</f>
        <v>+7(8332)64-32-01</v>
      </c>
    </row>
    <row r="33" spans="1:14" ht="15" hidden="1" outlineLevel="2" x14ac:dyDescent="0.25">
      <c r="A33" s="10">
        <v>136</v>
      </c>
      <c r="B33" s="12" t="s">
        <v>150</v>
      </c>
      <c r="C33" s="12" t="s">
        <v>151</v>
      </c>
      <c r="D33" s="42" t="s">
        <v>152</v>
      </c>
      <c r="E33" s="10" t="s">
        <v>9</v>
      </c>
      <c r="F33" s="10" t="str">
        <f>LOOKUP(G33,Справочники!$B$2:$B$35,Справочники!$A$2:$A$35)</f>
        <v>Рекламный отдел</v>
      </c>
      <c r="G33" s="44" t="s">
        <v>27</v>
      </c>
      <c r="H33" s="16">
        <f>LOOKUP(G33,Справочники!$B$2:$B$35,Справочники!$C$2:$C$35)</f>
        <v>22000</v>
      </c>
      <c r="I33" s="6" t="s">
        <v>25</v>
      </c>
      <c r="J33" s="11">
        <v>39479</v>
      </c>
      <c r="K33" s="11">
        <v>27737</v>
      </c>
      <c r="L33" s="10">
        <f t="shared" ca="1" si="3"/>
        <v>14</v>
      </c>
      <c r="M33" s="10">
        <f t="shared" ca="1" si="4"/>
        <v>46</v>
      </c>
      <c r="N33" s="10" t="str">
        <f>LOOKUP(F33,Справочники!$F$2:$F$10,Справочники!$H$2:$H$10)</f>
        <v>+7(8332)64-32-01</v>
      </c>
    </row>
    <row r="34" spans="1:14" ht="15" hidden="1" outlineLevel="2" x14ac:dyDescent="0.25">
      <c r="A34" s="10">
        <v>140</v>
      </c>
      <c r="B34" s="12" t="s">
        <v>160</v>
      </c>
      <c r="C34" s="12" t="s">
        <v>161</v>
      </c>
      <c r="D34" s="42" t="s">
        <v>162</v>
      </c>
      <c r="E34" s="10" t="s">
        <v>9</v>
      </c>
      <c r="F34" s="10" t="str">
        <f>LOOKUP(G34,Справочники!$B$2:$B$35,Справочники!$A$2:$A$35)</f>
        <v>Рекламный отдел</v>
      </c>
      <c r="G34" s="44" t="s">
        <v>40</v>
      </c>
      <c r="H34" s="16">
        <f>LOOKUP(G34,Справочники!$B$2:$B$35,Справочники!$C$2:$C$35)</f>
        <v>15000</v>
      </c>
      <c r="I34" s="6" t="s">
        <v>25</v>
      </c>
      <c r="J34" s="11">
        <v>39641</v>
      </c>
      <c r="K34" s="11">
        <v>29284</v>
      </c>
      <c r="L34" s="10">
        <f t="shared" ca="1" si="3"/>
        <v>14</v>
      </c>
      <c r="M34" s="10">
        <f t="shared" ca="1" si="4"/>
        <v>42</v>
      </c>
      <c r="N34" s="10" t="str">
        <f>LOOKUP(F34,Справочники!$F$2:$F$10,Справочники!$H$2:$H$10)</f>
        <v>+7(8332)64-32-01</v>
      </c>
    </row>
    <row r="35" spans="1:14" ht="15" hidden="1" outlineLevel="2" x14ac:dyDescent="0.25">
      <c r="A35" s="10">
        <v>148</v>
      </c>
      <c r="B35" s="12" t="s">
        <v>178</v>
      </c>
      <c r="C35" s="12" t="s">
        <v>179</v>
      </c>
      <c r="D35" s="42" t="s">
        <v>101</v>
      </c>
      <c r="E35" s="10" t="s">
        <v>17</v>
      </c>
      <c r="F35" s="10" t="str">
        <f>LOOKUP(G35,Справочники!$B$2:$B$35,Справочники!$A$2:$A$35)</f>
        <v>Рекламный отдел</v>
      </c>
      <c r="G35" s="44" t="s">
        <v>27</v>
      </c>
      <c r="H35" s="16">
        <f>LOOKUP(G35,Справочники!$B$2:$B$35,Справочники!$C$2:$C$35)</f>
        <v>22000</v>
      </c>
      <c r="I35" s="6" t="s">
        <v>14</v>
      </c>
      <c r="J35" s="11">
        <v>43539</v>
      </c>
      <c r="K35" s="11">
        <v>27737</v>
      </c>
      <c r="L35" s="10">
        <f t="shared" ca="1" si="3"/>
        <v>3</v>
      </c>
      <c r="M35" s="10">
        <f t="shared" ca="1" si="4"/>
        <v>46</v>
      </c>
      <c r="N35" s="10" t="str">
        <f>LOOKUP(F35,Справочники!$F$2:$F$10,Справочники!$H$2:$H$10)</f>
        <v>+7(8332)64-32-01</v>
      </c>
    </row>
    <row r="36" spans="1:14" ht="15" outlineLevel="1" collapsed="1" x14ac:dyDescent="0.25">
      <c r="A36" s="10"/>
      <c r="B36" s="12"/>
      <c r="C36" s="12"/>
      <c r="D36" s="42"/>
      <c r="E36" s="37" t="s">
        <v>241</v>
      </c>
      <c r="F36" s="10">
        <f>SUBTOTAL(3,F26:F35)</f>
        <v>10</v>
      </c>
      <c r="G36" s="44"/>
      <c r="H36" s="16"/>
      <c r="I36" s="6"/>
      <c r="J36" s="11"/>
      <c r="K36" s="11"/>
      <c r="L36" s="10"/>
      <c r="M36" s="10"/>
      <c r="N36" s="10"/>
    </row>
    <row r="37" spans="1:14" ht="15" hidden="1" outlineLevel="2" x14ac:dyDescent="0.25">
      <c r="A37" s="10">
        <v>142</v>
      </c>
      <c r="B37" s="12" t="s">
        <v>165</v>
      </c>
      <c r="C37" s="12" t="s">
        <v>166</v>
      </c>
      <c r="D37" s="42" t="s">
        <v>127</v>
      </c>
      <c r="E37" s="10" t="s">
        <v>9</v>
      </c>
      <c r="F37" s="10" t="str">
        <f>LOOKUP(G37,Справочники!$B$2:$B$35,Справочники!$A$2:$A$35)</f>
        <v>Склад</v>
      </c>
      <c r="G37" s="44" t="s">
        <v>46</v>
      </c>
      <c r="H37" s="16">
        <f>LOOKUP(G37,Справочники!$B$2:$B$35,Справочники!$C$2:$C$35)</f>
        <v>15000</v>
      </c>
      <c r="I37" s="6" t="s">
        <v>33</v>
      </c>
      <c r="J37" s="11">
        <v>34955</v>
      </c>
      <c r="K37" s="11">
        <v>24134</v>
      </c>
      <c r="L37" s="10">
        <f t="shared" ref="L37:M42" ca="1" si="5">DATEDIF(J37, TODAY(),"Y")</f>
        <v>27</v>
      </c>
      <c r="M37" s="10">
        <f t="shared" ca="1" si="5"/>
        <v>56</v>
      </c>
      <c r="N37" s="10" t="str">
        <f>LOOKUP(F37,Справочники!$F$2:$F$10,Справочники!$H$2:$H$10)</f>
        <v>+7(8332)64-32-23</v>
      </c>
    </row>
    <row r="38" spans="1:14" ht="15" hidden="1" outlineLevel="2" x14ac:dyDescent="0.25">
      <c r="A38" s="10">
        <v>143</v>
      </c>
      <c r="B38" s="12" t="s">
        <v>167</v>
      </c>
      <c r="C38" s="12" t="s">
        <v>168</v>
      </c>
      <c r="D38" s="42" t="s">
        <v>169</v>
      </c>
      <c r="E38" s="10" t="s">
        <v>17</v>
      </c>
      <c r="F38" s="10" t="str">
        <f>LOOKUP(G38,Справочники!$B$2:$B$35,Справочники!$A$2:$A$35)</f>
        <v>Склад</v>
      </c>
      <c r="G38" s="44" t="s">
        <v>47</v>
      </c>
      <c r="H38" s="16">
        <f>LOOKUP(G38,Справочники!$B$2:$B$35,Справочники!$C$2:$C$35)</f>
        <v>11000</v>
      </c>
      <c r="I38" s="6" t="s">
        <v>33</v>
      </c>
      <c r="J38" s="11">
        <v>42016</v>
      </c>
      <c r="K38" s="11">
        <v>30232</v>
      </c>
      <c r="L38" s="10">
        <f t="shared" ca="1" si="5"/>
        <v>7</v>
      </c>
      <c r="M38" s="10">
        <f t="shared" ca="1" si="5"/>
        <v>40</v>
      </c>
      <c r="N38" s="10" t="str">
        <f>LOOKUP(F38,Справочники!$F$2:$F$10,Справочники!$H$2:$H$10)</f>
        <v>+7(8332)64-32-23</v>
      </c>
    </row>
    <row r="39" spans="1:14" ht="15" hidden="1" outlineLevel="2" x14ac:dyDescent="0.25">
      <c r="A39" s="10">
        <v>144</v>
      </c>
      <c r="B39" s="12" t="s">
        <v>170</v>
      </c>
      <c r="C39" s="12" t="s">
        <v>164</v>
      </c>
      <c r="D39" s="42" t="s">
        <v>171</v>
      </c>
      <c r="E39" s="10" t="s">
        <v>17</v>
      </c>
      <c r="F39" s="10" t="str">
        <f>LOOKUP(G39,Справочники!$B$2:$B$35,Справочники!$A$2:$A$35)</f>
        <v>Склад</v>
      </c>
      <c r="G39" s="44" t="s">
        <v>47</v>
      </c>
      <c r="H39" s="16">
        <f>LOOKUP(G39,Справочники!$B$2:$B$35,Справочники!$C$2:$C$35)</f>
        <v>11000</v>
      </c>
      <c r="I39" s="6" t="s">
        <v>33</v>
      </c>
      <c r="J39" s="11">
        <v>43115</v>
      </c>
      <c r="K39" s="11">
        <v>33207</v>
      </c>
      <c r="L39" s="10">
        <f t="shared" ca="1" si="5"/>
        <v>4</v>
      </c>
      <c r="M39" s="10">
        <f t="shared" ca="1" si="5"/>
        <v>31</v>
      </c>
      <c r="N39" s="10" t="str">
        <f>LOOKUP(F39,Справочники!$F$2:$F$10,Справочники!$H$2:$H$10)</f>
        <v>+7(8332)64-32-23</v>
      </c>
    </row>
    <row r="40" spans="1:14" ht="15" hidden="1" outlineLevel="2" x14ac:dyDescent="0.25">
      <c r="A40" s="10">
        <v>145</v>
      </c>
      <c r="B40" s="12" t="s">
        <v>172</v>
      </c>
      <c r="C40" s="12" t="s">
        <v>131</v>
      </c>
      <c r="D40" s="42" t="s">
        <v>145</v>
      </c>
      <c r="E40" s="10" t="s">
        <v>17</v>
      </c>
      <c r="F40" s="10" t="str">
        <f>LOOKUP(G40,Справочники!$B$2:$B$35,Справочники!$A$2:$A$35)</f>
        <v>Склад</v>
      </c>
      <c r="G40" s="44" t="s">
        <v>48</v>
      </c>
      <c r="H40" s="16">
        <f>LOOKUP(G40,Справочники!$B$2:$B$35,Справочники!$C$2:$C$35)</f>
        <v>22000</v>
      </c>
      <c r="I40" s="6" t="s">
        <v>25</v>
      </c>
      <c r="J40" s="11">
        <v>34788</v>
      </c>
      <c r="K40" s="11">
        <v>25204</v>
      </c>
      <c r="L40" s="10">
        <f t="shared" ca="1" si="5"/>
        <v>27</v>
      </c>
      <c r="M40" s="10">
        <f t="shared" ca="1" si="5"/>
        <v>53</v>
      </c>
      <c r="N40" s="10" t="str">
        <f>LOOKUP(F40,Справочники!$F$2:$F$10,Справочники!$H$2:$H$10)</f>
        <v>+7(8332)64-32-23</v>
      </c>
    </row>
    <row r="41" spans="1:14" ht="15" hidden="1" outlineLevel="2" x14ac:dyDescent="0.25">
      <c r="A41" s="10">
        <v>146</v>
      </c>
      <c r="B41" s="12" t="s">
        <v>173</v>
      </c>
      <c r="C41" s="12" t="s">
        <v>129</v>
      </c>
      <c r="D41" s="42" t="s">
        <v>174</v>
      </c>
      <c r="E41" s="10" t="s">
        <v>17</v>
      </c>
      <c r="F41" s="10" t="str">
        <f>LOOKUP(G41,Справочники!$B$2:$B$35,Справочники!$A$2:$A$35)</f>
        <v>Склад</v>
      </c>
      <c r="G41" s="44" t="s">
        <v>46</v>
      </c>
      <c r="H41" s="16">
        <f>LOOKUP(G41,Справочники!$B$2:$B$35,Справочники!$C$2:$C$35)</f>
        <v>15000</v>
      </c>
      <c r="I41" s="6" t="s">
        <v>33</v>
      </c>
      <c r="J41" s="11">
        <v>35032</v>
      </c>
      <c r="K41" s="11">
        <v>26821</v>
      </c>
      <c r="L41" s="10">
        <f t="shared" ca="1" si="5"/>
        <v>26</v>
      </c>
      <c r="M41" s="10">
        <f t="shared" ca="1" si="5"/>
        <v>49</v>
      </c>
      <c r="N41" s="10" t="str">
        <f>LOOKUP(F41,Справочники!$F$2:$F$10,Справочники!$H$2:$H$10)</f>
        <v>+7(8332)64-32-23</v>
      </c>
    </row>
    <row r="42" spans="1:14" ht="15" hidden="1" outlineLevel="2" x14ac:dyDescent="0.25">
      <c r="A42" s="10">
        <v>147</v>
      </c>
      <c r="B42" s="12" t="s">
        <v>175</v>
      </c>
      <c r="C42" s="12" t="s">
        <v>176</v>
      </c>
      <c r="D42" s="42" t="s">
        <v>177</v>
      </c>
      <c r="E42" s="10" t="s">
        <v>17</v>
      </c>
      <c r="F42" s="10" t="str">
        <f>LOOKUP(G42,Справочники!$B$2:$B$35,Справочники!$A$2:$A$35)</f>
        <v>Склад</v>
      </c>
      <c r="G42" s="44" t="s">
        <v>47</v>
      </c>
      <c r="H42" s="16">
        <f>LOOKUP(G42,Справочники!$B$2:$B$35,Справочники!$C$2:$C$35)</f>
        <v>11000</v>
      </c>
      <c r="I42" s="6" t="s">
        <v>33</v>
      </c>
      <c r="J42" s="11">
        <v>42399</v>
      </c>
      <c r="K42" s="11">
        <v>33858</v>
      </c>
      <c r="L42" s="10">
        <f t="shared" ca="1" si="5"/>
        <v>6</v>
      </c>
      <c r="M42" s="10">
        <f t="shared" ca="1" si="5"/>
        <v>30</v>
      </c>
      <c r="N42" s="10" t="str">
        <f>LOOKUP(F42,Справочники!$F$2:$F$10,Справочники!$H$2:$H$10)</f>
        <v>+7(8332)64-32-23</v>
      </c>
    </row>
    <row r="43" spans="1:14" ht="15" outlineLevel="1" collapsed="1" x14ac:dyDescent="0.25">
      <c r="A43" s="10"/>
      <c r="B43" s="12"/>
      <c r="C43" s="12"/>
      <c r="D43" s="42"/>
      <c r="E43" s="37" t="s">
        <v>242</v>
      </c>
      <c r="F43" s="10">
        <f>SUBTOTAL(3,F37:F42)</f>
        <v>6</v>
      </c>
      <c r="G43" s="44"/>
      <c r="H43" s="16"/>
      <c r="I43" s="6"/>
      <c r="J43" s="11"/>
      <c r="K43" s="11"/>
      <c r="L43" s="10"/>
      <c r="M43" s="10"/>
      <c r="N43" s="10"/>
    </row>
    <row r="44" spans="1:14" ht="15" hidden="1" outlineLevel="2" x14ac:dyDescent="0.25">
      <c r="A44" s="10">
        <v>114</v>
      </c>
      <c r="B44" s="12" t="s">
        <v>104</v>
      </c>
      <c r="C44" s="12" t="s">
        <v>105</v>
      </c>
      <c r="D44" s="42" t="s">
        <v>106</v>
      </c>
      <c r="E44" s="10" t="s">
        <v>9</v>
      </c>
      <c r="F44" s="10" t="str">
        <f>LOOKUP(G44,Справочники!$B$2:$B$35,Справочники!$A$2:$A$35)</f>
        <v>Технологический отдел</v>
      </c>
      <c r="G44" s="44" t="s">
        <v>30</v>
      </c>
      <c r="H44" s="16">
        <f>LOOKUP(G44,Справочники!$B$2:$B$35,Справочники!$C$2:$C$35)</f>
        <v>22000</v>
      </c>
      <c r="I44" s="6" t="s">
        <v>14</v>
      </c>
      <c r="J44" s="11">
        <v>43356</v>
      </c>
      <c r="K44" s="11">
        <v>24300</v>
      </c>
      <c r="L44" s="10">
        <f t="shared" ref="L44:L59" ca="1" si="6">DATEDIF(J44, TODAY(),"Y")</f>
        <v>4</v>
      </c>
      <c r="M44" s="10">
        <f t="shared" ref="M44:M59" ca="1" si="7">DATEDIF(K44, TODAY(),"Y")</f>
        <v>56</v>
      </c>
      <c r="N44" s="10" t="str">
        <f>LOOKUP(F44,Справочники!$F$2:$F$10,Справочники!$H$2:$H$10)</f>
        <v>+7(8332)64-32-18</v>
      </c>
    </row>
    <row r="45" spans="1:14" ht="15" hidden="1" outlineLevel="2" x14ac:dyDescent="0.25">
      <c r="A45" s="10">
        <v>115</v>
      </c>
      <c r="B45" s="12" t="s">
        <v>107</v>
      </c>
      <c r="C45" s="12" t="s">
        <v>108</v>
      </c>
      <c r="D45" s="42" t="s">
        <v>76</v>
      </c>
      <c r="E45" s="10" t="s">
        <v>9</v>
      </c>
      <c r="F45" s="10" t="str">
        <f>LOOKUP(G45,Справочники!$B$2:$B$35,Справочники!$A$2:$A$35)</f>
        <v>Технологический отдел</v>
      </c>
      <c r="G45" s="44" t="s">
        <v>31</v>
      </c>
      <c r="H45" s="16">
        <f>LOOKUP(G45,Справочники!$B$2:$B$35,Справочники!$C$2:$C$35)</f>
        <v>12000</v>
      </c>
      <c r="I45" s="6" t="s">
        <v>12</v>
      </c>
      <c r="J45" s="11">
        <v>35096</v>
      </c>
      <c r="K45" s="11">
        <v>26553</v>
      </c>
      <c r="L45" s="10">
        <f t="shared" ca="1" si="6"/>
        <v>26</v>
      </c>
      <c r="M45" s="10">
        <f t="shared" ca="1" si="7"/>
        <v>50</v>
      </c>
      <c r="N45" s="10" t="str">
        <f>LOOKUP(F45,Справочники!$F$2:$F$10,Справочники!$H$2:$H$10)</f>
        <v>+7(8332)64-32-18</v>
      </c>
    </row>
    <row r="46" spans="1:14" ht="15" hidden="1" outlineLevel="2" x14ac:dyDescent="0.25">
      <c r="A46" s="10">
        <v>116</v>
      </c>
      <c r="B46" s="12" t="s">
        <v>109</v>
      </c>
      <c r="C46" s="12" t="s">
        <v>110</v>
      </c>
      <c r="D46" s="42" t="s">
        <v>111</v>
      </c>
      <c r="E46" s="10" t="s">
        <v>9</v>
      </c>
      <c r="F46" s="10" t="str">
        <f>LOOKUP(G46,Справочники!$B$2:$B$35,Справочники!$A$2:$A$35)</f>
        <v>Технологический отдел</v>
      </c>
      <c r="G46" s="44" t="s">
        <v>32</v>
      </c>
      <c r="H46" s="16">
        <f>LOOKUP(G46,Справочники!$B$2:$B$35,Справочники!$C$2:$C$35)</f>
        <v>15000</v>
      </c>
      <c r="I46" s="6" t="s">
        <v>12</v>
      </c>
      <c r="J46" s="11">
        <v>35292</v>
      </c>
      <c r="K46" s="11">
        <v>25810</v>
      </c>
      <c r="L46" s="10">
        <f t="shared" ca="1" si="6"/>
        <v>26</v>
      </c>
      <c r="M46" s="10">
        <f t="shared" ca="1" si="7"/>
        <v>52</v>
      </c>
      <c r="N46" s="10" t="str">
        <f>LOOKUP(F46,Справочники!$F$2:$F$10,Справочники!$H$2:$H$10)</f>
        <v>+7(8332)64-32-18</v>
      </c>
    </row>
    <row r="47" spans="1:14" ht="15" hidden="1" outlineLevel="2" x14ac:dyDescent="0.25">
      <c r="A47" s="10">
        <v>117</v>
      </c>
      <c r="B47" s="12" t="s">
        <v>112</v>
      </c>
      <c r="C47" s="12" t="s">
        <v>72</v>
      </c>
      <c r="D47" s="42" t="s">
        <v>88</v>
      </c>
      <c r="E47" s="10" t="s">
        <v>9</v>
      </c>
      <c r="F47" s="10" t="str">
        <f>LOOKUP(G47,Справочники!$B$2:$B$35,Справочники!$A$2:$A$35)</f>
        <v>Технологический отдел</v>
      </c>
      <c r="G47" s="44" t="s">
        <v>31</v>
      </c>
      <c r="H47" s="16">
        <f>LOOKUP(G47,Справочники!$B$2:$B$35,Справочники!$C$2:$C$35)</f>
        <v>12000</v>
      </c>
      <c r="I47" s="6" t="s">
        <v>33</v>
      </c>
      <c r="J47" s="11">
        <v>35445</v>
      </c>
      <c r="K47" s="11">
        <v>26821</v>
      </c>
      <c r="L47" s="10">
        <f t="shared" ca="1" si="6"/>
        <v>25</v>
      </c>
      <c r="M47" s="10">
        <f t="shared" ca="1" si="7"/>
        <v>49</v>
      </c>
      <c r="N47" s="10" t="str">
        <f>LOOKUP(F47,Справочники!$F$2:$F$10,Справочники!$H$2:$H$10)</f>
        <v>+7(8332)64-32-18</v>
      </c>
    </row>
    <row r="48" spans="1:14" ht="15" hidden="1" outlineLevel="2" x14ac:dyDescent="0.25">
      <c r="A48" s="10">
        <v>118</v>
      </c>
      <c r="B48" s="12" t="s">
        <v>113</v>
      </c>
      <c r="C48" s="12" t="s">
        <v>114</v>
      </c>
      <c r="D48" s="42" t="s">
        <v>115</v>
      </c>
      <c r="E48" s="10" t="s">
        <v>9</v>
      </c>
      <c r="F48" s="10" t="str">
        <f>LOOKUP(G48,Справочники!$B$2:$B$35,Справочники!$A$2:$A$35)</f>
        <v>Технологический отдел</v>
      </c>
      <c r="G48" s="44" t="s">
        <v>34</v>
      </c>
      <c r="H48" s="16">
        <f>LOOKUP(G48,Справочники!$B$2:$B$35,Справочники!$C$2:$C$35)</f>
        <v>12000</v>
      </c>
      <c r="I48" s="6" t="s">
        <v>12</v>
      </c>
      <c r="J48" s="11">
        <v>36303</v>
      </c>
      <c r="K48" s="11">
        <v>25641</v>
      </c>
      <c r="L48" s="10">
        <f t="shared" ca="1" si="6"/>
        <v>23</v>
      </c>
      <c r="M48" s="10">
        <f t="shared" ca="1" si="7"/>
        <v>52</v>
      </c>
      <c r="N48" s="10" t="str">
        <f>LOOKUP(F48,Справочники!$F$2:$F$10,Справочники!$H$2:$H$10)</f>
        <v>+7(8332)64-32-18</v>
      </c>
    </row>
    <row r="49" spans="1:14" ht="15" hidden="1" outlineLevel="2" x14ac:dyDescent="0.25">
      <c r="A49" s="10">
        <v>119</v>
      </c>
      <c r="B49" s="12" t="s">
        <v>116</v>
      </c>
      <c r="C49" s="12" t="s">
        <v>117</v>
      </c>
      <c r="D49" s="42" t="s">
        <v>70</v>
      </c>
      <c r="E49" s="10" t="s">
        <v>9</v>
      </c>
      <c r="F49" s="10" t="str">
        <f>LOOKUP(G49,Справочники!$B$2:$B$35,Справочники!$A$2:$A$35)</f>
        <v>Технологический отдел</v>
      </c>
      <c r="G49" s="44" t="s">
        <v>35</v>
      </c>
      <c r="H49" s="16">
        <f>LOOKUP(G49,Справочники!$B$2:$B$35,Справочники!$C$2:$C$35)</f>
        <v>17000</v>
      </c>
      <c r="I49" s="6" t="s">
        <v>14</v>
      </c>
      <c r="J49" s="11">
        <v>39550</v>
      </c>
      <c r="K49" s="11">
        <v>28420</v>
      </c>
      <c r="L49" s="10">
        <f t="shared" ca="1" si="6"/>
        <v>14</v>
      </c>
      <c r="M49" s="10">
        <f t="shared" ca="1" si="7"/>
        <v>45</v>
      </c>
      <c r="N49" s="10" t="str">
        <f>LOOKUP(F49,Справочники!$F$2:$F$10,Справочники!$H$2:$H$10)</f>
        <v>+7(8332)64-32-18</v>
      </c>
    </row>
    <row r="50" spans="1:14" ht="15" hidden="1" outlineLevel="2" x14ac:dyDescent="0.25">
      <c r="A50" s="10">
        <v>120</v>
      </c>
      <c r="B50" s="12" t="s">
        <v>118</v>
      </c>
      <c r="C50" s="12" t="s">
        <v>98</v>
      </c>
      <c r="D50" s="42" t="s">
        <v>119</v>
      </c>
      <c r="E50" s="10" t="s">
        <v>9</v>
      </c>
      <c r="F50" s="10" t="str">
        <f>LOOKUP(G50,Справочники!$B$2:$B$35,Справочники!$A$2:$A$35)</f>
        <v>Технологический отдел</v>
      </c>
      <c r="G50" s="44" t="s">
        <v>36</v>
      </c>
      <c r="H50" s="16">
        <f>LOOKUP(G50,Справочники!$B$2:$B$35,Справочники!$C$2:$C$35)</f>
        <v>14000</v>
      </c>
      <c r="I50" s="6" t="s">
        <v>12</v>
      </c>
      <c r="J50" s="11">
        <v>35442</v>
      </c>
      <c r="K50" s="11">
        <v>24134</v>
      </c>
      <c r="L50" s="10">
        <f t="shared" ca="1" si="6"/>
        <v>25</v>
      </c>
      <c r="M50" s="10">
        <f t="shared" ca="1" si="7"/>
        <v>56</v>
      </c>
      <c r="N50" s="10" t="str">
        <f>LOOKUP(F50,Справочники!$F$2:$F$10,Справочники!$H$2:$H$10)</f>
        <v>+7(8332)64-32-18</v>
      </c>
    </row>
    <row r="51" spans="1:14" ht="15" hidden="1" outlineLevel="2" x14ac:dyDescent="0.25">
      <c r="A51" s="10">
        <v>121</v>
      </c>
      <c r="B51" s="12" t="s">
        <v>120</v>
      </c>
      <c r="C51" s="12" t="s">
        <v>75</v>
      </c>
      <c r="D51" s="42" t="s">
        <v>79</v>
      </c>
      <c r="E51" s="10" t="s">
        <v>9</v>
      </c>
      <c r="F51" s="10" t="str">
        <f>LOOKUP(G51,Справочники!$B$2:$B$35,Справочники!$A$2:$A$35)</f>
        <v>Технологический отдел</v>
      </c>
      <c r="G51" s="44" t="s">
        <v>36</v>
      </c>
      <c r="H51" s="16">
        <f>LOOKUP(G51,Справочники!$B$2:$B$35,Справочники!$C$2:$C$35)</f>
        <v>14000</v>
      </c>
      <c r="I51" s="6" t="s">
        <v>12</v>
      </c>
      <c r="J51" s="11">
        <v>39845</v>
      </c>
      <c r="K51" s="11">
        <v>31391</v>
      </c>
      <c r="L51" s="10">
        <f t="shared" ca="1" si="6"/>
        <v>13</v>
      </c>
      <c r="M51" s="10">
        <f t="shared" ca="1" si="7"/>
        <v>36</v>
      </c>
      <c r="N51" s="10" t="str">
        <f>LOOKUP(F51,Справочники!$F$2:$F$10,Справочники!$H$2:$H$10)</f>
        <v>+7(8332)64-32-18</v>
      </c>
    </row>
    <row r="52" spans="1:14" ht="15" hidden="1" outlineLevel="2" x14ac:dyDescent="0.25">
      <c r="A52" s="10">
        <v>122</v>
      </c>
      <c r="B52" s="12" t="s">
        <v>121</v>
      </c>
      <c r="C52" s="12" t="s">
        <v>122</v>
      </c>
      <c r="D52" s="42" t="s">
        <v>96</v>
      </c>
      <c r="E52" s="10" t="s">
        <v>9</v>
      </c>
      <c r="F52" s="10" t="str">
        <f>LOOKUP(G52,Справочники!$B$2:$B$35,Справочники!$A$2:$A$35)</f>
        <v>Технологический отдел</v>
      </c>
      <c r="G52" s="44" t="s">
        <v>37</v>
      </c>
      <c r="H52" s="16">
        <f>LOOKUP(G52,Справочники!$B$2:$B$35,Справочники!$C$2:$C$35)</f>
        <v>14000</v>
      </c>
      <c r="I52" s="6" t="s">
        <v>12</v>
      </c>
      <c r="J52" s="11">
        <v>36427</v>
      </c>
      <c r="K52" s="11">
        <v>24846</v>
      </c>
      <c r="L52" s="10">
        <f t="shared" ca="1" si="6"/>
        <v>23</v>
      </c>
      <c r="M52" s="10">
        <f t="shared" ca="1" si="7"/>
        <v>54</v>
      </c>
      <c r="N52" s="10" t="str">
        <f>LOOKUP(F52,Справочники!$F$2:$F$10,Справочники!$H$2:$H$10)</f>
        <v>+7(8332)64-32-18</v>
      </c>
    </row>
    <row r="53" spans="1:14" ht="15" hidden="1" outlineLevel="2" x14ac:dyDescent="0.25">
      <c r="A53" s="10">
        <v>123</v>
      </c>
      <c r="B53" s="12" t="s">
        <v>123</v>
      </c>
      <c r="C53" s="12" t="s">
        <v>114</v>
      </c>
      <c r="D53" s="42" t="s">
        <v>103</v>
      </c>
      <c r="E53" s="10" t="s">
        <v>9</v>
      </c>
      <c r="F53" s="10" t="str">
        <f>LOOKUP(G53,Справочники!$B$2:$B$35,Справочники!$A$2:$A$35)</f>
        <v>Технологический отдел</v>
      </c>
      <c r="G53" s="44" t="s">
        <v>34</v>
      </c>
      <c r="H53" s="16">
        <f>LOOKUP(G53,Справочники!$B$2:$B$35,Справочники!$C$2:$C$35)</f>
        <v>12000</v>
      </c>
      <c r="I53" s="6" t="s">
        <v>14</v>
      </c>
      <c r="J53" s="11">
        <v>35290</v>
      </c>
      <c r="K53" s="11">
        <v>22280</v>
      </c>
      <c r="L53" s="10">
        <f t="shared" ca="1" si="6"/>
        <v>26</v>
      </c>
      <c r="M53" s="10">
        <f t="shared" ca="1" si="7"/>
        <v>61</v>
      </c>
      <c r="N53" s="10" t="str">
        <f>LOOKUP(F53,Справочники!$F$2:$F$10,Справочники!$H$2:$H$10)</f>
        <v>+7(8332)64-32-18</v>
      </c>
    </row>
    <row r="54" spans="1:14" ht="15" hidden="1" outlineLevel="2" x14ac:dyDescent="0.25">
      <c r="A54" s="10">
        <v>124</v>
      </c>
      <c r="B54" s="12" t="s">
        <v>124</v>
      </c>
      <c r="C54" s="12" t="s">
        <v>125</v>
      </c>
      <c r="D54" s="42" t="s">
        <v>96</v>
      </c>
      <c r="E54" s="10" t="s">
        <v>9</v>
      </c>
      <c r="F54" s="10" t="str">
        <f>LOOKUP(G54,Справочники!$B$2:$B$35,Справочники!$A$2:$A$35)</f>
        <v>Технологический отдел</v>
      </c>
      <c r="G54" s="44" t="s">
        <v>32</v>
      </c>
      <c r="H54" s="16">
        <f>LOOKUP(G54,Справочники!$B$2:$B$35,Справочники!$C$2:$C$35)</f>
        <v>15000</v>
      </c>
      <c r="I54" s="6" t="s">
        <v>33</v>
      </c>
      <c r="J54" s="11">
        <v>35451</v>
      </c>
      <c r="K54" s="11">
        <v>27551</v>
      </c>
      <c r="L54" s="10">
        <f t="shared" ca="1" si="6"/>
        <v>25</v>
      </c>
      <c r="M54" s="10">
        <f t="shared" ca="1" si="7"/>
        <v>47</v>
      </c>
      <c r="N54" s="10" t="str">
        <f>LOOKUP(F54,Справочники!$F$2:$F$10,Справочники!$H$2:$H$10)</f>
        <v>+7(8332)64-32-18</v>
      </c>
    </row>
    <row r="55" spans="1:14" ht="15" hidden="1" outlineLevel="2" x14ac:dyDescent="0.25">
      <c r="A55" s="10">
        <v>125</v>
      </c>
      <c r="B55" s="12" t="s">
        <v>126</v>
      </c>
      <c r="C55" s="12" t="s">
        <v>98</v>
      </c>
      <c r="D55" s="42" t="s">
        <v>127</v>
      </c>
      <c r="E55" s="10" t="s">
        <v>9</v>
      </c>
      <c r="F55" s="10" t="str">
        <f>LOOKUP(G55,Справочники!$B$2:$B$35,Справочники!$A$2:$A$35)</f>
        <v>Технологический отдел</v>
      </c>
      <c r="G55" s="44" t="s">
        <v>34</v>
      </c>
      <c r="H55" s="16">
        <f>LOOKUP(G55,Справочники!$B$2:$B$35,Справочники!$C$2:$C$35)</f>
        <v>12000</v>
      </c>
      <c r="I55" s="6" t="s">
        <v>33</v>
      </c>
      <c r="J55" s="11">
        <v>35290</v>
      </c>
      <c r="K55" s="11">
        <v>22065</v>
      </c>
      <c r="L55" s="10">
        <f t="shared" ca="1" si="6"/>
        <v>26</v>
      </c>
      <c r="M55" s="10">
        <f t="shared" ca="1" si="7"/>
        <v>62</v>
      </c>
      <c r="N55" s="10" t="str">
        <f>LOOKUP(F55,Справочники!$F$2:$F$10,Справочники!$H$2:$H$10)</f>
        <v>+7(8332)64-32-18</v>
      </c>
    </row>
    <row r="56" spans="1:14" ht="15" hidden="1" outlineLevel="2" x14ac:dyDescent="0.25">
      <c r="A56" s="10">
        <v>127</v>
      </c>
      <c r="B56" s="12" t="s">
        <v>130</v>
      </c>
      <c r="C56" s="12" t="s">
        <v>131</v>
      </c>
      <c r="D56" s="42" t="s">
        <v>132</v>
      </c>
      <c r="E56" s="10" t="s">
        <v>17</v>
      </c>
      <c r="F56" s="10" t="str">
        <f>LOOKUP(G56,Справочники!$B$2:$B$35,Справочники!$A$2:$A$35)</f>
        <v>Технологический отдел</v>
      </c>
      <c r="G56" s="44" t="s">
        <v>38</v>
      </c>
      <c r="H56" s="16">
        <f>LOOKUP(G56,Справочники!$B$2:$B$35,Справочники!$C$2:$C$35)</f>
        <v>20000</v>
      </c>
      <c r="I56" s="6" t="s">
        <v>14</v>
      </c>
      <c r="J56" s="11">
        <v>40810</v>
      </c>
      <c r="K56" s="11">
        <v>31390</v>
      </c>
      <c r="L56" s="10">
        <f t="shared" ca="1" si="6"/>
        <v>11</v>
      </c>
      <c r="M56" s="10">
        <f t="shared" ca="1" si="7"/>
        <v>36</v>
      </c>
      <c r="N56" s="10" t="str">
        <f>LOOKUP(F56,Справочники!$F$2:$F$10,Справочники!$H$2:$H$10)</f>
        <v>+7(8332)64-32-18</v>
      </c>
    </row>
    <row r="57" spans="1:14" ht="15" hidden="1" outlineLevel="2" x14ac:dyDescent="0.25">
      <c r="A57" s="10">
        <v>134</v>
      </c>
      <c r="B57" s="12" t="s">
        <v>146</v>
      </c>
      <c r="C57" s="12" t="s">
        <v>147</v>
      </c>
      <c r="D57" s="42" t="s">
        <v>148</v>
      </c>
      <c r="E57" s="10" t="s">
        <v>9</v>
      </c>
      <c r="F57" s="10" t="str">
        <f>LOOKUP(G57,Справочники!$B$2:$B$35,Справочники!$A$2:$A$35)</f>
        <v>Технологический отдел</v>
      </c>
      <c r="G57" s="44" t="s">
        <v>38</v>
      </c>
      <c r="H57" s="16">
        <f>LOOKUP(G57,Справочники!$B$2:$B$35,Справочники!$C$2:$C$35)</f>
        <v>20000</v>
      </c>
      <c r="I57" s="6" t="s">
        <v>14</v>
      </c>
      <c r="J57" s="11">
        <v>35208</v>
      </c>
      <c r="K57" s="11">
        <v>25186</v>
      </c>
      <c r="L57" s="10">
        <f t="shared" ca="1" si="6"/>
        <v>26</v>
      </c>
      <c r="M57" s="10">
        <f t="shared" ca="1" si="7"/>
        <v>53</v>
      </c>
      <c r="N57" s="10" t="str">
        <f>LOOKUP(F57,Справочники!$F$2:$F$10,Справочники!$H$2:$H$10)</f>
        <v>+7(8332)64-32-18</v>
      </c>
    </row>
    <row r="58" spans="1:14" ht="15" hidden="1" outlineLevel="2" x14ac:dyDescent="0.25">
      <c r="A58" s="10">
        <v>135</v>
      </c>
      <c r="B58" s="12" t="s">
        <v>149</v>
      </c>
      <c r="C58" s="12" t="s">
        <v>75</v>
      </c>
      <c r="D58" s="42" t="s">
        <v>96</v>
      </c>
      <c r="E58" s="10" t="s">
        <v>9</v>
      </c>
      <c r="F58" s="10" t="str">
        <f>LOOKUP(G58,Справочники!$B$2:$B$35,Справочники!$A$2:$A$35)</f>
        <v>Технологический отдел</v>
      </c>
      <c r="G58" s="44" t="s">
        <v>38</v>
      </c>
      <c r="H58" s="16">
        <f>LOOKUP(G58,Справочники!$B$2:$B$35,Справочники!$C$2:$C$35)</f>
        <v>20000</v>
      </c>
      <c r="I58" s="6" t="s">
        <v>25</v>
      </c>
      <c r="J58" s="11">
        <v>35290</v>
      </c>
      <c r="K58" s="11">
        <v>23891</v>
      </c>
      <c r="L58" s="10">
        <f t="shared" ca="1" si="6"/>
        <v>26</v>
      </c>
      <c r="M58" s="10">
        <f t="shared" ca="1" si="7"/>
        <v>57</v>
      </c>
      <c r="N58" s="10" t="str">
        <f>LOOKUP(F58,Справочники!$F$2:$F$10,Справочники!$H$2:$H$10)</f>
        <v>+7(8332)64-32-18</v>
      </c>
    </row>
    <row r="59" spans="1:14" ht="15" hidden="1" outlineLevel="2" x14ac:dyDescent="0.25">
      <c r="A59" s="10">
        <v>157</v>
      </c>
      <c r="B59" s="12" t="s">
        <v>195</v>
      </c>
      <c r="C59" s="12" t="s">
        <v>196</v>
      </c>
      <c r="D59" s="42" t="s">
        <v>197</v>
      </c>
      <c r="E59" s="10" t="s">
        <v>9</v>
      </c>
      <c r="F59" s="10" t="str">
        <f>LOOKUP(G59,Справочники!$B$2:$B$35,Справочники!$A$2:$A$35)</f>
        <v>Технологический отдел</v>
      </c>
      <c r="G59" s="44" t="s">
        <v>31</v>
      </c>
      <c r="H59" s="16">
        <f>LOOKUP(G59,Справочники!$B$2:$B$35,Справочники!$C$2:$C$35)</f>
        <v>12000</v>
      </c>
      <c r="I59" s="6" t="s">
        <v>12</v>
      </c>
      <c r="J59" s="11">
        <v>39887</v>
      </c>
      <c r="K59" s="11">
        <v>30205</v>
      </c>
      <c r="L59" s="10">
        <f t="shared" ca="1" si="6"/>
        <v>13</v>
      </c>
      <c r="M59" s="10">
        <f t="shared" ca="1" si="7"/>
        <v>40</v>
      </c>
      <c r="N59" s="10" t="str">
        <f>LOOKUP(F59,Справочники!$F$2:$F$10,Справочники!$H$2:$H$10)</f>
        <v>+7(8332)64-32-18</v>
      </c>
    </row>
    <row r="60" spans="1:14" ht="15" outlineLevel="1" collapsed="1" x14ac:dyDescent="0.25">
      <c r="A60" s="10"/>
      <c r="B60" s="12"/>
      <c r="C60" s="12"/>
      <c r="D60" s="42"/>
      <c r="E60" s="37" t="s">
        <v>243</v>
      </c>
      <c r="F60" s="10">
        <f>SUBTOTAL(3,F44:F59)</f>
        <v>16</v>
      </c>
      <c r="G60" s="44"/>
      <c r="H60" s="16"/>
      <c r="I60" s="6"/>
      <c r="J60" s="11"/>
      <c r="K60" s="11"/>
      <c r="L60" s="10"/>
      <c r="M60" s="10"/>
      <c r="N60" s="10"/>
    </row>
    <row r="61" spans="1:14" ht="15" hidden="1" outlineLevel="2" x14ac:dyDescent="0.25">
      <c r="A61" s="10">
        <v>149</v>
      </c>
      <c r="B61" s="12" t="s">
        <v>180</v>
      </c>
      <c r="C61" s="12" t="s">
        <v>181</v>
      </c>
      <c r="D61" s="42" t="s">
        <v>132</v>
      </c>
      <c r="E61" s="10" t="s">
        <v>17</v>
      </c>
      <c r="F61" s="10" t="str">
        <f>LOOKUP(G61,Справочники!$B$2:$B$35,Справочники!$A$2:$A$35)</f>
        <v>Транспортный отдел</v>
      </c>
      <c r="G61" s="44" t="s">
        <v>50</v>
      </c>
      <c r="H61" s="16">
        <f>LOOKUP(G61,Справочники!$B$2:$B$35,Справочники!$C$2:$C$35)</f>
        <v>12000</v>
      </c>
      <c r="I61" s="6" t="s">
        <v>33</v>
      </c>
      <c r="J61" s="11">
        <v>34759</v>
      </c>
      <c r="K61" s="11">
        <v>25186</v>
      </c>
      <c r="L61" s="10">
        <f t="shared" ref="L61:M64" ca="1" si="8">DATEDIF(J61, TODAY(),"Y")</f>
        <v>27</v>
      </c>
      <c r="M61" s="10">
        <f t="shared" ca="1" si="8"/>
        <v>53</v>
      </c>
      <c r="N61" s="10" t="str">
        <f>LOOKUP(F61,Справочники!$F$2:$F$10,Справочники!$H$2:$H$10)</f>
        <v>+7(8332)64-32-18</v>
      </c>
    </row>
    <row r="62" spans="1:14" ht="15" hidden="1" outlineLevel="2" x14ac:dyDescent="0.25">
      <c r="A62" s="10">
        <v>161</v>
      </c>
      <c r="B62" s="12" t="s">
        <v>204</v>
      </c>
      <c r="C62" s="12" t="s">
        <v>205</v>
      </c>
      <c r="D62" s="42" t="s">
        <v>145</v>
      </c>
      <c r="E62" s="10" t="s">
        <v>17</v>
      </c>
      <c r="F62" s="10" t="str">
        <f>LOOKUP(G62,Справочники!$B$2:$B$35,Справочники!$A$2:$A$35)</f>
        <v>Транспортный отдел</v>
      </c>
      <c r="G62" s="44" t="s">
        <v>50</v>
      </c>
      <c r="H62" s="16">
        <f>LOOKUP(G62,Справочники!$B$2:$B$35,Справочники!$C$2:$C$35)</f>
        <v>12000</v>
      </c>
      <c r="I62" s="6" t="s">
        <v>12</v>
      </c>
      <c r="J62" s="11">
        <v>31108</v>
      </c>
      <c r="K62" s="11">
        <v>23891</v>
      </c>
      <c r="L62" s="10">
        <f t="shared" ca="1" si="8"/>
        <v>37</v>
      </c>
      <c r="M62" s="10">
        <f t="shared" ca="1" si="8"/>
        <v>57</v>
      </c>
      <c r="N62" s="10" t="str">
        <f>LOOKUP(F62,Справочники!$F$2:$F$10,Справочники!$H$2:$H$10)</f>
        <v>+7(8332)64-32-18</v>
      </c>
    </row>
    <row r="63" spans="1:14" ht="15" hidden="1" outlineLevel="2" x14ac:dyDescent="0.25">
      <c r="A63" s="10">
        <v>162</v>
      </c>
      <c r="B63" s="12" t="s">
        <v>206</v>
      </c>
      <c r="C63" s="12" t="s">
        <v>100</v>
      </c>
      <c r="D63" s="42" t="s">
        <v>207</v>
      </c>
      <c r="E63" s="10" t="s">
        <v>17</v>
      </c>
      <c r="F63" s="10" t="str">
        <f>LOOKUP(G63,Справочники!$B$2:$B$35,Справочники!$A$2:$A$35)</f>
        <v>Транспортный отдел</v>
      </c>
      <c r="G63" s="44" t="s">
        <v>50</v>
      </c>
      <c r="H63" s="16">
        <f>LOOKUP(G63,Справочники!$B$2:$B$35,Справочники!$C$2:$C$35)</f>
        <v>12000</v>
      </c>
      <c r="I63" s="6" t="s">
        <v>12</v>
      </c>
      <c r="J63" s="11">
        <v>32023</v>
      </c>
      <c r="K63" s="11">
        <v>22893</v>
      </c>
      <c r="L63" s="10">
        <f t="shared" ca="1" si="8"/>
        <v>35</v>
      </c>
      <c r="M63" s="10">
        <f t="shared" ca="1" si="8"/>
        <v>60</v>
      </c>
      <c r="N63" s="10" t="str">
        <f>LOOKUP(F63,Справочники!$F$2:$F$10,Справочники!$H$2:$H$10)</f>
        <v>+7(8332)64-32-18</v>
      </c>
    </row>
    <row r="64" spans="1:14" ht="15" hidden="1" outlineLevel="2" x14ac:dyDescent="0.25">
      <c r="A64" s="10">
        <v>164</v>
      </c>
      <c r="B64" s="12" t="s">
        <v>210</v>
      </c>
      <c r="C64" s="12" t="s">
        <v>211</v>
      </c>
      <c r="D64" s="42" t="s">
        <v>148</v>
      </c>
      <c r="E64" s="10" t="s">
        <v>9</v>
      </c>
      <c r="F64" s="10" t="str">
        <f>LOOKUP(G64,Справочники!$B$2:$B$35,Справочники!$A$2:$A$35)</f>
        <v>Транспортный отдел</v>
      </c>
      <c r="G64" s="44" t="s">
        <v>57</v>
      </c>
      <c r="H64" s="16">
        <f>LOOKUP(G64,Справочники!$B$2:$B$35,Справочники!$C$2:$C$35)</f>
        <v>12000</v>
      </c>
      <c r="I64" s="6" t="s">
        <v>33</v>
      </c>
      <c r="J64" s="11">
        <v>43438</v>
      </c>
      <c r="K64" s="11">
        <v>34714</v>
      </c>
      <c r="L64" s="10">
        <f t="shared" ca="1" si="8"/>
        <v>3</v>
      </c>
      <c r="M64" s="10">
        <f t="shared" ca="1" si="8"/>
        <v>27</v>
      </c>
      <c r="N64" s="10" t="str">
        <f>LOOKUP(F64,Справочники!$F$2:$F$10,Справочники!$H$2:$H$10)</f>
        <v>+7(8332)64-32-18</v>
      </c>
    </row>
    <row r="65" spans="1:14" ht="15" hidden="1" outlineLevel="1" collapsed="1" x14ac:dyDescent="0.25">
      <c r="A65" s="10"/>
      <c r="B65" s="12"/>
      <c r="C65" s="12"/>
      <c r="D65" s="42"/>
      <c r="E65" s="37" t="s">
        <v>244</v>
      </c>
      <c r="F65" s="10">
        <f>SUBTOTAL(3,F61:F64)</f>
        <v>4</v>
      </c>
      <c r="G65" s="44"/>
      <c r="H65" s="16"/>
      <c r="I65" s="6"/>
      <c r="J65" s="11"/>
      <c r="K65" s="11"/>
      <c r="L65" s="10"/>
      <c r="M65" s="10"/>
      <c r="N65" s="10"/>
    </row>
    <row r="66" spans="1:14" ht="15" hidden="1" outlineLevel="2" x14ac:dyDescent="0.25">
      <c r="A66" s="10">
        <v>107</v>
      </c>
      <c r="B66" s="12" t="s">
        <v>86</v>
      </c>
      <c r="C66" s="12" t="s">
        <v>87</v>
      </c>
      <c r="D66" s="42" t="s">
        <v>88</v>
      </c>
      <c r="E66" s="10" t="s">
        <v>9</v>
      </c>
      <c r="F66" s="10" t="str">
        <f>LOOKUP(G66,Справочники!$B$2:$B$35,Справочники!$A$2:$A$35)</f>
        <v>Управление</v>
      </c>
      <c r="G66" s="44" t="s">
        <v>20</v>
      </c>
      <c r="H66" s="16">
        <f>LOOKUP(G66,Справочники!$B$2:$B$35,Справочники!$C$2:$C$35)</f>
        <v>15000</v>
      </c>
      <c r="I66" s="6" t="s">
        <v>12</v>
      </c>
      <c r="J66" s="11">
        <v>39956</v>
      </c>
      <c r="K66" s="11">
        <v>30254</v>
      </c>
      <c r="L66" s="10">
        <f t="shared" ref="L66:M73" ca="1" si="9">DATEDIF(J66, TODAY(),"Y")</f>
        <v>13</v>
      </c>
      <c r="M66" s="10">
        <f t="shared" ca="1" si="9"/>
        <v>40</v>
      </c>
      <c r="N66" s="10" t="str">
        <f>LOOKUP(F66,Справочники!$F$2:$F$10,Справочники!$H$2:$H$10)</f>
        <v>+7(8332)64-32-18</v>
      </c>
    </row>
    <row r="67" spans="1:14" ht="15" hidden="1" outlineLevel="2" x14ac:dyDescent="0.25">
      <c r="A67" s="10">
        <v>108</v>
      </c>
      <c r="B67" s="12" t="s">
        <v>89</v>
      </c>
      <c r="C67" s="12" t="s">
        <v>90</v>
      </c>
      <c r="D67" s="42" t="s">
        <v>91</v>
      </c>
      <c r="E67" s="10" t="s">
        <v>17</v>
      </c>
      <c r="F67" s="10" t="str">
        <f>LOOKUP(G67,Справочники!$B$2:$B$35,Справочники!$A$2:$A$35)</f>
        <v>Управление</v>
      </c>
      <c r="G67" s="44" t="s">
        <v>21</v>
      </c>
      <c r="H67" s="16">
        <f>LOOKUP(G67,Справочники!$B$2:$B$35,Справочники!$C$2:$C$35)</f>
        <v>35000</v>
      </c>
      <c r="I67" s="6" t="s">
        <v>14</v>
      </c>
      <c r="J67" s="11">
        <v>38579</v>
      </c>
      <c r="K67" s="11">
        <v>28499</v>
      </c>
      <c r="L67" s="10">
        <f t="shared" ca="1" si="9"/>
        <v>17</v>
      </c>
      <c r="M67" s="10">
        <f t="shared" ca="1" si="9"/>
        <v>44</v>
      </c>
      <c r="N67" s="10" t="str">
        <f>LOOKUP(F67,Справочники!$F$2:$F$10,Справочники!$H$2:$H$10)</f>
        <v>+7(8332)64-32-18</v>
      </c>
    </row>
    <row r="68" spans="1:14" ht="15" hidden="1" outlineLevel="2" x14ac:dyDescent="0.25">
      <c r="A68" s="10">
        <v>109</v>
      </c>
      <c r="B68" s="12" t="s">
        <v>92</v>
      </c>
      <c r="C68" s="12" t="s">
        <v>81</v>
      </c>
      <c r="D68" s="42" t="s">
        <v>93</v>
      </c>
      <c r="E68" s="10" t="s">
        <v>17</v>
      </c>
      <c r="F68" s="10" t="str">
        <f>LOOKUP(G68,Справочники!$B$2:$B$35,Справочники!$A$2:$A$35)</f>
        <v>Управление</v>
      </c>
      <c r="G68" s="44" t="s">
        <v>22</v>
      </c>
      <c r="H68" s="16">
        <f>LOOKUP(G68,Справочники!$B$2:$B$35,Справочники!$C$2:$C$35)</f>
        <v>28000</v>
      </c>
      <c r="I68" s="6" t="s">
        <v>14</v>
      </c>
      <c r="J68" s="11">
        <v>39103</v>
      </c>
      <c r="K68" s="11">
        <v>27786</v>
      </c>
      <c r="L68" s="10">
        <f t="shared" ca="1" si="9"/>
        <v>15</v>
      </c>
      <c r="M68" s="10">
        <f t="shared" ca="1" si="9"/>
        <v>46</v>
      </c>
      <c r="N68" s="10" t="str">
        <f>LOOKUP(F68,Справочники!$F$2:$F$10,Справочники!$H$2:$H$10)</f>
        <v>+7(8332)64-32-18</v>
      </c>
    </row>
    <row r="69" spans="1:14" ht="15" hidden="1" outlineLevel="2" x14ac:dyDescent="0.25">
      <c r="A69" s="10">
        <v>110</v>
      </c>
      <c r="B69" s="12" t="s">
        <v>94</v>
      </c>
      <c r="C69" s="12" t="s">
        <v>95</v>
      </c>
      <c r="D69" s="42" t="s">
        <v>96</v>
      </c>
      <c r="E69" s="10" t="s">
        <v>9</v>
      </c>
      <c r="F69" s="10" t="str">
        <f>LOOKUP(G69,Справочники!$B$2:$B$35,Справочники!$A$2:$A$35)</f>
        <v>Управление</v>
      </c>
      <c r="G69" s="44" t="s">
        <v>23</v>
      </c>
      <c r="H69" s="16">
        <f>LOOKUP(G69,Справочники!$B$2:$B$35,Справочники!$C$2:$C$35)</f>
        <v>30000</v>
      </c>
      <c r="I69" s="6" t="s">
        <v>14</v>
      </c>
      <c r="J69" s="11">
        <v>34436</v>
      </c>
      <c r="K69" s="11">
        <v>26821</v>
      </c>
      <c r="L69" s="10">
        <f t="shared" ca="1" si="9"/>
        <v>28</v>
      </c>
      <c r="M69" s="10">
        <f t="shared" ca="1" si="9"/>
        <v>49</v>
      </c>
      <c r="N69" s="10" t="str">
        <f>LOOKUP(F69,Справочники!$F$2:$F$10,Справочники!$H$2:$H$10)</f>
        <v>+7(8332)64-32-18</v>
      </c>
    </row>
    <row r="70" spans="1:14" ht="15" hidden="1" outlineLevel="2" x14ac:dyDescent="0.25">
      <c r="A70" s="10">
        <v>111</v>
      </c>
      <c r="B70" s="12" t="s">
        <v>97</v>
      </c>
      <c r="C70" s="12" t="s">
        <v>98</v>
      </c>
      <c r="D70" s="42" t="s">
        <v>76</v>
      </c>
      <c r="E70" s="10" t="s">
        <v>9</v>
      </c>
      <c r="F70" s="10" t="str">
        <f>LOOKUP(G70,Справочники!$B$2:$B$35,Справочники!$A$2:$A$35)</f>
        <v>Управление</v>
      </c>
      <c r="G70" s="44" t="s">
        <v>24</v>
      </c>
      <c r="H70" s="16">
        <f>LOOKUP(G70,Справочники!$B$2:$B$35,Справочники!$C$2:$C$35)</f>
        <v>15000</v>
      </c>
      <c r="I70" s="6" t="s">
        <v>25</v>
      </c>
      <c r="J70" s="11">
        <v>42960</v>
      </c>
      <c r="K70" s="11">
        <v>33207</v>
      </c>
      <c r="L70" s="10">
        <f t="shared" ca="1" si="9"/>
        <v>5</v>
      </c>
      <c r="M70" s="10">
        <f t="shared" ca="1" si="9"/>
        <v>31</v>
      </c>
      <c r="N70" s="10" t="str">
        <f>LOOKUP(F70,Справочники!$F$2:$F$10,Справочники!$H$2:$H$10)</f>
        <v>+7(8332)64-32-18</v>
      </c>
    </row>
    <row r="71" spans="1:14" ht="15" hidden="1" outlineLevel="2" x14ac:dyDescent="0.25">
      <c r="A71" s="10">
        <v>130</v>
      </c>
      <c r="B71" s="12" t="s">
        <v>137</v>
      </c>
      <c r="C71" s="12" t="s">
        <v>138</v>
      </c>
      <c r="D71" s="42" t="s">
        <v>139</v>
      </c>
      <c r="E71" s="10" t="s">
        <v>9</v>
      </c>
      <c r="F71" s="10" t="str">
        <f>LOOKUP(G71,Справочники!$B$2:$B$35,Справочники!$A$2:$A$35)</f>
        <v>Управление</v>
      </c>
      <c r="G71" s="44" t="s">
        <v>20</v>
      </c>
      <c r="H71" s="16">
        <f>LOOKUP(G71,Справочники!$B$2:$B$35,Справочники!$C$2:$C$35)</f>
        <v>15000</v>
      </c>
      <c r="I71" s="6" t="s">
        <v>25</v>
      </c>
      <c r="J71" s="11">
        <v>42765</v>
      </c>
      <c r="K71" s="11">
        <v>34714</v>
      </c>
      <c r="L71" s="10">
        <f t="shared" ca="1" si="9"/>
        <v>5</v>
      </c>
      <c r="M71" s="10">
        <f t="shared" ca="1" si="9"/>
        <v>27</v>
      </c>
      <c r="N71" s="10" t="str">
        <f>LOOKUP(F71,Справочники!$F$2:$F$10,Справочники!$H$2:$H$10)</f>
        <v>+7(8332)64-32-18</v>
      </c>
    </row>
    <row r="72" spans="1:14" ht="15" hidden="1" outlineLevel="2" x14ac:dyDescent="0.25">
      <c r="A72" s="10">
        <v>137</v>
      </c>
      <c r="B72" s="12" t="s">
        <v>153</v>
      </c>
      <c r="C72" s="12" t="s">
        <v>114</v>
      </c>
      <c r="D72" s="42" t="s">
        <v>154</v>
      </c>
      <c r="E72" s="10" t="s">
        <v>9</v>
      </c>
      <c r="F72" s="10" t="str">
        <f>LOOKUP(G72,Справочники!$B$2:$B$35,Справочники!$A$2:$A$35)</f>
        <v>Управление</v>
      </c>
      <c r="G72" s="44" t="s">
        <v>20</v>
      </c>
      <c r="H72" s="16">
        <f>LOOKUP(G72,Справочники!$B$2:$B$35,Справочники!$C$2:$C$35)</f>
        <v>15000</v>
      </c>
      <c r="I72" s="6" t="s">
        <v>25</v>
      </c>
      <c r="J72" s="11">
        <v>42271</v>
      </c>
      <c r="K72" s="11">
        <v>33851</v>
      </c>
      <c r="L72" s="10">
        <f t="shared" ca="1" si="9"/>
        <v>7</v>
      </c>
      <c r="M72" s="10">
        <f t="shared" ca="1" si="9"/>
        <v>30</v>
      </c>
      <c r="N72" s="10" t="str">
        <f>LOOKUP(F72,Справочники!$F$2:$F$10,Справочники!$H$2:$H$10)</f>
        <v>+7(8332)64-32-18</v>
      </c>
    </row>
    <row r="73" spans="1:14" ht="15" hidden="1" outlineLevel="2" x14ac:dyDescent="0.25">
      <c r="A73" s="10">
        <v>139</v>
      </c>
      <c r="B73" s="12" t="s">
        <v>157</v>
      </c>
      <c r="C73" s="12" t="s">
        <v>158</v>
      </c>
      <c r="D73" s="42" t="s">
        <v>159</v>
      </c>
      <c r="E73" s="10" t="s">
        <v>9</v>
      </c>
      <c r="F73" s="10" t="str">
        <f>LOOKUP(G73,Справочники!$B$2:$B$35,Справочники!$A$2:$A$35)</f>
        <v>Управление</v>
      </c>
      <c r="G73" s="44" t="s">
        <v>20</v>
      </c>
      <c r="H73" s="16">
        <f>LOOKUP(G73,Справочники!$B$2:$B$35,Справочники!$C$2:$C$35)</f>
        <v>15000</v>
      </c>
      <c r="I73" s="6" t="s">
        <v>12</v>
      </c>
      <c r="J73" s="11">
        <v>41697</v>
      </c>
      <c r="K73" s="11">
        <v>33022</v>
      </c>
      <c r="L73" s="10">
        <f t="shared" ca="1" si="9"/>
        <v>8</v>
      </c>
      <c r="M73" s="10">
        <f t="shared" ca="1" si="9"/>
        <v>32</v>
      </c>
      <c r="N73" s="10" t="str">
        <f>LOOKUP(F73,Справочники!$F$2:$F$10,Справочники!$H$2:$H$10)</f>
        <v>+7(8332)64-32-18</v>
      </c>
    </row>
    <row r="74" spans="1:14" ht="15" outlineLevel="1" collapsed="1" x14ac:dyDescent="0.25">
      <c r="A74" s="5"/>
      <c r="E74" s="37" t="s">
        <v>245</v>
      </c>
      <c r="F74" s="10">
        <f>SUBTOTAL(3,F66:F73)</f>
        <v>8</v>
      </c>
      <c r="H74" s="38"/>
      <c r="J74" s="39"/>
      <c r="K74" s="39"/>
      <c r="L74" s="5"/>
      <c r="M74" s="5"/>
      <c r="N74" s="5"/>
    </row>
    <row r="75" spans="1:14" ht="15" x14ac:dyDescent="0.25">
      <c r="A75" s="5"/>
      <c r="E75" s="37" t="s">
        <v>246</v>
      </c>
      <c r="F75" s="10">
        <f>SUBTOTAL(3,F2:F73)</f>
        <v>64</v>
      </c>
      <c r="H75" s="38"/>
      <c r="J75" s="39"/>
      <c r="K75" s="39"/>
      <c r="L75" s="5"/>
      <c r="M75" s="5"/>
      <c r="N75" s="5"/>
    </row>
  </sheetData>
  <sortState xmlns:xlrd2="http://schemas.microsoft.com/office/spreadsheetml/2017/richdata2" ref="A2:N73">
    <sortCondition ref="F2:F73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6ECF-2657-4CDB-AF7D-D82B862EF987}">
  <dimension ref="A1:N73"/>
  <sheetViews>
    <sheetView topLeftCell="D1" zoomScaleNormal="100" workbookViewId="0">
      <pane ySplit="1" topLeftCell="A2" activePane="bottomLeft" state="frozen"/>
      <selection pane="bottomLeft" activeCell="M74" sqref="M74"/>
    </sheetView>
  </sheetViews>
  <sheetFormatPr defaultRowHeight="12.75" outlineLevelRow="2" x14ac:dyDescent="0.2"/>
  <cols>
    <col min="1" max="1" width="26.7109375" style="4" customWidth="1"/>
    <col min="2" max="2" width="26.140625" style="13" customWidth="1"/>
    <col min="3" max="3" width="16.140625" style="13" customWidth="1"/>
    <col min="4" max="4" width="21.140625" style="13" customWidth="1"/>
    <col min="5" max="5" width="17.5703125" style="5" customWidth="1"/>
    <col min="6" max="6" width="22.140625" style="5" bestFit="1" customWidth="1"/>
    <col min="7" max="7" width="24.140625" style="4" bestFit="1" customWidth="1"/>
    <col min="8" max="8" width="10.7109375" style="18" bestFit="1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hidden="1" outlineLevel="2" x14ac:dyDescent="0.25">
      <c r="A2" s="10">
        <v>164</v>
      </c>
      <c r="B2" s="12" t="s">
        <v>210</v>
      </c>
      <c r="C2" s="12" t="s">
        <v>211</v>
      </c>
      <c r="D2" s="12" t="s">
        <v>148</v>
      </c>
      <c r="E2" s="10" t="s">
        <v>9</v>
      </c>
      <c r="F2" s="10" t="str">
        <f>LOOKUP(G2,Справочники!$B$2:$B$35,Справочники!$A$2:$A$35)</f>
        <v>Транспортный отдел</v>
      </c>
      <c r="G2" s="6" t="s">
        <v>57</v>
      </c>
      <c r="H2" s="16">
        <f>LOOKUP(G2,Справочники!$B$2:$B$35,Справочники!$C$2:$C$35)</f>
        <v>12000</v>
      </c>
      <c r="I2" s="6" t="s">
        <v>33</v>
      </c>
      <c r="J2" s="11">
        <v>43438</v>
      </c>
      <c r="K2" s="11">
        <v>34714</v>
      </c>
      <c r="L2" s="10">
        <f ca="1">DATEDIF(J2, TODAY(),"Y")</f>
        <v>3</v>
      </c>
      <c r="M2" s="10">
        <f ca="1">DATEDIF(K2, TODAY(),"Y")</f>
        <v>27</v>
      </c>
      <c r="N2" s="10" t="str">
        <f>LOOKUP(F2,Справочники!$F$2:$F$10,Справочники!$H$2:$H$10)</f>
        <v>+7(8332)64-32-18</v>
      </c>
    </row>
    <row r="3" spans="1:14" ht="15" hidden="1" outlineLevel="2" x14ac:dyDescent="0.25">
      <c r="A3" s="10">
        <v>114</v>
      </c>
      <c r="B3" s="12" t="s">
        <v>104</v>
      </c>
      <c r="C3" s="12" t="s">
        <v>105</v>
      </c>
      <c r="D3" s="12" t="s">
        <v>106</v>
      </c>
      <c r="E3" s="10" t="s">
        <v>9</v>
      </c>
      <c r="F3" s="10" t="str">
        <f>LOOKUP(G3,Справочники!$B$2:$B$35,Справочники!$A$2:$A$35)</f>
        <v>Технологический отдел</v>
      </c>
      <c r="G3" s="6" t="s">
        <v>30</v>
      </c>
      <c r="H3" s="16">
        <f>LOOKUP(G3,Справочники!$B$2:$B$35,Справочники!$C$2:$C$35)</f>
        <v>22000</v>
      </c>
      <c r="I3" s="6" t="s">
        <v>14</v>
      </c>
      <c r="J3" s="11">
        <v>43356</v>
      </c>
      <c r="K3" s="11">
        <v>24300</v>
      </c>
      <c r="L3" s="10">
        <f ca="1">DATEDIF(J3, TODAY(),"Y")</f>
        <v>4</v>
      </c>
      <c r="M3" s="10">
        <f ca="1">DATEDIF(K3, TODAY(),"Y")</f>
        <v>56</v>
      </c>
      <c r="N3" s="10" t="str">
        <f>LOOKUP(F3,Справочники!$F$2:$F$10,Справочники!$H$2:$H$10)</f>
        <v>+7(8332)64-32-18</v>
      </c>
    </row>
    <row r="4" spans="1:14" ht="15" hidden="1" outlineLevel="2" x14ac:dyDescent="0.25">
      <c r="A4" s="10">
        <v>103</v>
      </c>
      <c r="B4" s="12" t="s">
        <v>74</v>
      </c>
      <c r="C4" s="12" t="s">
        <v>75</v>
      </c>
      <c r="D4" s="12" t="s">
        <v>76</v>
      </c>
      <c r="E4" s="10" t="s">
        <v>9</v>
      </c>
      <c r="F4" s="10" t="str">
        <f>LOOKUP(G4,Справочники!$B$2:$B$35,Справочники!$A$2:$A$35)</f>
        <v>Бухгалтерия</v>
      </c>
      <c r="G4" s="6" t="s">
        <v>15</v>
      </c>
      <c r="H4" s="16">
        <f>LOOKUP(G4,Справочники!$B$2:$B$35,Справочники!$C$2:$C$35)</f>
        <v>12000</v>
      </c>
      <c r="I4" s="6" t="s">
        <v>12</v>
      </c>
      <c r="J4" s="11">
        <v>42962</v>
      </c>
      <c r="K4" s="11">
        <v>34762</v>
      </c>
      <c r="L4" s="10">
        <f ca="1">DATEDIF(J4, TODAY(),"Y")</f>
        <v>5</v>
      </c>
      <c r="M4" s="10">
        <f ca="1">DATEDIF(K4, TODAY(),"Y")</f>
        <v>27</v>
      </c>
      <c r="N4" s="10" t="str">
        <f>LOOKUP(F4,Справочники!$F$2:$F$10,Справочники!$H$2:$H$10)</f>
        <v>+7(8332)64-32-01</v>
      </c>
    </row>
    <row r="5" spans="1:14" ht="15" hidden="1" outlineLevel="2" x14ac:dyDescent="0.25">
      <c r="A5" s="10">
        <v>130</v>
      </c>
      <c r="B5" s="12" t="s">
        <v>137</v>
      </c>
      <c r="C5" s="12" t="s">
        <v>138</v>
      </c>
      <c r="D5" s="12" t="s">
        <v>139</v>
      </c>
      <c r="E5" s="10" t="s">
        <v>9</v>
      </c>
      <c r="F5" s="10" t="str">
        <f>LOOKUP(G5,Справочники!$B$2:$B$35,Справочники!$A$2:$A$35)</f>
        <v>Управление</v>
      </c>
      <c r="G5" s="6" t="s">
        <v>20</v>
      </c>
      <c r="H5" s="16">
        <f>LOOKUP(G5,Справочники!$B$2:$B$35,Справочники!$C$2:$C$35)</f>
        <v>15000</v>
      </c>
      <c r="I5" s="6" t="s">
        <v>25</v>
      </c>
      <c r="J5" s="11">
        <v>42765</v>
      </c>
      <c r="K5" s="11">
        <v>34714</v>
      </c>
      <c r="L5" s="10">
        <f ca="1">DATEDIF(J5, TODAY(),"Y")</f>
        <v>5</v>
      </c>
      <c r="M5" s="10">
        <f ca="1">DATEDIF(K5, TODAY(),"Y")</f>
        <v>27</v>
      </c>
      <c r="N5" s="10" t="str">
        <f>LOOKUP(F5,Справочники!$F$2:$F$10,Справочники!$H$2:$H$10)</f>
        <v>+7(8332)64-32-18</v>
      </c>
    </row>
    <row r="6" spans="1:14" ht="15" hidden="1" outlineLevel="2" x14ac:dyDescent="0.25">
      <c r="A6" s="10">
        <v>111</v>
      </c>
      <c r="B6" s="12" t="s">
        <v>97</v>
      </c>
      <c r="C6" s="12" t="s">
        <v>98</v>
      </c>
      <c r="D6" s="12" t="s">
        <v>76</v>
      </c>
      <c r="E6" s="10" t="s">
        <v>9</v>
      </c>
      <c r="F6" s="10" t="str">
        <f>LOOKUP(G6,Справочники!$B$2:$B$35,Справочники!$A$2:$A$35)</f>
        <v>Управление</v>
      </c>
      <c r="G6" s="6" t="s">
        <v>24</v>
      </c>
      <c r="H6" s="16">
        <f>LOOKUP(G6,Справочники!$B$2:$B$35,Справочники!$C$2:$C$35)</f>
        <v>15000</v>
      </c>
      <c r="I6" s="6" t="s">
        <v>25</v>
      </c>
      <c r="J6" s="11">
        <v>42960</v>
      </c>
      <c r="K6" s="11">
        <v>33207</v>
      </c>
      <c r="L6" s="10">
        <f ca="1">DATEDIF(J6, TODAY(),"Y")</f>
        <v>5</v>
      </c>
      <c r="M6" s="10">
        <f ca="1">DATEDIF(K6, TODAY(),"Y")</f>
        <v>31</v>
      </c>
      <c r="N6" s="10" t="str">
        <f>LOOKUP(F6,Справочники!$F$2:$F$10,Справочники!$H$2:$H$10)</f>
        <v>+7(8332)64-32-18</v>
      </c>
    </row>
    <row r="7" spans="1:14" ht="15" hidden="1" outlineLevel="2" x14ac:dyDescent="0.25">
      <c r="A7" s="10">
        <v>160</v>
      </c>
      <c r="B7" s="12" t="s">
        <v>202</v>
      </c>
      <c r="C7" s="12" t="s">
        <v>203</v>
      </c>
      <c r="D7" s="12" t="s">
        <v>127</v>
      </c>
      <c r="E7" s="10" t="s">
        <v>9</v>
      </c>
      <c r="F7" s="10" t="str">
        <f>LOOKUP(G7,Справочники!$B$2:$B$35,Справочники!$A$2:$A$35)</f>
        <v>Редакторский отдел</v>
      </c>
      <c r="G7" s="7" t="s">
        <v>55</v>
      </c>
      <c r="H7" s="16">
        <f>LOOKUP(G7,Справочники!$B$2:$B$35,Справочники!$C$2:$C$35)</f>
        <v>14000</v>
      </c>
      <c r="I7" s="6" t="s">
        <v>14</v>
      </c>
      <c r="J7" s="11">
        <v>42991</v>
      </c>
      <c r="K7" s="11">
        <v>32936</v>
      </c>
      <c r="L7" s="10">
        <f ca="1">DATEDIF(J7, TODAY(),"Y")</f>
        <v>5</v>
      </c>
      <c r="M7" s="10">
        <f ca="1">DATEDIF(K7, TODAY(),"Y")</f>
        <v>32</v>
      </c>
      <c r="N7" s="10" t="str">
        <f>LOOKUP(F7,Справочники!$F$2:$F$10,Справочники!$H$2:$H$10)</f>
        <v>+7(8332)64-32-01</v>
      </c>
    </row>
    <row r="8" spans="1:14" ht="15" hidden="1" outlineLevel="2" x14ac:dyDescent="0.25">
      <c r="A8" s="10">
        <v>137</v>
      </c>
      <c r="B8" s="12" t="s">
        <v>153</v>
      </c>
      <c r="C8" s="12" t="s">
        <v>114</v>
      </c>
      <c r="D8" s="12" t="s">
        <v>154</v>
      </c>
      <c r="E8" s="10" t="s">
        <v>9</v>
      </c>
      <c r="F8" s="10" t="str">
        <f>LOOKUP(G8,Справочники!$B$2:$B$35,Справочники!$A$2:$A$35)</f>
        <v>Управление</v>
      </c>
      <c r="G8" s="6" t="s">
        <v>20</v>
      </c>
      <c r="H8" s="16">
        <f>LOOKUP(G8,Справочники!$B$2:$B$35,Справочники!$C$2:$C$35)</f>
        <v>15000</v>
      </c>
      <c r="I8" s="6" t="s">
        <v>25</v>
      </c>
      <c r="J8" s="11">
        <v>42271</v>
      </c>
      <c r="K8" s="11">
        <v>33851</v>
      </c>
      <c r="L8" s="10">
        <f ca="1">DATEDIF(J8, TODAY(),"Y")</f>
        <v>7</v>
      </c>
      <c r="M8" s="10">
        <f ca="1">DATEDIF(K8, TODAY(),"Y")</f>
        <v>30</v>
      </c>
      <c r="N8" s="10" t="str">
        <f>LOOKUP(F8,Справочники!$F$2:$F$10,Справочники!$H$2:$H$10)</f>
        <v>+7(8332)64-32-18</v>
      </c>
    </row>
    <row r="9" spans="1:14" ht="15" hidden="1" outlineLevel="2" x14ac:dyDescent="0.25">
      <c r="A9" s="10">
        <v>139</v>
      </c>
      <c r="B9" s="12" t="s">
        <v>157</v>
      </c>
      <c r="C9" s="12" t="s">
        <v>158</v>
      </c>
      <c r="D9" s="12" t="s">
        <v>159</v>
      </c>
      <c r="E9" s="10" t="s">
        <v>9</v>
      </c>
      <c r="F9" s="10" t="str">
        <f>LOOKUP(G9,Справочники!$B$2:$B$35,Справочники!$A$2:$A$35)</f>
        <v>Управление</v>
      </c>
      <c r="G9" s="6" t="s">
        <v>20</v>
      </c>
      <c r="H9" s="16">
        <f>LOOKUP(G9,Справочники!$B$2:$B$35,Справочники!$C$2:$C$35)</f>
        <v>15000</v>
      </c>
      <c r="I9" s="6" t="s">
        <v>12</v>
      </c>
      <c r="J9" s="11">
        <v>41697</v>
      </c>
      <c r="K9" s="11">
        <v>33022</v>
      </c>
      <c r="L9" s="10">
        <f ca="1">DATEDIF(J9, TODAY(),"Y")</f>
        <v>8</v>
      </c>
      <c r="M9" s="10">
        <f ca="1">DATEDIF(K9, TODAY(),"Y")</f>
        <v>32</v>
      </c>
      <c r="N9" s="10" t="str">
        <f>LOOKUP(F9,Справочники!$F$2:$F$10,Справочники!$H$2:$H$10)</f>
        <v>+7(8332)64-32-18</v>
      </c>
    </row>
    <row r="10" spans="1:14" ht="15" hidden="1" outlineLevel="2" x14ac:dyDescent="0.25">
      <c r="A10" s="10">
        <v>104</v>
      </c>
      <c r="B10" s="12" t="s">
        <v>77</v>
      </c>
      <c r="C10" s="12" t="s">
        <v>78</v>
      </c>
      <c r="D10" s="12" t="s">
        <v>79</v>
      </c>
      <c r="E10" s="10" t="s">
        <v>9</v>
      </c>
      <c r="F10" s="10" t="str">
        <f>LOOKUP(G10,Справочники!$B$2:$B$35,Справочники!$A$2:$A$35)</f>
        <v>Бухгалтерия</v>
      </c>
      <c r="G10" s="6" t="s">
        <v>16</v>
      </c>
      <c r="H10" s="16">
        <f>LOOKUP(G10,Справочники!$B$2:$B$35,Справочники!$C$2:$C$35)</f>
        <v>15000</v>
      </c>
      <c r="I10" s="6" t="s">
        <v>14</v>
      </c>
      <c r="J10" s="11">
        <v>41530</v>
      </c>
      <c r="K10" s="11">
        <v>25346</v>
      </c>
      <c r="L10" s="10">
        <f ca="1">DATEDIF(J10, TODAY(),"Y")</f>
        <v>9</v>
      </c>
      <c r="M10" s="10">
        <f ca="1">DATEDIF(K10, TODAY(),"Y")</f>
        <v>53</v>
      </c>
      <c r="N10" s="10" t="str">
        <f>LOOKUP(F10,Справочники!$F$2:$F$10,Справочники!$H$2:$H$10)</f>
        <v>+7(8332)64-32-01</v>
      </c>
    </row>
    <row r="11" spans="1:14" ht="15" hidden="1" outlineLevel="2" x14ac:dyDescent="0.25">
      <c r="A11" s="10">
        <v>152</v>
      </c>
      <c r="B11" s="12" t="s">
        <v>185</v>
      </c>
      <c r="C11" s="12" t="s">
        <v>186</v>
      </c>
      <c r="D11" s="12" t="s">
        <v>76</v>
      </c>
      <c r="E11" s="10" t="s">
        <v>9</v>
      </c>
      <c r="F11" s="10" t="str">
        <f>LOOKUP(G11,Справочники!$B$2:$B$35,Справочники!$A$2:$A$35)</f>
        <v>Редакторский отдел</v>
      </c>
      <c r="G11" s="7" t="s">
        <v>54</v>
      </c>
      <c r="H11" s="16">
        <f>LOOKUP(G11,Справочники!$B$2:$B$35,Справочники!$C$2:$C$35)</f>
        <v>14000</v>
      </c>
      <c r="I11" s="6" t="s">
        <v>25</v>
      </c>
      <c r="J11" s="11">
        <v>40998</v>
      </c>
      <c r="K11" s="11">
        <v>30213</v>
      </c>
      <c r="L11" s="10">
        <f ca="1">DATEDIF(J11, TODAY(),"Y")</f>
        <v>10</v>
      </c>
      <c r="M11" s="10">
        <f ca="1">DATEDIF(K11, TODAY(),"Y")</f>
        <v>40</v>
      </c>
      <c r="N11" s="10" t="str">
        <f>LOOKUP(F11,Справочники!$F$2:$F$10,Справочники!$H$2:$H$10)</f>
        <v>+7(8332)64-32-01</v>
      </c>
    </row>
    <row r="12" spans="1:14" ht="15" hidden="1" outlineLevel="2" x14ac:dyDescent="0.25">
      <c r="A12" s="10">
        <v>121</v>
      </c>
      <c r="B12" s="12" t="s">
        <v>120</v>
      </c>
      <c r="C12" s="12" t="s">
        <v>75</v>
      </c>
      <c r="D12" s="12" t="s">
        <v>79</v>
      </c>
      <c r="E12" s="10" t="s">
        <v>9</v>
      </c>
      <c r="F12" s="10" t="str">
        <f>LOOKUP(G12,Справочники!$B$2:$B$35,Справочники!$A$2:$A$35)</f>
        <v>Технологический отдел</v>
      </c>
      <c r="G12" s="6" t="s">
        <v>36</v>
      </c>
      <c r="H12" s="16">
        <f>LOOKUP(G12,Справочники!$B$2:$B$35,Справочники!$C$2:$C$35)</f>
        <v>14000</v>
      </c>
      <c r="I12" s="6" t="s">
        <v>12</v>
      </c>
      <c r="J12" s="11">
        <v>39845</v>
      </c>
      <c r="K12" s="11">
        <v>31391</v>
      </c>
      <c r="L12" s="10">
        <f ca="1">DATEDIF(J12, TODAY(),"Y")</f>
        <v>13</v>
      </c>
      <c r="M12" s="10">
        <f ca="1">DATEDIF(K12, TODAY(),"Y")</f>
        <v>36</v>
      </c>
      <c r="N12" s="10" t="str">
        <f>LOOKUP(F12,Справочники!$F$2:$F$10,Справочники!$H$2:$H$10)</f>
        <v>+7(8332)64-32-18</v>
      </c>
    </row>
    <row r="13" spans="1:14" ht="15" hidden="1" outlineLevel="2" x14ac:dyDescent="0.25">
      <c r="A13" s="10">
        <v>107</v>
      </c>
      <c r="B13" s="12" t="s">
        <v>86</v>
      </c>
      <c r="C13" s="12" t="s">
        <v>87</v>
      </c>
      <c r="D13" s="12" t="s">
        <v>88</v>
      </c>
      <c r="E13" s="10" t="s">
        <v>9</v>
      </c>
      <c r="F13" s="10" t="str">
        <f>LOOKUP(G13,Справочники!$B$2:$B$35,Справочники!$A$2:$A$35)</f>
        <v>Управление</v>
      </c>
      <c r="G13" s="6" t="s">
        <v>20</v>
      </c>
      <c r="H13" s="16">
        <f>LOOKUP(G13,Справочники!$B$2:$B$35,Справочники!$C$2:$C$35)</f>
        <v>15000</v>
      </c>
      <c r="I13" s="6" t="s">
        <v>12</v>
      </c>
      <c r="J13" s="11">
        <v>39956</v>
      </c>
      <c r="K13" s="11">
        <v>30254</v>
      </c>
      <c r="L13" s="10">
        <f ca="1">DATEDIF(J13, TODAY(),"Y")</f>
        <v>13</v>
      </c>
      <c r="M13" s="10">
        <f ca="1">DATEDIF(K13, TODAY(),"Y")</f>
        <v>40</v>
      </c>
      <c r="N13" s="10" t="str">
        <f>LOOKUP(F13,Справочники!$F$2:$F$10,Справочники!$H$2:$H$10)</f>
        <v>+7(8332)64-32-18</v>
      </c>
    </row>
    <row r="14" spans="1:14" ht="15" hidden="1" outlineLevel="2" x14ac:dyDescent="0.25">
      <c r="A14" s="10">
        <v>157</v>
      </c>
      <c r="B14" s="12" t="s">
        <v>195</v>
      </c>
      <c r="C14" s="12" t="s">
        <v>196</v>
      </c>
      <c r="D14" s="12" t="s">
        <v>197</v>
      </c>
      <c r="E14" s="10" t="s">
        <v>9</v>
      </c>
      <c r="F14" s="10" t="str">
        <f>LOOKUP(G14,Справочники!$B$2:$B$35,Справочники!$A$2:$A$35)</f>
        <v>Технологический отдел</v>
      </c>
      <c r="G14" s="6" t="s">
        <v>31</v>
      </c>
      <c r="H14" s="16">
        <f>LOOKUP(G14,Справочники!$B$2:$B$35,Справочники!$C$2:$C$35)</f>
        <v>12000</v>
      </c>
      <c r="I14" s="6" t="s">
        <v>12</v>
      </c>
      <c r="J14" s="11">
        <v>39887</v>
      </c>
      <c r="K14" s="11">
        <v>30205</v>
      </c>
      <c r="L14" s="10">
        <f ca="1">DATEDIF(J14, TODAY(),"Y")</f>
        <v>13</v>
      </c>
      <c r="M14" s="10">
        <f ca="1">DATEDIF(K14, TODAY(),"Y")</f>
        <v>40</v>
      </c>
      <c r="N14" s="10" t="str">
        <f>LOOKUP(F14,Справочники!$F$2:$F$10,Справочники!$H$2:$H$10)</f>
        <v>+7(8332)64-32-18</v>
      </c>
    </row>
    <row r="15" spans="1:14" ht="15" hidden="1" outlineLevel="2" x14ac:dyDescent="0.25">
      <c r="A15" s="10">
        <v>140</v>
      </c>
      <c r="B15" s="12" t="s">
        <v>160</v>
      </c>
      <c r="C15" s="12" t="s">
        <v>161</v>
      </c>
      <c r="D15" s="12" t="s">
        <v>162</v>
      </c>
      <c r="E15" s="10" t="s">
        <v>9</v>
      </c>
      <c r="F15" s="10" t="str">
        <f>LOOKUP(G15,Справочники!$B$2:$B$35,Справочники!$A$2:$A$35)</f>
        <v>Рекламный отдел</v>
      </c>
      <c r="G15" s="6" t="s">
        <v>40</v>
      </c>
      <c r="H15" s="16">
        <f>LOOKUP(G15,Справочники!$B$2:$B$35,Справочники!$C$2:$C$35)</f>
        <v>15000</v>
      </c>
      <c r="I15" s="6" t="s">
        <v>25</v>
      </c>
      <c r="J15" s="11">
        <v>39641</v>
      </c>
      <c r="K15" s="11">
        <v>29284</v>
      </c>
      <c r="L15" s="10">
        <f ca="1">DATEDIF(J15, TODAY(),"Y")</f>
        <v>14</v>
      </c>
      <c r="M15" s="10">
        <f ca="1">DATEDIF(K15, TODAY(),"Y")</f>
        <v>42</v>
      </c>
      <c r="N15" s="10" t="str">
        <f>LOOKUP(F15,Справочники!$F$2:$F$10,Справочники!$H$2:$H$10)</f>
        <v>+7(8332)64-32-01</v>
      </c>
    </row>
    <row r="16" spans="1:14" ht="15" hidden="1" outlineLevel="2" x14ac:dyDescent="0.25">
      <c r="A16" s="10">
        <v>119</v>
      </c>
      <c r="B16" s="12" t="s">
        <v>116</v>
      </c>
      <c r="C16" s="12" t="s">
        <v>117</v>
      </c>
      <c r="D16" s="12" t="s">
        <v>70</v>
      </c>
      <c r="E16" s="10" t="s">
        <v>9</v>
      </c>
      <c r="F16" s="10" t="str">
        <f>LOOKUP(G16,Справочники!$B$2:$B$35,Справочники!$A$2:$A$35)</f>
        <v>Технологический отдел</v>
      </c>
      <c r="G16" s="6" t="s">
        <v>35</v>
      </c>
      <c r="H16" s="16">
        <f>LOOKUP(G16,Справочники!$B$2:$B$35,Справочники!$C$2:$C$35)</f>
        <v>17000</v>
      </c>
      <c r="I16" s="6" t="s">
        <v>14</v>
      </c>
      <c r="J16" s="11">
        <v>39550</v>
      </c>
      <c r="K16" s="11">
        <v>28420</v>
      </c>
      <c r="L16" s="10">
        <f ca="1">DATEDIF(J16, TODAY(),"Y")</f>
        <v>14</v>
      </c>
      <c r="M16" s="10">
        <f ca="1">DATEDIF(K16, TODAY(),"Y")</f>
        <v>45</v>
      </c>
      <c r="N16" s="10" t="str">
        <f>LOOKUP(F16,Справочники!$F$2:$F$10,Справочники!$H$2:$H$10)</f>
        <v>+7(8332)64-32-18</v>
      </c>
    </row>
    <row r="17" spans="1:14" ht="15" hidden="1" outlineLevel="2" x14ac:dyDescent="0.25">
      <c r="A17" s="10">
        <v>136</v>
      </c>
      <c r="B17" s="12" t="s">
        <v>150</v>
      </c>
      <c r="C17" s="12" t="s">
        <v>151</v>
      </c>
      <c r="D17" s="12" t="s">
        <v>152</v>
      </c>
      <c r="E17" s="10" t="s">
        <v>9</v>
      </c>
      <c r="F17" s="10" t="str">
        <f>LOOKUP(G17,Справочники!$B$2:$B$35,Справочники!$A$2:$A$35)</f>
        <v>Рекламный отдел</v>
      </c>
      <c r="G17" s="6" t="s">
        <v>27</v>
      </c>
      <c r="H17" s="16">
        <f>LOOKUP(G17,Справочники!$B$2:$B$35,Справочники!$C$2:$C$35)</f>
        <v>22000</v>
      </c>
      <c r="I17" s="6" t="s">
        <v>25</v>
      </c>
      <c r="J17" s="11">
        <v>39479</v>
      </c>
      <c r="K17" s="11">
        <v>27737</v>
      </c>
      <c r="L17" s="10">
        <f ca="1">DATEDIF(J17, TODAY(),"Y")</f>
        <v>14</v>
      </c>
      <c r="M17" s="10">
        <f ca="1">DATEDIF(K17, TODAY(),"Y")</f>
        <v>46</v>
      </c>
      <c r="N17" s="10" t="str">
        <f>LOOKUP(F17,Справочники!$F$2:$F$10,Справочники!$H$2:$H$10)</f>
        <v>+7(8332)64-32-01</v>
      </c>
    </row>
    <row r="18" spans="1:14" ht="15" hidden="1" outlineLevel="2" x14ac:dyDescent="0.25">
      <c r="A18" s="10">
        <v>101</v>
      </c>
      <c r="B18" s="12" t="s">
        <v>68</v>
      </c>
      <c r="C18" s="12" t="s">
        <v>69</v>
      </c>
      <c r="D18" s="12" t="s">
        <v>70</v>
      </c>
      <c r="E18" s="10" t="s">
        <v>9</v>
      </c>
      <c r="F18" s="10" t="str">
        <f>LOOKUP(G18,Справочники!$B$2:$B$35,Справочники!$A$2:$A$35)</f>
        <v>Бухгалтерия</v>
      </c>
      <c r="G18" s="6" t="s">
        <v>11</v>
      </c>
      <c r="H18" s="16">
        <f>LOOKUP(G18,Справочники!$B$2:$B$35,Справочники!$C$2:$C$35)</f>
        <v>12000</v>
      </c>
      <c r="I18" s="6" t="s">
        <v>14</v>
      </c>
      <c r="J18" s="11">
        <v>38944</v>
      </c>
      <c r="K18" s="11">
        <v>30198</v>
      </c>
      <c r="L18" s="10">
        <f ca="1">DATEDIF(J18, TODAY(),"Y")</f>
        <v>16</v>
      </c>
      <c r="M18" s="10">
        <f ca="1">DATEDIF(K18, TODAY(),"Y")</f>
        <v>40</v>
      </c>
      <c r="N18" s="10" t="str">
        <f>LOOKUP(F18,Справочники!$F$2:$F$10,Справочники!$H$2:$H$10)</f>
        <v>+7(8332)64-32-01</v>
      </c>
    </row>
    <row r="19" spans="1:14" ht="15" hidden="1" outlineLevel="2" x14ac:dyDescent="0.25">
      <c r="A19" s="10">
        <v>153</v>
      </c>
      <c r="B19" s="12" t="s">
        <v>187</v>
      </c>
      <c r="C19" s="12" t="s">
        <v>158</v>
      </c>
      <c r="D19" s="12" t="s">
        <v>111</v>
      </c>
      <c r="E19" s="10" t="s">
        <v>9</v>
      </c>
      <c r="F19" s="10" t="str">
        <f>LOOKUP(G19,Справочники!$B$2:$B$35,Справочники!$A$2:$A$35)</f>
        <v>Редакторский отдел</v>
      </c>
      <c r="G19" s="6" t="s">
        <v>52</v>
      </c>
      <c r="H19" s="16">
        <f>LOOKUP(G19,Справочники!$B$2:$B$35,Справочники!$C$2:$C$35)</f>
        <v>16000</v>
      </c>
      <c r="I19" s="6" t="s">
        <v>14</v>
      </c>
      <c r="J19" s="11">
        <v>36220</v>
      </c>
      <c r="K19" s="11">
        <v>26580</v>
      </c>
      <c r="L19" s="10">
        <f ca="1">DATEDIF(J19, TODAY(),"Y")</f>
        <v>23</v>
      </c>
      <c r="M19" s="10">
        <f ca="1">DATEDIF(K19, TODAY(),"Y")</f>
        <v>50</v>
      </c>
      <c r="N19" s="10" t="str">
        <f>LOOKUP(F19,Справочники!$F$2:$F$10,Справочники!$H$2:$H$10)</f>
        <v>+7(8332)64-32-01</v>
      </c>
    </row>
    <row r="20" spans="1:14" ht="15" hidden="1" outlineLevel="2" x14ac:dyDescent="0.25">
      <c r="A20" s="10">
        <v>118</v>
      </c>
      <c r="B20" s="12" t="s">
        <v>113</v>
      </c>
      <c r="C20" s="12" t="s">
        <v>114</v>
      </c>
      <c r="D20" s="12" t="s">
        <v>115</v>
      </c>
      <c r="E20" s="10" t="s">
        <v>9</v>
      </c>
      <c r="F20" s="10" t="str">
        <f>LOOKUP(G20,Справочники!$B$2:$B$35,Справочники!$A$2:$A$35)</f>
        <v>Технологический отдел</v>
      </c>
      <c r="G20" s="6" t="s">
        <v>34</v>
      </c>
      <c r="H20" s="16">
        <f>LOOKUP(G20,Справочники!$B$2:$B$35,Справочники!$C$2:$C$35)</f>
        <v>12000</v>
      </c>
      <c r="I20" s="6" t="s">
        <v>12</v>
      </c>
      <c r="J20" s="11">
        <v>36303</v>
      </c>
      <c r="K20" s="11">
        <v>25641</v>
      </c>
      <c r="L20" s="10">
        <f ca="1">DATEDIF(J20, TODAY(),"Y")</f>
        <v>23</v>
      </c>
      <c r="M20" s="10">
        <f ca="1">DATEDIF(K20, TODAY(),"Y")</f>
        <v>52</v>
      </c>
      <c r="N20" s="10" t="str">
        <f>LOOKUP(F20,Справочники!$F$2:$F$10,Справочники!$H$2:$H$10)</f>
        <v>+7(8332)64-32-18</v>
      </c>
    </row>
    <row r="21" spans="1:14" ht="15" hidden="1" outlineLevel="2" x14ac:dyDescent="0.25">
      <c r="A21" s="10">
        <v>122</v>
      </c>
      <c r="B21" s="12" t="s">
        <v>121</v>
      </c>
      <c r="C21" s="12" t="s">
        <v>122</v>
      </c>
      <c r="D21" s="12" t="s">
        <v>96</v>
      </c>
      <c r="E21" s="10" t="s">
        <v>9</v>
      </c>
      <c r="F21" s="10" t="str">
        <f>LOOKUP(G21,Справочники!$B$2:$B$35,Справочники!$A$2:$A$35)</f>
        <v>Технологический отдел</v>
      </c>
      <c r="G21" s="6" t="s">
        <v>37</v>
      </c>
      <c r="H21" s="16">
        <f>LOOKUP(G21,Справочники!$B$2:$B$35,Справочники!$C$2:$C$35)</f>
        <v>14000</v>
      </c>
      <c r="I21" s="6" t="s">
        <v>12</v>
      </c>
      <c r="J21" s="11">
        <v>36427</v>
      </c>
      <c r="K21" s="11">
        <v>24846</v>
      </c>
      <c r="L21" s="10">
        <f ca="1">DATEDIF(J21, TODAY(),"Y")</f>
        <v>23</v>
      </c>
      <c r="M21" s="10">
        <f ca="1">DATEDIF(K21, TODAY(),"Y")</f>
        <v>54</v>
      </c>
      <c r="N21" s="10" t="str">
        <f>LOOKUP(F21,Справочники!$F$2:$F$10,Справочники!$H$2:$H$10)</f>
        <v>+7(8332)64-32-18</v>
      </c>
    </row>
    <row r="22" spans="1:14" ht="15" hidden="1" outlineLevel="2" x14ac:dyDescent="0.25">
      <c r="A22" s="10">
        <v>124</v>
      </c>
      <c r="B22" s="12" t="s">
        <v>124</v>
      </c>
      <c r="C22" s="12" t="s">
        <v>125</v>
      </c>
      <c r="D22" s="12" t="s">
        <v>96</v>
      </c>
      <c r="E22" s="10" t="s">
        <v>9</v>
      </c>
      <c r="F22" s="10" t="str">
        <f>LOOKUP(G22,Справочники!$B$2:$B$35,Справочники!$A$2:$A$35)</f>
        <v>Технологический отдел</v>
      </c>
      <c r="G22" s="6" t="s">
        <v>32</v>
      </c>
      <c r="H22" s="16">
        <f>LOOKUP(G22,Справочники!$B$2:$B$35,Справочники!$C$2:$C$35)</f>
        <v>15000</v>
      </c>
      <c r="I22" s="6" t="s">
        <v>33</v>
      </c>
      <c r="J22" s="11">
        <v>35451</v>
      </c>
      <c r="K22" s="11">
        <v>27551</v>
      </c>
      <c r="L22" s="10">
        <f ca="1">DATEDIF(J22, TODAY(),"Y")</f>
        <v>25</v>
      </c>
      <c r="M22" s="10">
        <f ca="1">DATEDIF(K22, TODAY(),"Y")</f>
        <v>47</v>
      </c>
      <c r="N22" s="10" t="str">
        <f>LOOKUP(F22,Справочники!$F$2:$F$10,Справочники!$H$2:$H$10)</f>
        <v>+7(8332)64-32-18</v>
      </c>
    </row>
    <row r="23" spans="1:14" ht="15" hidden="1" outlineLevel="2" x14ac:dyDescent="0.25">
      <c r="A23" s="10">
        <v>117</v>
      </c>
      <c r="B23" s="12" t="s">
        <v>112</v>
      </c>
      <c r="C23" s="12" t="s">
        <v>72</v>
      </c>
      <c r="D23" s="12" t="s">
        <v>88</v>
      </c>
      <c r="E23" s="10" t="s">
        <v>9</v>
      </c>
      <c r="F23" s="10" t="str">
        <f>LOOKUP(G23,Справочники!$B$2:$B$35,Справочники!$A$2:$A$35)</f>
        <v>Технологический отдел</v>
      </c>
      <c r="G23" s="6" t="s">
        <v>31</v>
      </c>
      <c r="H23" s="16">
        <f>LOOKUP(G23,Справочники!$B$2:$B$35,Справочники!$C$2:$C$35)</f>
        <v>12000</v>
      </c>
      <c r="I23" s="6" t="s">
        <v>33</v>
      </c>
      <c r="J23" s="11">
        <v>35445</v>
      </c>
      <c r="K23" s="11">
        <v>26821</v>
      </c>
      <c r="L23" s="10">
        <f ca="1">DATEDIF(J23, TODAY(),"Y")</f>
        <v>25</v>
      </c>
      <c r="M23" s="10">
        <f ca="1">DATEDIF(K23, TODAY(),"Y")</f>
        <v>49</v>
      </c>
      <c r="N23" s="10" t="str">
        <f>LOOKUP(F23,Справочники!$F$2:$F$10,Справочники!$H$2:$H$10)</f>
        <v>+7(8332)64-32-18</v>
      </c>
    </row>
    <row r="24" spans="1:14" ht="15" hidden="1" outlineLevel="2" x14ac:dyDescent="0.25">
      <c r="A24" s="10">
        <v>151</v>
      </c>
      <c r="B24" s="12" t="s">
        <v>183</v>
      </c>
      <c r="C24" s="12" t="s">
        <v>161</v>
      </c>
      <c r="D24" s="12" t="s">
        <v>184</v>
      </c>
      <c r="E24" s="10" t="s">
        <v>9</v>
      </c>
      <c r="F24" s="10" t="str">
        <f>LOOKUP(G24,Справочники!$B$2:$B$35,Справочники!$A$2:$A$35)</f>
        <v>Редакторский отдел</v>
      </c>
      <c r="G24" s="7" t="s">
        <v>53</v>
      </c>
      <c r="H24" s="16">
        <f>LOOKUP(G24,Справочники!$B$2:$B$35,Справочники!$C$2:$C$35)</f>
        <v>19000</v>
      </c>
      <c r="I24" s="6" t="s">
        <v>25</v>
      </c>
      <c r="J24" s="11">
        <v>35445</v>
      </c>
      <c r="K24" s="11">
        <v>26821</v>
      </c>
      <c r="L24" s="10">
        <f ca="1">DATEDIF(J24, TODAY(),"Y")</f>
        <v>25</v>
      </c>
      <c r="M24" s="10">
        <f ca="1">DATEDIF(K24, TODAY(),"Y")</f>
        <v>49</v>
      </c>
      <c r="N24" s="10" t="str">
        <f>LOOKUP(F24,Справочники!$F$2:$F$10,Справочники!$H$2:$H$10)</f>
        <v>+7(8332)64-32-01</v>
      </c>
    </row>
    <row r="25" spans="1:14" ht="15" hidden="1" outlineLevel="2" x14ac:dyDescent="0.25">
      <c r="A25" s="10">
        <v>120</v>
      </c>
      <c r="B25" s="12" t="s">
        <v>118</v>
      </c>
      <c r="C25" s="12" t="s">
        <v>98</v>
      </c>
      <c r="D25" s="12" t="s">
        <v>119</v>
      </c>
      <c r="E25" s="10" t="s">
        <v>9</v>
      </c>
      <c r="F25" s="10" t="str">
        <f>LOOKUP(G25,Справочники!$B$2:$B$35,Справочники!$A$2:$A$35)</f>
        <v>Технологический отдел</v>
      </c>
      <c r="G25" s="6" t="s">
        <v>36</v>
      </c>
      <c r="H25" s="16">
        <f>LOOKUP(G25,Справочники!$B$2:$B$35,Справочники!$C$2:$C$35)</f>
        <v>14000</v>
      </c>
      <c r="I25" s="6" t="s">
        <v>12</v>
      </c>
      <c r="J25" s="11">
        <v>35442</v>
      </c>
      <c r="K25" s="11">
        <v>24134</v>
      </c>
      <c r="L25" s="10">
        <f ca="1">DATEDIF(J25, TODAY(),"Y")</f>
        <v>25</v>
      </c>
      <c r="M25" s="10">
        <f ca="1">DATEDIF(K25, TODAY(),"Y")</f>
        <v>56</v>
      </c>
      <c r="N25" s="10" t="str">
        <f>LOOKUP(F25,Справочники!$F$2:$F$10,Справочники!$H$2:$H$10)</f>
        <v>+7(8332)64-32-18</v>
      </c>
    </row>
    <row r="26" spans="1:14" ht="15" hidden="1" outlineLevel="2" x14ac:dyDescent="0.25">
      <c r="A26" s="10">
        <v>155</v>
      </c>
      <c r="B26" s="12" t="s">
        <v>190</v>
      </c>
      <c r="C26" s="12" t="s">
        <v>191</v>
      </c>
      <c r="D26" s="12" t="s">
        <v>192</v>
      </c>
      <c r="E26" s="10" t="s">
        <v>9</v>
      </c>
      <c r="F26" s="10" t="str">
        <f>LOOKUP(G26,Справочники!$B$2:$B$35,Справочники!$A$2:$A$35)</f>
        <v>Редакторский отдел</v>
      </c>
      <c r="G26" s="7" t="s">
        <v>55</v>
      </c>
      <c r="H26" s="16">
        <f>LOOKUP(G26,Справочники!$B$2:$B$35,Справочники!$C$2:$C$35)</f>
        <v>14000</v>
      </c>
      <c r="I26" s="6" t="s">
        <v>14</v>
      </c>
      <c r="J26" s="11">
        <v>35442</v>
      </c>
      <c r="K26" s="11">
        <v>24134</v>
      </c>
      <c r="L26" s="10">
        <f ca="1">DATEDIF(J26, TODAY(),"Y")</f>
        <v>25</v>
      </c>
      <c r="M26" s="10">
        <f ca="1">DATEDIF(K26, TODAY(),"Y")</f>
        <v>56</v>
      </c>
      <c r="N26" s="10" t="str">
        <f>LOOKUP(F26,Справочники!$F$2:$F$10,Справочники!$H$2:$H$10)</f>
        <v>+7(8332)64-32-01</v>
      </c>
    </row>
    <row r="27" spans="1:14" ht="15" hidden="1" outlineLevel="2" x14ac:dyDescent="0.25">
      <c r="A27" s="10">
        <v>156</v>
      </c>
      <c r="B27" s="12" t="s">
        <v>193</v>
      </c>
      <c r="C27" s="12" t="s">
        <v>108</v>
      </c>
      <c r="D27" s="12" t="s">
        <v>194</v>
      </c>
      <c r="E27" s="10" t="s">
        <v>9</v>
      </c>
      <c r="F27" s="10" t="str">
        <f>LOOKUP(G27,Справочники!$B$2:$B$35,Справочники!$A$2:$A$35)</f>
        <v>Редакторский отдел</v>
      </c>
      <c r="G27" s="7" t="s">
        <v>55</v>
      </c>
      <c r="H27" s="16">
        <f>LOOKUP(G27,Справочники!$B$2:$B$35,Справочники!$C$2:$C$35)</f>
        <v>14000</v>
      </c>
      <c r="I27" s="6" t="s">
        <v>25</v>
      </c>
      <c r="J27" s="11">
        <v>35460</v>
      </c>
      <c r="K27" s="11">
        <v>21194</v>
      </c>
      <c r="L27" s="10">
        <f ca="1">DATEDIF(J27, TODAY(),"Y")</f>
        <v>25</v>
      </c>
      <c r="M27" s="10">
        <f ca="1">DATEDIF(K27, TODAY(),"Y")</f>
        <v>64</v>
      </c>
      <c r="N27" s="10" t="str">
        <f>LOOKUP(F27,Справочники!$F$2:$F$10,Справочники!$H$2:$H$10)</f>
        <v>+7(8332)64-32-01</v>
      </c>
    </row>
    <row r="28" spans="1:14" ht="15" hidden="1" outlineLevel="2" x14ac:dyDescent="0.25">
      <c r="A28" s="10">
        <v>115</v>
      </c>
      <c r="B28" s="12" t="s">
        <v>107</v>
      </c>
      <c r="C28" s="12" t="s">
        <v>108</v>
      </c>
      <c r="D28" s="12" t="s">
        <v>76</v>
      </c>
      <c r="E28" s="10" t="s">
        <v>9</v>
      </c>
      <c r="F28" s="10" t="str">
        <f>LOOKUP(G28,Справочники!$B$2:$B$35,Справочники!$A$2:$A$35)</f>
        <v>Технологический отдел</v>
      </c>
      <c r="G28" s="6" t="s">
        <v>31</v>
      </c>
      <c r="H28" s="16">
        <f>LOOKUP(G28,Справочники!$B$2:$B$35,Справочники!$C$2:$C$35)</f>
        <v>12000</v>
      </c>
      <c r="I28" s="6" t="s">
        <v>12</v>
      </c>
      <c r="J28" s="11">
        <v>35096</v>
      </c>
      <c r="K28" s="11">
        <v>26553</v>
      </c>
      <c r="L28" s="10">
        <f ca="1">DATEDIF(J28, TODAY(),"Y")</f>
        <v>26</v>
      </c>
      <c r="M28" s="10">
        <f ca="1">DATEDIF(K28, TODAY(),"Y")</f>
        <v>50</v>
      </c>
      <c r="N28" s="10" t="str">
        <f>LOOKUP(F28,Справочники!$F$2:$F$10,Справочники!$H$2:$H$10)</f>
        <v>+7(8332)64-32-18</v>
      </c>
    </row>
    <row r="29" spans="1:14" ht="15" hidden="1" outlineLevel="2" x14ac:dyDescent="0.25">
      <c r="A29" s="10">
        <v>116</v>
      </c>
      <c r="B29" s="12" t="s">
        <v>109</v>
      </c>
      <c r="C29" s="12" t="s">
        <v>110</v>
      </c>
      <c r="D29" s="12" t="s">
        <v>111</v>
      </c>
      <c r="E29" s="10" t="s">
        <v>9</v>
      </c>
      <c r="F29" s="10" t="str">
        <f>LOOKUP(G29,Справочники!$B$2:$B$35,Справочники!$A$2:$A$35)</f>
        <v>Технологический отдел</v>
      </c>
      <c r="G29" s="6" t="s">
        <v>32</v>
      </c>
      <c r="H29" s="16">
        <f>LOOKUP(G29,Справочники!$B$2:$B$35,Справочники!$C$2:$C$35)</f>
        <v>15000</v>
      </c>
      <c r="I29" s="6" t="s">
        <v>12</v>
      </c>
      <c r="J29" s="11">
        <v>35292</v>
      </c>
      <c r="K29" s="11">
        <v>25810</v>
      </c>
      <c r="L29" s="10">
        <f ca="1">DATEDIF(J29, TODAY(),"Y")</f>
        <v>26</v>
      </c>
      <c r="M29" s="10">
        <f ca="1">DATEDIF(K29, TODAY(),"Y")</f>
        <v>52</v>
      </c>
      <c r="N29" s="10" t="str">
        <f>LOOKUP(F29,Справочники!$F$2:$F$10,Справочники!$H$2:$H$10)</f>
        <v>+7(8332)64-32-18</v>
      </c>
    </row>
    <row r="30" spans="1:14" ht="15" hidden="1" outlineLevel="2" x14ac:dyDescent="0.25">
      <c r="A30" s="10">
        <v>134</v>
      </c>
      <c r="B30" s="12" t="s">
        <v>146</v>
      </c>
      <c r="C30" s="12" t="s">
        <v>147</v>
      </c>
      <c r="D30" s="12" t="s">
        <v>148</v>
      </c>
      <c r="E30" s="10" t="s">
        <v>9</v>
      </c>
      <c r="F30" s="10" t="str">
        <f>LOOKUP(G30,Справочники!$B$2:$B$35,Справочники!$A$2:$A$35)</f>
        <v>Технологический отдел</v>
      </c>
      <c r="G30" s="6" t="s">
        <v>38</v>
      </c>
      <c r="H30" s="16">
        <f>LOOKUP(G30,Справочники!$B$2:$B$35,Справочники!$C$2:$C$35)</f>
        <v>20000</v>
      </c>
      <c r="I30" s="6" t="s">
        <v>14</v>
      </c>
      <c r="J30" s="11">
        <v>35208</v>
      </c>
      <c r="K30" s="11">
        <v>25186</v>
      </c>
      <c r="L30" s="10">
        <f ca="1">DATEDIF(J30, TODAY(),"Y")</f>
        <v>26</v>
      </c>
      <c r="M30" s="10">
        <f ca="1">DATEDIF(K30, TODAY(),"Y")</f>
        <v>53</v>
      </c>
      <c r="N30" s="10" t="str">
        <f>LOOKUP(F30,Справочники!$F$2:$F$10,Справочники!$H$2:$H$10)</f>
        <v>+7(8332)64-32-18</v>
      </c>
    </row>
    <row r="31" spans="1:14" ht="15" hidden="1" outlineLevel="2" x14ac:dyDescent="0.25">
      <c r="A31" s="10">
        <v>135</v>
      </c>
      <c r="B31" s="12" t="s">
        <v>149</v>
      </c>
      <c r="C31" s="12" t="s">
        <v>75</v>
      </c>
      <c r="D31" s="12" t="s">
        <v>96</v>
      </c>
      <c r="E31" s="10" t="s">
        <v>9</v>
      </c>
      <c r="F31" s="10" t="str">
        <f>LOOKUP(G31,Справочники!$B$2:$B$35,Справочники!$A$2:$A$35)</f>
        <v>Технологический отдел</v>
      </c>
      <c r="G31" s="6" t="s">
        <v>38</v>
      </c>
      <c r="H31" s="16">
        <f>LOOKUP(G31,Справочники!$B$2:$B$35,Справочники!$C$2:$C$35)</f>
        <v>20000</v>
      </c>
      <c r="I31" s="6" t="s">
        <v>25</v>
      </c>
      <c r="J31" s="11">
        <v>35290</v>
      </c>
      <c r="K31" s="11">
        <v>23891</v>
      </c>
      <c r="L31" s="10">
        <f ca="1">DATEDIF(J31, TODAY(),"Y")</f>
        <v>26</v>
      </c>
      <c r="M31" s="10">
        <f ca="1">DATEDIF(K31, TODAY(),"Y")</f>
        <v>57</v>
      </c>
      <c r="N31" s="10" t="str">
        <f>LOOKUP(F31,Справочники!$F$2:$F$10,Справочники!$H$2:$H$10)</f>
        <v>+7(8332)64-32-18</v>
      </c>
    </row>
    <row r="32" spans="1:14" ht="15" hidden="1" outlineLevel="2" x14ac:dyDescent="0.25">
      <c r="A32" s="10">
        <v>158</v>
      </c>
      <c r="B32" s="12" t="s">
        <v>198</v>
      </c>
      <c r="C32" s="12" t="s">
        <v>199</v>
      </c>
      <c r="D32" s="12" t="s">
        <v>159</v>
      </c>
      <c r="E32" s="10" t="s">
        <v>9</v>
      </c>
      <c r="F32" s="10" t="str">
        <f>LOOKUP(G32,Справочники!$B$2:$B$35,Справочники!$A$2:$A$35)</f>
        <v>Редакторский отдел</v>
      </c>
      <c r="G32" s="7" t="s">
        <v>54</v>
      </c>
      <c r="H32" s="16">
        <f>LOOKUP(G32,Справочники!$B$2:$B$35,Справочники!$C$2:$C$35)</f>
        <v>14000</v>
      </c>
      <c r="I32" s="6" t="s">
        <v>14</v>
      </c>
      <c r="J32" s="11">
        <v>35122</v>
      </c>
      <c r="K32" s="11">
        <v>23253</v>
      </c>
      <c r="L32" s="10">
        <f ca="1">DATEDIF(J32, TODAY(),"Y")</f>
        <v>26</v>
      </c>
      <c r="M32" s="10">
        <f ca="1">DATEDIF(K32, TODAY(),"Y")</f>
        <v>59</v>
      </c>
      <c r="N32" s="10" t="str">
        <f>LOOKUP(F32,Справочники!$F$2:$F$10,Справочники!$H$2:$H$10)</f>
        <v>+7(8332)64-32-01</v>
      </c>
    </row>
    <row r="33" spans="1:14" ht="15" hidden="1" outlineLevel="2" x14ac:dyDescent="0.25">
      <c r="A33" s="10">
        <v>123</v>
      </c>
      <c r="B33" s="12" t="s">
        <v>123</v>
      </c>
      <c r="C33" s="12" t="s">
        <v>114</v>
      </c>
      <c r="D33" s="12" t="s">
        <v>103</v>
      </c>
      <c r="E33" s="10" t="s">
        <v>9</v>
      </c>
      <c r="F33" s="10" t="str">
        <f>LOOKUP(G33,Справочники!$B$2:$B$35,Справочники!$A$2:$A$35)</f>
        <v>Технологический отдел</v>
      </c>
      <c r="G33" s="6" t="s">
        <v>34</v>
      </c>
      <c r="H33" s="16">
        <f>LOOKUP(G33,Справочники!$B$2:$B$35,Справочники!$C$2:$C$35)</f>
        <v>12000</v>
      </c>
      <c r="I33" s="6" t="s">
        <v>14</v>
      </c>
      <c r="J33" s="11">
        <v>35290</v>
      </c>
      <c r="K33" s="11">
        <v>22280</v>
      </c>
      <c r="L33" s="10">
        <f ca="1">DATEDIF(J33, TODAY(),"Y")</f>
        <v>26</v>
      </c>
      <c r="M33" s="10">
        <f ca="1">DATEDIF(K33, TODAY(),"Y")</f>
        <v>61</v>
      </c>
      <c r="N33" s="10" t="str">
        <f>LOOKUP(F33,Справочники!$F$2:$F$10,Справочники!$H$2:$H$10)</f>
        <v>+7(8332)64-32-18</v>
      </c>
    </row>
    <row r="34" spans="1:14" ht="15" hidden="1" outlineLevel="2" x14ac:dyDescent="0.25">
      <c r="A34" s="10">
        <v>125</v>
      </c>
      <c r="B34" s="12" t="s">
        <v>126</v>
      </c>
      <c r="C34" s="12" t="s">
        <v>98</v>
      </c>
      <c r="D34" s="12" t="s">
        <v>127</v>
      </c>
      <c r="E34" s="10" t="s">
        <v>9</v>
      </c>
      <c r="F34" s="10" t="str">
        <f>LOOKUP(G34,Справочники!$B$2:$B$35,Справочники!$A$2:$A$35)</f>
        <v>Технологический отдел</v>
      </c>
      <c r="G34" s="6" t="s">
        <v>34</v>
      </c>
      <c r="H34" s="16">
        <f>LOOKUP(G34,Справочники!$B$2:$B$35,Справочники!$C$2:$C$35)</f>
        <v>12000</v>
      </c>
      <c r="I34" s="6" t="s">
        <v>33</v>
      </c>
      <c r="J34" s="11">
        <v>35290</v>
      </c>
      <c r="K34" s="11">
        <v>22065</v>
      </c>
      <c r="L34" s="10">
        <f ca="1">DATEDIF(J34, TODAY(),"Y")</f>
        <v>26</v>
      </c>
      <c r="M34" s="10">
        <f ca="1">DATEDIF(K34, TODAY(),"Y")</f>
        <v>62</v>
      </c>
      <c r="N34" s="10" t="str">
        <f>LOOKUP(F34,Справочники!$F$2:$F$10,Справочники!$H$2:$H$10)</f>
        <v>+7(8332)64-32-18</v>
      </c>
    </row>
    <row r="35" spans="1:14" ht="15" hidden="1" outlineLevel="2" x14ac:dyDescent="0.25">
      <c r="A35" s="10">
        <v>159</v>
      </c>
      <c r="B35" s="12" t="s">
        <v>200</v>
      </c>
      <c r="C35" s="12" t="s">
        <v>158</v>
      </c>
      <c r="D35" s="12" t="s">
        <v>201</v>
      </c>
      <c r="E35" s="10" t="s">
        <v>9</v>
      </c>
      <c r="F35" s="10" t="str">
        <f>LOOKUP(G35,Справочники!$B$2:$B$35,Справочники!$A$2:$A$35)</f>
        <v>Редакторский отдел</v>
      </c>
      <c r="G35" s="7" t="s">
        <v>55</v>
      </c>
      <c r="H35" s="16">
        <f>LOOKUP(G35,Справочники!$B$2:$B$35,Справочники!$C$2:$C$35)</f>
        <v>14000</v>
      </c>
      <c r="I35" s="6" t="s">
        <v>14</v>
      </c>
      <c r="J35" s="11">
        <v>35032</v>
      </c>
      <c r="K35" s="11">
        <v>22065</v>
      </c>
      <c r="L35" s="10">
        <f ca="1">DATEDIF(J35, TODAY(),"Y")</f>
        <v>26</v>
      </c>
      <c r="M35" s="10">
        <f ca="1">DATEDIF(K35, TODAY(),"Y")</f>
        <v>62</v>
      </c>
      <c r="N35" s="10" t="str">
        <f>LOOKUP(F35,Справочники!$F$2:$F$10,Справочники!$H$2:$H$10)</f>
        <v>+7(8332)64-32-01</v>
      </c>
    </row>
    <row r="36" spans="1:14" ht="15" hidden="1" outlineLevel="2" x14ac:dyDescent="0.25">
      <c r="A36" s="10">
        <v>154</v>
      </c>
      <c r="B36" s="12" t="s">
        <v>188</v>
      </c>
      <c r="C36" s="12" t="s">
        <v>189</v>
      </c>
      <c r="D36" s="12" t="s">
        <v>162</v>
      </c>
      <c r="E36" s="10" t="s">
        <v>9</v>
      </c>
      <c r="F36" s="10" t="str">
        <f>LOOKUP(G36,Справочники!$B$2:$B$35,Справочники!$A$2:$A$35)</f>
        <v>Редакторский отдел</v>
      </c>
      <c r="G36" s="7" t="s">
        <v>54</v>
      </c>
      <c r="H36" s="16">
        <f>LOOKUP(G36,Справочники!$B$2:$B$35,Справочники!$C$2:$C$35)</f>
        <v>14000</v>
      </c>
      <c r="I36" s="6" t="s">
        <v>14</v>
      </c>
      <c r="J36" s="11">
        <v>35258</v>
      </c>
      <c r="K36" s="11">
        <v>21600</v>
      </c>
      <c r="L36" s="10">
        <f ca="1">DATEDIF(J36, TODAY(),"Y")</f>
        <v>26</v>
      </c>
      <c r="M36" s="10">
        <f ca="1">DATEDIF(K36, TODAY(),"Y")</f>
        <v>63</v>
      </c>
      <c r="N36" s="10" t="str">
        <f>LOOKUP(F36,Справочники!$F$2:$F$10,Справочники!$H$2:$H$10)</f>
        <v>+7(8332)64-32-01</v>
      </c>
    </row>
    <row r="37" spans="1:14" ht="15" hidden="1" outlineLevel="2" x14ac:dyDescent="0.25">
      <c r="A37" s="10">
        <v>113</v>
      </c>
      <c r="B37" s="12" t="s">
        <v>102</v>
      </c>
      <c r="C37" s="12" t="s">
        <v>98</v>
      </c>
      <c r="D37" s="12" t="s">
        <v>103</v>
      </c>
      <c r="E37" s="10" t="s">
        <v>9</v>
      </c>
      <c r="F37" s="10" t="str">
        <f>LOOKUP(G37,Справочники!$B$2:$B$35,Справочники!$A$2:$A$35)</f>
        <v>Рекламный отдел</v>
      </c>
      <c r="G37" s="6" t="s">
        <v>28</v>
      </c>
      <c r="H37" s="16">
        <f>LOOKUP(G37,Справочники!$B$2:$B$35,Справочники!$C$2:$C$35)</f>
        <v>18000</v>
      </c>
      <c r="I37" s="6" t="s">
        <v>14</v>
      </c>
      <c r="J37" s="11">
        <v>34788</v>
      </c>
      <c r="K37" s="11">
        <v>25186</v>
      </c>
      <c r="L37" s="10">
        <f ca="1">DATEDIF(J37, TODAY(),"Y")</f>
        <v>27</v>
      </c>
      <c r="M37" s="10">
        <f ca="1">DATEDIF(K37, TODAY(),"Y")</f>
        <v>53</v>
      </c>
      <c r="N37" s="10" t="str">
        <f>LOOKUP(F37,Справочники!$F$2:$F$10,Справочники!$H$2:$H$10)</f>
        <v>+7(8332)64-32-01</v>
      </c>
    </row>
    <row r="38" spans="1:14" ht="15" hidden="1" outlineLevel="2" x14ac:dyDescent="0.25">
      <c r="A38" s="10">
        <v>142</v>
      </c>
      <c r="B38" s="12" t="s">
        <v>165</v>
      </c>
      <c r="C38" s="12" t="s">
        <v>166</v>
      </c>
      <c r="D38" s="12" t="s">
        <v>127</v>
      </c>
      <c r="E38" s="10" t="s">
        <v>9</v>
      </c>
      <c r="F38" s="10" t="str">
        <f>LOOKUP(G38,Справочники!$B$2:$B$35,Справочники!$A$2:$A$35)</f>
        <v>Склад</v>
      </c>
      <c r="G38" s="6" t="s">
        <v>46</v>
      </c>
      <c r="H38" s="16">
        <f>LOOKUP(G38,Справочники!$B$2:$B$35,Справочники!$C$2:$C$35)</f>
        <v>15000</v>
      </c>
      <c r="I38" s="6" t="s">
        <v>33</v>
      </c>
      <c r="J38" s="11">
        <v>34955</v>
      </c>
      <c r="K38" s="11">
        <v>24134</v>
      </c>
      <c r="L38" s="10">
        <f ca="1">DATEDIF(J38, TODAY(),"Y")</f>
        <v>27</v>
      </c>
      <c r="M38" s="10">
        <f ca="1">DATEDIF(K38, TODAY(),"Y")</f>
        <v>56</v>
      </c>
      <c r="N38" s="10" t="str">
        <f>LOOKUP(F38,Справочники!$F$2:$F$10,Справочники!$H$2:$H$10)</f>
        <v>+7(8332)64-32-23</v>
      </c>
    </row>
    <row r="39" spans="1:14" ht="15" hidden="1" outlineLevel="2" x14ac:dyDescent="0.25">
      <c r="A39" s="10">
        <v>150</v>
      </c>
      <c r="B39" s="12" t="s">
        <v>182</v>
      </c>
      <c r="C39" s="12" t="s">
        <v>75</v>
      </c>
      <c r="D39" s="12" t="s">
        <v>76</v>
      </c>
      <c r="E39" s="10" t="s">
        <v>9</v>
      </c>
      <c r="F39" s="10" t="str">
        <f>LOOKUP(G39,Справочники!$B$2:$B$35,Справочники!$A$2:$A$35)</f>
        <v>Редакторский отдел</v>
      </c>
      <c r="G39" s="6" t="s">
        <v>52</v>
      </c>
      <c r="H39" s="16">
        <f>LOOKUP(G39,Справочники!$B$2:$B$35,Справочники!$C$2:$C$35)</f>
        <v>16000</v>
      </c>
      <c r="I39" s="6" t="s">
        <v>14</v>
      </c>
      <c r="J39" s="11">
        <v>34714</v>
      </c>
      <c r="K39" s="11">
        <v>22250</v>
      </c>
      <c r="L39" s="10">
        <f ca="1">DATEDIF(J39, TODAY(),"Y")</f>
        <v>27</v>
      </c>
      <c r="M39" s="10">
        <f ca="1">DATEDIF(K39, TODAY(),"Y")</f>
        <v>61</v>
      </c>
      <c r="N39" s="10" t="str">
        <f>LOOKUP(F39,Справочники!$F$2:$F$10,Справочники!$H$2:$H$10)</f>
        <v>+7(8332)64-32-01</v>
      </c>
    </row>
    <row r="40" spans="1:14" ht="15" hidden="1" outlineLevel="2" x14ac:dyDescent="0.25">
      <c r="A40" s="10">
        <v>110</v>
      </c>
      <c r="B40" s="12" t="s">
        <v>94</v>
      </c>
      <c r="C40" s="12" t="s">
        <v>95</v>
      </c>
      <c r="D40" s="12" t="s">
        <v>96</v>
      </c>
      <c r="E40" s="10" t="s">
        <v>9</v>
      </c>
      <c r="F40" s="10" t="str">
        <f>LOOKUP(G40,Справочники!$B$2:$B$35,Справочники!$A$2:$A$35)</f>
        <v>Управление</v>
      </c>
      <c r="G40" s="6" t="s">
        <v>23</v>
      </c>
      <c r="H40" s="16">
        <f>LOOKUP(G40,Справочники!$B$2:$B$35,Справочники!$C$2:$C$35)</f>
        <v>30000</v>
      </c>
      <c r="I40" s="6" t="s">
        <v>14</v>
      </c>
      <c r="J40" s="11">
        <v>34436</v>
      </c>
      <c r="K40" s="11">
        <v>26821</v>
      </c>
      <c r="L40" s="10">
        <f ca="1">DATEDIF(J40, TODAY(),"Y")</f>
        <v>28</v>
      </c>
      <c r="M40" s="10">
        <f ca="1">DATEDIF(K40, TODAY(),"Y")</f>
        <v>49</v>
      </c>
      <c r="N40" s="10" t="str">
        <f>LOOKUP(F40,Справочники!$F$2:$F$10,Справочники!$H$2:$H$10)</f>
        <v>+7(8332)64-32-18</v>
      </c>
    </row>
    <row r="41" spans="1:14" ht="15" hidden="1" outlineLevel="2" x14ac:dyDescent="0.25">
      <c r="A41" s="10">
        <v>102</v>
      </c>
      <c r="B41" s="12" t="s">
        <v>71</v>
      </c>
      <c r="C41" s="12" t="s">
        <v>72</v>
      </c>
      <c r="D41" s="12" t="s">
        <v>73</v>
      </c>
      <c r="E41" s="10" t="s">
        <v>9</v>
      </c>
      <c r="F41" s="10" t="str">
        <f>LOOKUP(G41,Справочники!$B$2:$B$35,Справочники!$A$2:$A$35)</f>
        <v>Бухгалтерия</v>
      </c>
      <c r="G41" s="6" t="s">
        <v>13</v>
      </c>
      <c r="H41" s="16">
        <f>LOOKUP(G41,Справочники!$B$2:$B$35,Справочники!$C$2:$C$35)</f>
        <v>20000</v>
      </c>
      <c r="I41" s="6" t="s">
        <v>14</v>
      </c>
      <c r="J41" s="11">
        <v>34380</v>
      </c>
      <c r="K41" s="11">
        <v>25186</v>
      </c>
      <c r="L41" s="10">
        <f ca="1">DATEDIF(J41, TODAY(),"Y")</f>
        <v>28</v>
      </c>
      <c r="M41" s="10">
        <f ca="1">DATEDIF(K41, TODAY(),"Y")</f>
        <v>53</v>
      </c>
      <c r="N41" s="10" t="str">
        <f>LOOKUP(F41,Справочники!$F$2:$F$10,Справочники!$H$2:$H$10)</f>
        <v>+7(8332)64-32-01</v>
      </c>
    </row>
    <row r="42" spans="1:14" ht="15" hidden="1" outlineLevel="2" x14ac:dyDescent="0.25">
      <c r="A42" s="10">
        <v>138</v>
      </c>
      <c r="B42" s="12" t="s">
        <v>155</v>
      </c>
      <c r="C42" s="12" t="s">
        <v>108</v>
      </c>
      <c r="D42" s="12" t="s">
        <v>156</v>
      </c>
      <c r="E42" s="10" t="s">
        <v>9</v>
      </c>
      <c r="F42" s="10" t="str">
        <f>LOOKUP(G42,Справочники!$B$2:$B$35,Справочники!$A$2:$A$35)</f>
        <v>Отдел худ. оформления</v>
      </c>
      <c r="G42" s="6" t="s">
        <v>44</v>
      </c>
      <c r="H42" s="16">
        <f>LOOKUP(G42,Справочники!$B$2:$B$35,Справочники!$C$2:$C$35)</f>
        <v>18000</v>
      </c>
      <c r="I42" s="6" t="s">
        <v>14</v>
      </c>
      <c r="J42" s="11">
        <v>34380</v>
      </c>
      <c r="K42" s="11">
        <v>23757</v>
      </c>
      <c r="L42" s="10">
        <f ca="1">DATEDIF(J42, TODAY(),"Y")</f>
        <v>28</v>
      </c>
      <c r="M42" s="10">
        <f ca="1">DATEDIF(K42, TODAY(),"Y")</f>
        <v>57</v>
      </c>
      <c r="N42" s="10" t="str">
        <f>LOOKUP(F42,Справочники!$F$2:$F$10,Справочники!$H$2:$H$10)</f>
        <v>+7(8332)64-32-01</v>
      </c>
    </row>
    <row r="43" spans="1:14" ht="15" outlineLevel="1" collapsed="1" x14ac:dyDescent="0.25">
      <c r="A43" s="10"/>
      <c r="B43" s="12"/>
      <c r="C43" s="12"/>
      <c r="D43" s="12"/>
      <c r="E43" s="37" t="s">
        <v>265</v>
      </c>
      <c r="F43" s="10"/>
      <c r="G43" s="6"/>
      <c r="H43" s="16"/>
      <c r="I43" s="6"/>
      <c r="J43" s="11"/>
      <c r="K43" s="11"/>
      <c r="L43" s="10">
        <f ca="1">SUBTOTAL(1,L2:L42)</f>
        <v>18.926829268292682</v>
      </c>
      <c r="M43" s="10">
        <f ca="1">SUBTOTAL(1,M2:M42)</f>
        <v>48.024390243902438</v>
      </c>
      <c r="N43" s="10"/>
    </row>
    <row r="44" spans="1:14" ht="15" hidden="1" outlineLevel="2" x14ac:dyDescent="0.25">
      <c r="A44" s="10">
        <v>148</v>
      </c>
      <c r="B44" s="12" t="s">
        <v>178</v>
      </c>
      <c r="C44" s="12" t="s">
        <v>179</v>
      </c>
      <c r="D44" s="12" t="s">
        <v>101</v>
      </c>
      <c r="E44" s="10" t="s">
        <v>17</v>
      </c>
      <c r="F44" s="10" t="str">
        <f>LOOKUP(G44,Справочники!$B$2:$B$35,Справочники!$A$2:$A$35)</f>
        <v>Рекламный отдел</v>
      </c>
      <c r="G44" s="6" t="s">
        <v>27</v>
      </c>
      <c r="H44" s="16">
        <f>LOOKUP(G44,Справочники!$B$2:$B$35,Справочники!$C$2:$C$35)</f>
        <v>22000</v>
      </c>
      <c r="I44" s="6" t="s">
        <v>14</v>
      </c>
      <c r="J44" s="11">
        <v>43539</v>
      </c>
      <c r="K44" s="11">
        <v>27737</v>
      </c>
      <c r="L44" s="10">
        <f ca="1">DATEDIF(J44, TODAY(),"Y")</f>
        <v>3</v>
      </c>
      <c r="M44" s="10">
        <f ca="1">DATEDIF(K44, TODAY(),"Y")</f>
        <v>46</v>
      </c>
      <c r="N44" s="10" t="str">
        <f>LOOKUP(F44,Справочники!$F$2:$F$10,Справочники!$H$2:$H$10)</f>
        <v>+7(8332)64-32-01</v>
      </c>
    </row>
    <row r="45" spans="1:14" ht="15" hidden="1" outlineLevel="2" x14ac:dyDescent="0.25">
      <c r="A45" s="10">
        <v>144</v>
      </c>
      <c r="B45" s="12" t="s">
        <v>170</v>
      </c>
      <c r="C45" s="12" t="s">
        <v>164</v>
      </c>
      <c r="D45" s="12" t="s">
        <v>171</v>
      </c>
      <c r="E45" s="10" t="s">
        <v>17</v>
      </c>
      <c r="F45" s="10" t="str">
        <f>LOOKUP(G45,Справочники!$B$2:$B$35,Справочники!$A$2:$A$35)</f>
        <v>Склад</v>
      </c>
      <c r="G45" s="6" t="s">
        <v>47</v>
      </c>
      <c r="H45" s="16">
        <f>LOOKUP(G45,Справочники!$B$2:$B$35,Справочники!$C$2:$C$35)</f>
        <v>11000</v>
      </c>
      <c r="I45" s="6" t="s">
        <v>33</v>
      </c>
      <c r="J45" s="11">
        <v>43115</v>
      </c>
      <c r="K45" s="11">
        <v>33207</v>
      </c>
      <c r="L45" s="10">
        <f ca="1">DATEDIF(J45, TODAY(),"Y")</f>
        <v>4</v>
      </c>
      <c r="M45" s="10">
        <f ca="1">DATEDIF(K45, TODAY(),"Y")</f>
        <v>31</v>
      </c>
      <c r="N45" s="10" t="str">
        <f>LOOKUP(F45,Справочники!$F$2:$F$10,Справочники!$H$2:$H$10)</f>
        <v>+7(8332)64-32-23</v>
      </c>
    </row>
    <row r="46" spans="1:14" ht="15" hidden="1" outlineLevel="2" x14ac:dyDescent="0.25">
      <c r="A46" s="10">
        <v>147</v>
      </c>
      <c r="B46" s="12" t="s">
        <v>175</v>
      </c>
      <c r="C46" s="12" t="s">
        <v>176</v>
      </c>
      <c r="D46" s="12" t="s">
        <v>177</v>
      </c>
      <c r="E46" s="10" t="s">
        <v>17</v>
      </c>
      <c r="F46" s="10" t="str">
        <f>LOOKUP(G46,Справочники!$B$2:$B$35,Справочники!$A$2:$A$35)</f>
        <v>Склад</v>
      </c>
      <c r="G46" s="6" t="s">
        <v>47</v>
      </c>
      <c r="H46" s="16">
        <f>LOOKUP(G46,Справочники!$B$2:$B$35,Справочники!$C$2:$C$35)</f>
        <v>11000</v>
      </c>
      <c r="I46" s="6" t="s">
        <v>33</v>
      </c>
      <c r="J46" s="11">
        <v>42399</v>
      </c>
      <c r="K46" s="11">
        <v>33858</v>
      </c>
      <c r="L46" s="10">
        <f ca="1">DATEDIF(J46, TODAY(),"Y")</f>
        <v>6</v>
      </c>
      <c r="M46" s="10">
        <f ca="1">DATEDIF(K46, TODAY(),"Y")</f>
        <v>30</v>
      </c>
      <c r="N46" s="10" t="str">
        <f>LOOKUP(F46,Справочники!$F$2:$F$10,Справочники!$H$2:$H$10)</f>
        <v>+7(8332)64-32-23</v>
      </c>
    </row>
    <row r="47" spans="1:14" ht="15" hidden="1" outlineLevel="2" x14ac:dyDescent="0.25">
      <c r="A47" s="10">
        <v>106</v>
      </c>
      <c r="B47" s="12" t="s">
        <v>83</v>
      </c>
      <c r="C47" s="12" t="s">
        <v>84</v>
      </c>
      <c r="D47" s="12" t="s">
        <v>85</v>
      </c>
      <c r="E47" s="10" t="s">
        <v>17</v>
      </c>
      <c r="F47" s="10" t="str">
        <f>LOOKUP(G47,Справочники!$B$2:$B$35,Справочники!$A$2:$A$35)</f>
        <v>Бухгалтерия</v>
      </c>
      <c r="G47" s="6" t="s">
        <v>11</v>
      </c>
      <c r="H47" s="16">
        <f>LOOKUP(G47,Справочники!$B$2:$B$35,Справочники!$C$2:$C$35)</f>
        <v>12000</v>
      </c>
      <c r="I47" s="6" t="s">
        <v>25</v>
      </c>
      <c r="J47" s="11">
        <v>42626</v>
      </c>
      <c r="K47" s="11">
        <v>31062</v>
      </c>
      <c r="L47" s="10">
        <f ca="1">DATEDIF(J47, TODAY(),"Y")</f>
        <v>6</v>
      </c>
      <c r="M47" s="10">
        <f ca="1">DATEDIF(K47, TODAY(),"Y")</f>
        <v>37</v>
      </c>
      <c r="N47" s="10" t="str">
        <f>LOOKUP(F47,Справочники!$F$2:$F$10,Справочники!$H$2:$H$10)</f>
        <v>+7(8332)64-32-01</v>
      </c>
    </row>
    <row r="48" spans="1:14" ht="15" hidden="1" outlineLevel="2" x14ac:dyDescent="0.25">
      <c r="A48" s="10">
        <v>129</v>
      </c>
      <c r="B48" s="12" t="s">
        <v>134</v>
      </c>
      <c r="C48" s="12" t="s">
        <v>135</v>
      </c>
      <c r="D48" s="12" t="s">
        <v>136</v>
      </c>
      <c r="E48" s="10" t="s">
        <v>17</v>
      </c>
      <c r="F48" s="10" t="str">
        <f>LOOKUP(G48,Справочники!$B$2:$B$35,Справочники!$A$2:$A$35)</f>
        <v>Рекламный отдел</v>
      </c>
      <c r="G48" s="6" t="s">
        <v>40</v>
      </c>
      <c r="H48" s="16">
        <f>LOOKUP(G48,Справочники!$B$2:$B$35,Справочники!$C$2:$C$35)</f>
        <v>15000</v>
      </c>
      <c r="I48" s="6" t="s">
        <v>14</v>
      </c>
      <c r="J48" s="11">
        <v>41972</v>
      </c>
      <c r="K48" s="11">
        <v>33851</v>
      </c>
      <c r="L48" s="10">
        <f ca="1">DATEDIF(J48, TODAY(),"Y")</f>
        <v>7</v>
      </c>
      <c r="M48" s="10">
        <f ca="1">DATEDIF(K48, TODAY(),"Y")</f>
        <v>30</v>
      </c>
      <c r="N48" s="10" t="str">
        <f>LOOKUP(F48,Справочники!$F$2:$F$10,Справочники!$H$2:$H$10)</f>
        <v>+7(8332)64-32-01</v>
      </c>
    </row>
    <row r="49" spans="1:14" ht="15" hidden="1" outlineLevel="2" x14ac:dyDescent="0.25">
      <c r="A49" s="10">
        <v>128</v>
      </c>
      <c r="B49" s="12" t="s">
        <v>133</v>
      </c>
      <c r="C49" s="12" t="s">
        <v>90</v>
      </c>
      <c r="D49" s="12" t="s">
        <v>132</v>
      </c>
      <c r="E49" s="10" t="s">
        <v>17</v>
      </c>
      <c r="F49" s="10" t="str">
        <f>LOOKUP(G49,Справочники!$B$2:$B$35,Справочники!$A$2:$A$35)</f>
        <v>Рекламный отдел</v>
      </c>
      <c r="G49" s="6" t="s">
        <v>39</v>
      </c>
      <c r="H49" s="16">
        <f>LOOKUP(G49,Справочники!$B$2:$B$35,Справочники!$C$2:$C$35)</f>
        <v>18000</v>
      </c>
      <c r="I49" s="6" t="s">
        <v>12</v>
      </c>
      <c r="J49" s="11">
        <v>42260</v>
      </c>
      <c r="K49" s="11">
        <v>32292</v>
      </c>
      <c r="L49" s="10">
        <f ca="1">DATEDIF(J49, TODAY(),"Y")</f>
        <v>7</v>
      </c>
      <c r="M49" s="10">
        <f ca="1">DATEDIF(K49, TODAY(),"Y")</f>
        <v>34</v>
      </c>
      <c r="N49" s="10" t="str">
        <f>LOOKUP(F49,Справочники!$F$2:$F$10,Справочники!$H$2:$H$10)</f>
        <v>+7(8332)64-32-01</v>
      </c>
    </row>
    <row r="50" spans="1:14" ht="15" hidden="1" outlineLevel="2" x14ac:dyDescent="0.25">
      <c r="A50" s="10">
        <v>143</v>
      </c>
      <c r="B50" s="12" t="s">
        <v>167</v>
      </c>
      <c r="C50" s="12" t="s">
        <v>168</v>
      </c>
      <c r="D50" s="12" t="s">
        <v>169</v>
      </c>
      <c r="E50" s="10" t="s">
        <v>17</v>
      </c>
      <c r="F50" s="10" t="str">
        <f>LOOKUP(G50,Справочники!$B$2:$B$35,Справочники!$A$2:$A$35)</f>
        <v>Склад</v>
      </c>
      <c r="G50" s="6" t="s">
        <v>47</v>
      </c>
      <c r="H50" s="16">
        <f>LOOKUP(G50,Справочники!$B$2:$B$35,Справочники!$C$2:$C$35)</f>
        <v>11000</v>
      </c>
      <c r="I50" s="6" t="s">
        <v>33</v>
      </c>
      <c r="J50" s="11">
        <v>42016</v>
      </c>
      <c r="K50" s="11">
        <v>30232</v>
      </c>
      <c r="L50" s="10">
        <f ca="1">DATEDIF(J50, TODAY(),"Y")</f>
        <v>7</v>
      </c>
      <c r="M50" s="10">
        <f ca="1">DATEDIF(K50, TODAY(),"Y")</f>
        <v>40</v>
      </c>
      <c r="N50" s="10" t="str">
        <f>LOOKUP(F50,Справочники!$F$2:$F$10,Справочники!$H$2:$H$10)</f>
        <v>+7(8332)64-32-23</v>
      </c>
    </row>
    <row r="51" spans="1:14" ht="15" hidden="1" outlineLevel="2" x14ac:dyDescent="0.25">
      <c r="A51" s="10">
        <v>133</v>
      </c>
      <c r="B51" s="12" t="s">
        <v>144</v>
      </c>
      <c r="C51" s="12" t="s">
        <v>84</v>
      </c>
      <c r="D51" s="12" t="s">
        <v>145</v>
      </c>
      <c r="E51" s="10" t="s">
        <v>17</v>
      </c>
      <c r="F51" s="10" t="str">
        <f>LOOKUP(G51,Справочники!$B$2:$B$35,Справочники!$A$2:$A$35)</f>
        <v>Рекламный отдел</v>
      </c>
      <c r="G51" s="6" t="s">
        <v>40</v>
      </c>
      <c r="H51" s="16">
        <f>LOOKUP(G51,Справочники!$B$2:$B$35,Справочники!$C$2:$C$35)</f>
        <v>15000</v>
      </c>
      <c r="I51" s="6" t="s">
        <v>14</v>
      </c>
      <c r="J51" s="11">
        <v>41782</v>
      </c>
      <c r="K51" s="11">
        <v>33871</v>
      </c>
      <c r="L51" s="10">
        <f ca="1">DATEDIF(J51, TODAY(),"Y")</f>
        <v>8</v>
      </c>
      <c r="M51" s="10">
        <f ca="1">DATEDIF(K51, TODAY(),"Y")</f>
        <v>30</v>
      </c>
      <c r="N51" s="10" t="str">
        <f>LOOKUP(F51,Справочники!$F$2:$F$10,Справочники!$H$2:$H$10)</f>
        <v>+7(8332)64-32-01</v>
      </c>
    </row>
    <row r="52" spans="1:14" ht="15" hidden="1" outlineLevel="2" x14ac:dyDescent="0.25">
      <c r="A52" s="10">
        <v>132</v>
      </c>
      <c r="B52" s="12" t="s">
        <v>143</v>
      </c>
      <c r="C52" s="12" t="s">
        <v>141</v>
      </c>
      <c r="D52" s="12" t="s">
        <v>85</v>
      </c>
      <c r="E52" s="10" t="s">
        <v>17</v>
      </c>
      <c r="F52" s="10" t="str">
        <f>LOOKUP(G52,Справочники!$B$2:$B$35,Справочники!$A$2:$A$35)</f>
        <v>Отдел продаж</v>
      </c>
      <c r="G52" s="6" t="s">
        <v>42</v>
      </c>
      <c r="H52" s="16">
        <f>LOOKUP(G52,Справочники!$B$2:$B$35,Справочники!$C$2:$C$35)</f>
        <v>15000</v>
      </c>
      <c r="I52" s="6" t="s">
        <v>12</v>
      </c>
      <c r="J52" s="11">
        <v>41306</v>
      </c>
      <c r="K52" s="11">
        <v>33115</v>
      </c>
      <c r="L52" s="10">
        <f ca="1">DATEDIF(J52, TODAY(),"Y")</f>
        <v>9</v>
      </c>
      <c r="M52" s="10">
        <f ca="1">DATEDIF(K52, TODAY(),"Y")</f>
        <v>32</v>
      </c>
      <c r="N52" s="10" t="str">
        <f>LOOKUP(F52,Справочники!$F$2:$F$10,Справочники!$H$2:$H$10)</f>
        <v>+7(8332)64-32-01</v>
      </c>
    </row>
    <row r="53" spans="1:14" ht="15" hidden="1" outlineLevel="2" x14ac:dyDescent="0.25">
      <c r="A53" s="10">
        <v>112</v>
      </c>
      <c r="B53" s="12" t="s">
        <v>99</v>
      </c>
      <c r="C53" s="12" t="s">
        <v>100</v>
      </c>
      <c r="D53" s="12" t="s">
        <v>101</v>
      </c>
      <c r="E53" s="10" t="s">
        <v>17</v>
      </c>
      <c r="F53" s="10" t="str">
        <f>LOOKUP(G53,Справочники!$B$2:$B$35,Справочники!$A$2:$A$35)</f>
        <v>Рекламный отдел</v>
      </c>
      <c r="G53" s="6" t="s">
        <v>27</v>
      </c>
      <c r="H53" s="16">
        <f>LOOKUP(G53,Справочники!$B$2:$B$35,Справочники!$C$2:$C$35)</f>
        <v>22000</v>
      </c>
      <c r="I53" s="6" t="s">
        <v>14</v>
      </c>
      <c r="J53" s="11">
        <v>40966</v>
      </c>
      <c r="K53" s="11">
        <v>31390</v>
      </c>
      <c r="L53" s="10">
        <f ca="1">DATEDIF(J53, TODAY(),"Y")</f>
        <v>10</v>
      </c>
      <c r="M53" s="10">
        <f ca="1">DATEDIF(K53, TODAY(),"Y")</f>
        <v>36</v>
      </c>
      <c r="N53" s="10" t="str">
        <f>LOOKUP(F53,Справочники!$F$2:$F$10,Справочники!$H$2:$H$10)</f>
        <v>+7(8332)64-32-01</v>
      </c>
    </row>
    <row r="54" spans="1:14" ht="15" hidden="1" outlineLevel="2" x14ac:dyDescent="0.25">
      <c r="A54" s="10">
        <v>105</v>
      </c>
      <c r="B54" s="12" t="s">
        <v>80</v>
      </c>
      <c r="C54" s="12" t="s">
        <v>81</v>
      </c>
      <c r="D54" s="12" t="s">
        <v>82</v>
      </c>
      <c r="E54" s="10" t="s">
        <v>17</v>
      </c>
      <c r="F54" s="10" t="str">
        <f>LOOKUP(G54,Справочники!$B$2:$B$35,Справочники!$A$2:$A$35)</f>
        <v>Бухгалтерия</v>
      </c>
      <c r="G54" s="6" t="s">
        <v>18</v>
      </c>
      <c r="H54" s="16">
        <f>LOOKUP(G54,Справочники!$B$2:$B$35,Справочники!$C$2:$C$35)</f>
        <v>17000</v>
      </c>
      <c r="I54" s="6" t="s">
        <v>14</v>
      </c>
      <c r="J54" s="11">
        <v>41165</v>
      </c>
      <c r="K54" s="11">
        <v>31196</v>
      </c>
      <c r="L54" s="10">
        <f ca="1">DATEDIF(J54, TODAY(),"Y")</f>
        <v>10</v>
      </c>
      <c r="M54" s="10">
        <f ca="1">DATEDIF(K54, TODAY(),"Y")</f>
        <v>37</v>
      </c>
      <c r="N54" s="10" t="str">
        <f>LOOKUP(F54,Справочники!$F$2:$F$10,Справочники!$H$2:$H$10)</f>
        <v>+7(8332)64-32-01</v>
      </c>
    </row>
    <row r="55" spans="1:14" ht="15" hidden="1" outlineLevel="2" x14ac:dyDescent="0.25">
      <c r="A55" s="10">
        <v>127</v>
      </c>
      <c r="B55" s="12" t="s">
        <v>130</v>
      </c>
      <c r="C55" s="12" t="s">
        <v>131</v>
      </c>
      <c r="D55" s="12" t="s">
        <v>132</v>
      </c>
      <c r="E55" s="10" t="s">
        <v>17</v>
      </c>
      <c r="F55" s="10" t="str">
        <f>LOOKUP(G55,Справочники!$B$2:$B$35,Справочники!$A$2:$A$35)</f>
        <v>Технологический отдел</v>
      </c>
      <c r="G55" s="6" t="s">
        <v>38</v>
      </c>
      <c r="H55" s="16">
        <f>LOOKUP(G55,Справочники!$B$2:$B$35,Справочники!$C$2:$C$35)</f>
        <v>20000</v>
      </c>
      <c r="I55" s="6" t="s">
        <v>14</v>
      </c>
      <c r="J55" s="11">
        <v>40810</v>
      </c>
      <c r="K55" s="11">
        <v>31390</v>
      </c>
      <c r="L55" s="10">
        <f ca="1">DATEDIF(J55, TODAY(),"Y")</f>
        <v>11</v>
      </c>
      <c r="M55" s="10">
        <f ca="1">DATEDIF(K55, TODAY(),"Y")</f>
        <v>36</v>
      </c>
      <c r="N55" s="10" t="str">
        <f>LOOKUP(F55,Справочники!$F$2:$F$10,Справочники!$H$2:$H$10)</f>
        <v>+7(8332)64-32-18</v>
      </c>
    </row>
    <row r="56" spans="1:14" ht="15" hidden="1" outlineLevel="2" x14ac:dyDescent="0.25">
      <c r="A56" s="10">
        <v>126</v>
      </c>
      <c r="B56" s="12" t="s">
        <v>128</v>
      </c>
      <c r="C56" s="12" t="s">
        <v>129</v>
      </c>
      <c r="D56" s="12" t="s">
        <v>101</v>
      </c>
      <c r="E56" s="10" t="s">
        <v>17</v>
      </c>
      <c r="F56" s="10" t="str">
        <f>LOOKUP(G56,Справочники!$B$2:$B$35,Справочники!$A$2:$A$35)</f>
        <v>Рекламный отдел</v>
      </c>
      <c r="G56" s="6" t="s">
        <v>27</v>
      </c>
      <c r="H56" s="16">
        <f>LOOKUP(G56,Справочники!$B$2:$B$35,Справочники!$C$2:$C$35)</f>
        <v>22000</v>
      </c>
      <c r="I56" s="6" t="s">
        <v>14</v>
      </c>
      <c r="J56" s="11">
        <v>40321</v>
      </c>
      <c r="K56" s="11">
        <v>30232</v>
      </c>
      <c r="L56" s="10">
        <f ca="1">DATEDIF(J56, TODAY(),"Y")</f>
        <v>12</v>
      </c>
      <c r="M56" s="10">
        <f ca="1">DATEDIF(K56, TODAY(),"Y")</f>
        <v>40</v>
      </c>
      <c r="N56" s="10" t="str">
        <f>LOOKUP(F56,Справочники!$F$2:$F$10,Справочники!$H$2:$H$10)</f>
        <v>+7(8332)64-32-01</v>
      </c>
    </row>
    <row r="57" spans="1:14" ht="15" hidden="1" outlineLevel="2" x14ac:dyDescent="0.25">
      <c r="A57" s="10">
        <v>131</v>
      </c>
      <c r="B57" s="12" t="s">
        <v>140</v>
      </c>
      <c r="C57" s="12" t="s">
        <v>141</v>
      </c>
      <c r="D57" s="12" t="s">
        <v>142</v>
      </c>
      <c r="E57" s="10" t="s">
        <v>17</v>
      </c>
      <c r="F57" s="10" t="str">
        <f>LOOKUP(G57,Справочники!$B$2:$B$35,Справочники!$A$2:$A$35)</f>
        <v>Рекламный отдел</v>
      </c>
      <c r="G57" s="6" t="s">
        <v>27</v>
      </c>
      <c r="H57" s="16">
        <f>LOOKUP(G57,Справочники!$B$2:$B$35,Справочники!$C$2:$C$35)</f>
        <v>22000</v>
      </c>
      <c r="I57" s="6" t="s">
        <v>14</v>
      </c>
      <c r="J57" s="11">
        <v>39459</v>
      </c>
      <c r="K57" s="11">
        <v>27953</v>
      </c>
      <c r="L57" s="10">
        <f ca="1">DATEDIF(J57, TODAY(),"Y")</f>
        <v>14</v>
      </c>
      <c r="M57" s="10">
        <f ca="1">DATEDIF(K57, TODAY(),"Y")</f>
        <v>46</v>
      </c>
      <c r="N57" s="10" t="str">
        <f>LOOKUP(F57,Справочники!$F$2:$F$10,Справочники!$H$2:$H$10)</f>
        <v>+7(8332)64-32-01</v>
      </c>
    </row>
    <row r="58" spans="1:14" ht="15" hidden="1" outlineLevel="2" x14ac:dyDescent="0.25">
      <c r="A58" s="10">
        <v>109</v>
      </c>
      <c r="B58" s="12" t="s">
        <v>92</v>
      </c>
      <c r="C58" s="12" t="s">
        <v>81</v>
      </c>
      <c r="D58" s="12" t="s">
        <v>93</v>
      </c>
      <c r="E58" s="10" t="s">
        <v>17</v>
      </c>
      <c r="F58" s="10" t="str">
        <f>LOOKUP(G58,Справочники!$B$2:$B$35,Справочники!$A$2:$A$35)</f>
        <v>Управление</v>
      </c>
      <c r="G58" s="6" t="s">
        <v>22</v>
      </c>
      <c r="H58" s="16">
        <f>LOOKUP(G58,Справочники!$B$2:$B$35,Справочники!$C$2:$C$35)</f>
        <v>28000</v>
      </c>
      <c r="I58" s="6" t="s">
        <v>14</v>
      </c>
      <c r="J58" s="11">
        <v>39103</v>
      </c>
      <c r="K58" s="11">
        <v>27786</v>
      </c>
      <c r="L58" s="10">
        <f ca="1">DATEDIF(J58, TODAY(),"Y")</f>
        <v>15</v>
      </c>
      <c r="M58" s="10">
        <f ca="1">DATEDIF(K58, TODAY(),"Y")</f>
        <v>46</v>
      </c>
      <c r="N58" s="10" t="str">
        <f>LOOKUP(F58,Справочники!$F$2:$F$10,Справочники!$H$2:$H$10)</f>
        <v>+7(8332)64-32-18</v>
      </c>
    </row>
    <row r="59" spans="1:14" ht="15" hidden="1" outlineLevel="2" x14ac:dyDescent="0.25">
      <c r="A59" s="10">
        <v>108</v>
      </c>
      <c r="B59" s="12" t="s">
        <v>89</v>
      </c>
      <c r="C59" s="12" t="s">
        <v>90</v>
      </c>
      <c r="D59" s="12" t="s">
        <v>91</v>
      </c>
      <c r="E59" s="10" t="s">
        <v>17</v>
      </c>
      <c r="F59" s="10" t="str">
        <f>LOOKUP(G59,Справочники!$B$2:$B$35,Справочники!$A$2:$A$35)</f>
        <v>Управление</v>
      </c>
      <c r="G59" s="6" t="s">
        <v>21</v>
      </c>
      <c r="H59" s="16">
        <f>LOOKUP(G59,Справочники!$B$2:$B$35,Справочники!$C$2:$C$35)</f>
        <v>35000</v>
      </c>
      <c r="I59" s="6" t="s">
        <v>14</v>
      </c>
      <c r="J59" s="11">
        <v>38579</v>
      </c>
      <c r="K59" s="11">
        <v>28499</v>
      </c>
      <c r="L59" s="10">
        <f ca="1">DATEDIF(J59, TODAY(),"Y")</f>
        <v>17</v>
      </c>
      <c r="M59" s="10">
        <f ca="1">DATEDIF(K59, TODAY(),"Y")</f>
        <v>44</v>
      </c>
      <c r="N59" s="10" t="str">
        <f>LOOKUP(F59,Справочники!$F$2:$F$10,Справочники!$H$2:$H$10)</f>
        <v>+7(8332)64-32-18</v>
      </c>
    </row>
    <row r="60" spans="1:14" ht="15" hidden="1" outlineLevel="2" x14ac:dyDescent="0.25">
      <c r="A60" s="10">
        <v>141</v>
      </c>
      <c r="B60" s="12" t="s">
        <v>163</v>
      </c>
      <c r="C60" s="12" t="s">
        <v>164</v>
      </c>
      <c r="D60" s="12" t="s">
        <v>93</v>
      </c>
      <c r="E60" s="10" t="s">
        <v>17</v>
      </c>
      <c r="F60" s="10" t="str">
        <f>LOOKUP(G60,Справочники!$B$2:$B$35,Справочники!$A$2:$A$35)</f>
        <v>Отдел худ. оформления</v>
      </c>
      <c r="G60" s="6" t="s">
        <v>44</v>
      </c>
      <c r="H60" s="16">
        <f>LOOKUP(G60,Справочники!$B$2:$B$35,Справочники!$C$2:$C$35)</f>
        <v>18000</v>
      </c>
      <c r="I60" s="6" t="s">
        <v>14</v>
      </c>
      <c r="J60" s="11">
        <v>35290</v>
      </c>
      <c r="K60" s="11">
        <v>27405</v>
      </c>
      <c r="L60" s="10">
        <f ca="1">DATEDIF(J60, TODAY(),"Y")</f>
        <v>26</v>
      </c>
      <c r="M60" s="10">
        <f ca="1">DATEDIF(K60, TODAY(),"Y")</f>
        <v>47</v>
      </c>
      <c r="N60" s="10" t="str">
        <f>LOOKUP(F60,Справочники!$F$2:$F$10,Справочники!$H$2:$H$10)</f>
        <v>+7(8332)64-32-01</v>
      </c>
    </row>
    <row r="61" spans="1:14" ht="15" hidden="1" outlineLevel="2" x14ac:dyDescent="0.25">
      <c r="A61" s="10">
        <v>146</v>
      </c>
      <c r="B61" s="12" t="s">
        <v>173</v>
      </c>
      <c r="C61" s="12" t="s">
        <v>129</v>
      </c>
      <c r="D61" s="12" t="s">
        <v>174</v>
      </c>
      <c r="E61" s="10" t="s">
        <v>17</v>
      </c>
      <c r="F61" s="10" t="str">
        <f>LOOKUP(G61,Справочники!$B$2:$B$35,Справочники!$A$2:$A$35)</f>
        <v>Склад</v>
      </c>
      <c r="G61" s="6" t="s">
        <v>46</v>
      </c>
      <c r="H61" s="16">
        <f>LOOKUP(G61,Справочники!$B$2:$B$35,Справочники!$C$2:$C$35)</f>
        <v>15000</v>
      </c>
      <c r="I61" s="6" t="s">
        <v>33</v>
      </c>
      <c r="J61" s="11">
        <v>35032</v>
      </c>
      <c r="K61" s="11">
        <v>26821</v>
      </c>
      <c r="L61" s="10">
        <f ca="1">DATEDIF(J61, TODAY(),"Y")</f>
        <v>26</v>
      </c>
      <c r="M61" s="10">
        <f ca="1">DATEDIF(K61, TODAY(),"Y")</f>
        <v>49</v>
      </c>
      <c r="N61" s="10" t="str">
        <f>LOOKUP(F61,Справочники!$F$2:$F$10,Справочники!$H$2:$H$10)</f>
        <v>+7(8332)64-32-23</v>
      </c>
    </row>
    <row r="62" spans="1:14" ht="15" hidden="1" outlineLevel="2" x14ac:dyDescent="0.25">
      <c r="A62" s="10">
        <v>163</v>
      </c>
      <c r="B62" s="12" t="s">
        <v>208</v>
      </c>
      <c r="C62" s="12" t="s">
        <v>209</v>
      </c>
      <c r="D62" s="12" t="s">
        <v>93</v>
      </c>
      <c r="E62" s="10" t="s">
        <v>17</v>
      </c>
      <c r="F62" s="10" t="str">
        <f>LOOKUP(G62,Справочники!$B$2:$B$35,Справочники!$A$2:$A$35)</f>
        <v>Редакторский отдел</v>
      </c>
      <c r="G62" s="7" t="s">
        <v>56</v>
      </c>
      <c r="H62" s="16">
        <f>LOOKUP(G62,Справочники!$B$2:$B$35,Справочники!$C$2:$C$35)</f>
        <v>20000</v>
      </c>
      <c r="I62" s="6" t="s">
        <v>14</v>
      </c>
      <c r="J62" s="11">
        <v>35153</v>
      </c>
      <c r="K62" s="11">
        <v>24814</v>
      </c>
      <c r="L62" s="10">
        <f ca="1">DATEDIF(J62, TODAY(),"Y")</f>
        <v>26</v>
      </c>
      <c r="M62" s="10">
        <f ca="1">DATEDIF(K62, TODAY(),"Y")</f>
        <v>54</v>
      </c>
      <c r="N62" s="10" t="str">
        <f>LOOKUP(F62,Справочники!$F$2:$F$10,Справочники!$H$2:$H$10)</f>
        <v>+7(8332)64-32-01</v>
      </c>
    </row>
    <row r="63" spans="1:14" ht="15" hidden="1" outlineLevel="2" x14ac:dyDescent="0.25">
      <c r="A63" s="10">
        <v>145</v>
      </c>
      <c r="B63" s="12" t="s">
        <v>172</v>
      </c>
      <c r="C63" s="12" t="s">
        <v>131</v>
      </c>
      <c r="D63" s="12" t="s">
        <v>145</v>
      </c>
      <c r="E63" s="10" t="s">
        <v>17</v>
      </c>
      <c r="F63" s="10" t="str">
        <f>LOOKUP(G63,Справочники!$B$2:$B$35,Справочники!$A$2:$A$35)</f>
        <v>Склад</v>
      </c>
      <c r="G63" s="6" t="s">
        <v>48</v>
      </c>
      <c r="H63" s="16">
        <f>LOOKUP(G63,Справочники!$B$2:$B$35,Справочники!$C$2:$C$35)</f>
        <v>22000</v>
      </c>
      <c r="I63" s="6" t="s">
        <v>25</v>
      </c>
      <c r="J63" s="11">
        <v>34788</v>
      </c>
      <c r="K63" s="11">
        <v>25204</v>
      </c>
      <c r="L63" s="10">
        <f ca="1">DATEDIF(J63, TODAY(),"Y")</f>
        <v>27</v>
      </c>
      <c r="M63" s="10">
        <f ca="1">DATEDIF(K63, TODAY(),"Y")</f>
        <v>53</v>
      </c>
      <c r="N63" s="10" t="str">
        <f>LOOKUP(F63,Справочники!$F$2:$F$10,Справочники!$H$2:$H$10)</f>
        <v>+7(8332)64-32-23</v>
      </c>
    </row>
    <row r="64" spans="1:14" ht="15" hidden="1" outlineLevel="2" x14ac:dyDescent="0.25">
      <c r="A64" s="10">
        <v>149</v>
      </c>
      <c r="B64" s="12" t="s">
        <v>180</v>
      </c>
      <c r="C64" s="12" t="s">
        <v>181</v>
      </c>
      <c r="D64" s="12" t="s">
        <v>132</v>
      </c>
      <c r="E64" s="10" t="s">
        <v>17</v>
      </c>
      <c r="F64" s="10" t="str">
        <f>LOOKUP(G64,Справочники!$B$2:$B$35,Справочники!$A$2:$A$35)</f>
        <v>Транспортный отдел</v>
      </c>
      <c r="G64" s="6" t="s">
        <v>50</v>
      </c>
      <c r="H64" s="16">
        <f>LOOKUP(G64,Справочники!$B$2:$B$35,Справочники!$C$2:$C$35)</f>
        <v>12000</v>
      </c>
      <c r="I64" s="6" t="s">
        <v>33</v>
      </c>
      <c r="J64" s="11">
        <v>34759</v>
      </c>
      <c r="K64" s="11">
        <v>25186</v>
      </c>
      <c r="L64" s="10">
        <f ca="1">DATEDIF(J64, TODAY(),"Y")</f>
        <v>27</v>
      </c>
      <c r="M64" s="10">
        <f ca="1">DATEDIF(K64, TODAY(),"Y")</f>
        <v>53</v>
      </c>
      <c r="N64" s="10" t="str">
        <f>LOOKUP(F64,Справочники!$F$2:$F$10,Справочники!$H$2:$H$10)</f>
        <v>+7(8332)64-32-18</v>
      </c>
    </row>
    <row r="65" spans="1:14" ht="15" hidden="1" outlineLevel="2" x14ac:dyDescent="0.25">
      <c r="A65" s="10">
        <v>162</v>
      </c>
      <c r="B65" s="12" t="s">
        <v>206</v>
      </c>
      <c r="C65" s="12" t="s">
        <v>100</v>
      </c>
      <c r="D65" s="12" t="s">
        <v>207</v>
      </c>
      <c r="E65" s="10" t="s">
        <v>17</v>
      </c>
      <c r="F65" s="10" t="str">
        <f>LOOKUP(G65,Справочники!$B$2:$B$35,Справочники!$A$2:$A$35)</f>
        <v>Транспортный отдел</v>
      </c>
      <c r="G65" s="6" t="s">
        <v>50</v>
      </c>
      <c r="H65" s="16">
        <f>LOOKUP(G65,Справочники!$B$2:$B$35,Справочники!$C$2:$C$35)</f>
        <v>12000</v>
      </c>
      <c r="I65" s="6" t="s">
        <v>12</v>
      </c>
      <c r="J65" s="11">
        <v>32023</v>
      </c>
      <c r="K65" s="11">
        <v>22893</v>
      </c>
      <c r="L65" s="10">
        <f ca="1">DATEDIF(J65, TODAY(),"Y")</f>
        <v>35</v>
      </c>
      <c r="M65" s="10">
        <f ca="1">DATEDIF(K65, TODAY(),"Y")</f>
        <v>60</v>
      </c>
      <c r="N65" s="10" t="str">
        <f>LOOKUP(F65,Справочники!$F$2:$F$10,Справочники!$H$2:$H$10)</f>
        <v>+7(8332)64-32-18</v>
      </c>
    </row>
    <row r="66" spans="1:14" ht="15" hidden="1" outlineLevel="2" x14ac:dyDescent="0.25">
      <c r="A66" s="10">
        <v>161</v>
      </c>
      <c r="B66" s="12" t="s">
        <v>204</v>
      </c>
      <c r="C66" s="12" t="s">
        <v>205</v>
      </c>
      <c r="D66" s="12" t="s">
        <v>145</v>
      </c>
      <c r="E66" s="10" t="s">
        <v>17</v>
      </c>
      <c r="F66" s="10" t="str">
        <f>LOOKUP(G66,Справочники!$B$2:$B$35,Справочники!$A$2:$A$35)</f>
        <v>Транспортный отдел</v>
      </c>
      <c r="G66" s="6" t="s">
        <v>50</v>
      </c>
      <c r="H66" s="16">
        <f>LOOKUP(G66,Справочники!$B$2:$B$35,Справочники!$C$2:$C$35)</f>
        <v>12000</v>
      </c>
      <c r="I66" s="6" t="s">
        <v>12</v>
      </c>
      <c r="J66" s="11">
        <v>31108</v>
      </c>
      <c r="K66" s="11">
        <v>23891</v>
      </c>
      <c r="L66" s="10">
        <f ca="1">DATEDIF(J66, TODAY(),"Y")</f>
        <v>37</v>
      </c>
      <c r="M66" s="10">
        <f ca="1">DATEDIF(K66, TODAY(),"Y")</f>
        <v>57</v>
      </c>
      <c r="N66" s="10" t="str">
        <f>LOOKUP(F66,Справочники!$F$2:$F$10,Справочники!$H$2:$H$10)</f>
        <v>+7(8332)64-32-18</v>
      </c>
    </row>
    <row r="67" spans="1:14" ht="15" outlineLevel="1" collapsed="1" x14ac:dyDescent="0.25">
      <c r="A67" s="10"/>
      <c r="B67" s="12"/>
      <c r="C67" s="12"/>
      <c r="D67" s="12"/>
      <c r="E67" s="37" t="s">
        <v>266</v>
      </c>
      <c r="F67" s="10"/>
      <c r="G67" s="6"/>
      <c r="H67" s="16"/>
      <c r="I67" s="6"/>
      <c r="J67" s="11"/>
      <c r="K67" s="11"/>
      <c r="L67" s="10">
        <f ca="1">SUBTOTAL(1,L44:L66)</f>
        <v>15.217391304347826</v>
      </c>
      <c r="M67" s="10">
        <f ca="1">SUBTOTAL(1,M44:M66)</f>
        <v>42.086956521739133</v>
      </c>
      <c r="N67" s="10"/>
    </row>
    <row r="68" spans="1:14" ht="15" x14ac:dyDescent="0.25">
      <c r="A68" s="10"/>
      <c r="B68" s="12"/>
      <c r="C68" s="12"/>
      <c r="D68" s="12"/>
      <c r="E68" s="37" t="s">
        <v>267</v>
      </c>
      <c r="F68" s="10"/>
      <c r="G68" s="6"/>
      <c r="H68" s="16"/>
      <c r="I68" s="6"/>
      <c r="J68" s="11"/>
      <c r="K68" s="11"/>
      <c r="L68" s="10">
        <f ca="1">SUBTOTAL(1,L2:L66)</f>
        <v>17.59375</v>
      </c>
      <c r="M68" s="10">
        <f ca="1">SUBTOTAL(1,M2:M66)</f>
        <v>45.890625</v>
      </c>
      <c r="N68" s="10"/>
    </row>
    <row r="72" spans="1:14" ht="20.25" x14ac:dyDescent="0.3">
      <c r="A72" s="58"/>
      <c r="B72" s="59"/>
    </row>
    <row r="73" spans="1:14" ht="20.25" x14ac:dyDescent="0.3">
      <c r="A73" s="58"/>
      <c r="B73" s="59"/>
    </row>
  </sheetData>
  <sortState xmlns:xlrd2="http://schemas.microsoft.com/office/spreadsheetml/2017/richdata2" ref="A2:N66">
    <sortCondition ref="E2:E66"/>
    <sortCondition ref="L2:L66"/>
    <sortCondition ref="M2:M66"/>
  </sortState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067-EB21-412C-89F4-15EEFC40DFA1}">
  <dimension ref="A1:N75"/>
  <sheetViews>
    <sheetView zoomScaleNormal="100" workbookViewId="0">
      <pane ySplit="1" topLeftCell="A2" activePane="bottomLeft" state="frozen"/>
      <selection pane="bottomLeft" activeCell="H80" sqref="H80"/>
    </sheetView>
  </sheetViews>
  <sheetFormatPr defaultRowHeight="12.75" outlineLevelRow="2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8.7109375" style="5" customWidth="1"/>
    <col min="7" max="7" width="24.140625" style="4" bestFit="1" customWidth="1"/>
    <col min="8" max="8" width="17.5703125" style="18" customWidth="1"/>
    <col min="9" max="9" width="20" style="4" bestFit="1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hidden="1" outlineLevel="2" x14ac:dyDescent="0.25">
      <c r="A2" s="10">
        <v>101</v>
      </c>
      <c r="B2" s="12" t="s">
        <v>68</v>
      </c>
      <c r="C2" s="12" t="s">
        <v>69</v>
      </c>
      <c r="D2" s="12" t="s">
        <v>70</v>
      </c>
      <c r="E2" s="10" t="s">
        <v>9</v>
      </c>
      <c r="F2" s="10" t="str">
        <f>LOOKUP(G2,Справочники!$B$2:$B$35,Справочники!$A$2:$A$35)</f>
        <v>Бухгалтерия</v>
      </c>
      <c r="G2" s="6" t="s">
        <v>11</v>
      </c>
      <c r="H2" s="16">
        <f>LOOKUP(G2,Справочники!$B$2:$B$35,Справочники!$C$2:$C$35)</f>
        <v>12000</v>
      </c>
      <c r="I2" s="6" t="s">
        <v>14</v>
      </c>
      <c r="J2" s="11">
        <v>38944</v>
      </c>
      <c r="K2" s="11">
        <v>30198</v>
      </c>
      <c r="L2" s="10">
        <f ca="1">DATEDIF(J2, TODAY(),"Y")</f>
        <v>16</v>
      </c>
      <c r="M2" s="10">
        <f ca="1">DATEDIF(K2, TODAY(),"Y")</f>
        <v>40</v>
      </c>
      <c r="N2" s="10" t="str">
        <f>LOOKUP(F2,Справочники!$F$2:$F$10,Справочники!$H$2:$H$10)</f>
        <v>+7(8332)64-32-01</v>
      </c>
    </row>
    <row r="3" spans="1:14" ht="15" hidden="1" outlineLevel="2" x14ac:dyDescent="0.25">
      <c r="A3" s="10">
        <v>102</v>
      </c>
      <c r="B3" s="12" t="s">
        <v>71</v>
      </c>
      <c r="C3" s="12" t="s">
        <v>72</v>
      </c>
      <c r="D3" s="12" t="s">
        <v>73</v>
      </c>
      <c r="E3" s="10" t="s">
        <v>9</v>
      </c>
      <c r="F3" s="10" t="str">
        <f>LOOKUP(G3,Справочники!$B$2:$B$35,Справочники!$A$2:$A$35)</f>
        <v>Бухгалтерия</v>
      </c>
      <c r="G3" s="6" t="s">
        <v>13</v>
      </c>
      <c r="H3" s="16">
        <f>LOOKUP(G3,Справочники!$B$2:$B$35,Справочники!$C$2:$C$35)</f>
        <v>20000</v>
      </c>
      <c r="I3" s="6" t="s">
        <v>14</v>
      </c>
      <c r="J3" s="11">
        <v>34380</v>
      </c>
      <c r="K3" s="11">
        <v>25186</v>
      </c>
      <c r="L3" s="10">
        <f ca="1">DATEDIF(J3, TODAY(),"Y")</f>
        <v>28</v>
      </c>
      <c r="M3" s="10">
        <f ca="1">DATEDIF(K3, TODAY(),"Y")</f>
        <v>53</v>
      </c>
      <c r="N3" s="10" t="str">
        <f>LOOKUP(F3,Справочники!$F$2:$F$10,Справочники!$H$2:$H$10)</f>
        <v>+7(8332)64-32-01</v>
      </c>
    </row>
    <row r="4" spans="1:14" ht="15" hidden="1" outlineLevel="2" x14ac:dyDescent="0.25">
      <c r="A4" s="10">
        <v>103</v>
      </c>
      <c r="B4" s="12" t="s">
        <v>74</v>
      </c>
      <c r="C4" s="12" t="s">
        <v>75</v>
      </c>
      <c r="D4" s="12" t="s">
        <v>76</v>
      </c>
      <c r="E4" s="10" t="s">
        <v>9</v>
      </c>
      <c r="F4" s="10" t="str">
        <f>LOOKUP(G4,Справочники!$B$2:$B$35,Справочники!$A$2:$A$35)</f>
        <v>Бухгалтерия</v>
      </c>
      <c r="G4" s="6" t="s">
        <v>15</v>
      </c>
      <c r="H4" s="16">
        <f>LOOKUP(G4,Справочники!$B$2:$B$35,Справочники!$C$2:$C$35)</f>
        <v>12000</v>
      </c>
      <c r="I4" s="6" t="s">
        <v>12</v>
      </c>
      <c r="J4" s="11">
        <v>42962</v>
      </c>
      <c r="K4" s="11">
        <v>34762</v>
      </c>
      <c r="L4" s="10">
        <f ca="1">DATEDIF(J4, TODAY(),"Y")</f>
        <v>5</v>
      </c>
      <c r="M4" s="10">
        <f ca="1">DATEDIF(K4, TODAY(),"Y")</f>
        <v>27</v>
      </c>
      <c r="N4" s="10" t="str">
        <f>LOOKUP(F4,Справочники!$F$2:$F$10,Справочники!$H$2:$H$10)</f>
        <v>+7(8332)64-32-01</v>
      </c>
    </row>
    <row r="5" spans="1:14" ht="15" hidden="1" outlineLevel="2" x14ac:dyDescent="0.25">
      <c r="A5" s="10">
        <v>104</v>
      </c>
      <c r="B5" s="12" t="s">
        <v>77</v>
      </c>
      <c r="C5" s="12" t="s">
        <v>78</v>
      </c>
      <c r="D5" s="12" t="s">
        <v>79</v>
      </c>
      <c r="E5" s="10" t="s">
        <v>9</v>
      </c>
      <c r="F5" s="10" t="str">
        <f>LOOKUP(G5,Справочники!$B$2:$B$35,Справочники!$A$2:$A$35)</f>
        <v>Бухгалтерия</v>
      </c>
      <c r="G5" s="6" t="s">
        <v>16</v>
      </c>
      <c r="H5" s="16">
        <f>LOOKUP(G5,Справочники!$B$2:$B$35,Справочники!$C$2:$C$35)</f>
        <v>15000</v>
      </c>
      <c r="I5" s="6" t="s">
        <v>14</v>
      </c>
      <c r="J5" s="11">
        <v>41530</v>
      </c>
      <c r="K5" s="11">
        <v>25346</v>
      </c>
      <c r="L5" s="10">
        <f ca="1">DATEDIF(J5, TODAY(),"Y")</f>
        <v>9</v>
      </c>
      <c r="M5" s="10">
        <f ca="1">DATEDIF(K5, TODAY(),"Y")</f>
        <v>53</v>
      </c>
      <c r="N5" s="10" t="str">
        <f>LOOKUP(F5,Справочники!$F$2:$F$10,Справочники!$H$2:$H$10)</f>
        <v>+7(8332)64-32-01</v>
      </c>
    </row>
    <row r="6" spans="1:14" ht="15" hidden="1" outlineLevel="2" x14ac:dyDescent="0.25">
      <c r="A6" s="10">
        <v>105</v>
      </c>
      <c r="B6" s="12" t="s">
        <v>80</v>
      </c>
      <c r="C6" s="12" t="s">
        <v>81</v>
      </c>
      <c r="D6" s="12" t="s">
        <v>82</v>
      </c>
      <c r="E6" s="10" t="s">
        <v>17</v>
      </c>
      <c r="F6" s="10" t="str">
        <f>LOOKUP(G6,Справочники!$B$2:$B$35,Справочники!$A$2:$A$35)</f>
        <v>Бухгалтерия</v>
      </c>
      <c r="G6" s="6" t="s">
        <v>18</v>
      </c>
      <c r="H6" s="16">
        <f>LOOKUP(G6,Справочники!$B$2:$B$35,Справочники!$C$2:$C$35)</f>
        <v>17000</v>
      </c>
      <c r="I6" s="6" t="s">
        <v>14</v>
      </c>
      <c r="J6" s="11">
        <v>41165</v>
      </c>
      <c r="K6" s="11">
        <v>31196</v>
      </c>
      <c r="L6" s="10">
        <f ca="1">DATEDIF(J6, TODAY(),"Y")</f>
        <v>10</v>
      </c>
      <c r="M6" s="10">
        <f ca="1">DATEDIF(K6, TODAY(),"Y")</f>
        <v>37</v>
      </c>
      <c r="N6" s="10" t="str">
        <f>LOOKUP(F6,Справочники!$F$2:$F$10,Справочники!$H$2:$H$10)</f>
        <v>+7(8332)64-32-01</v>
      </c>
    </row>
    <row r="7" spans="1:14" ht="15" hidden="1" outlineLevel="2" x14ac:dyDescent="0.25">
      <c r="A7" s="10">
        <v>106</v>
      </c>
      <c r="B7" s="12" t="s">
        <v>83</v>
      </c>
      <c r="C7" s="12" t="s">
        <v>84</v>
      </c>
      <c r="D7" s="12" t="s">
        <v>85</v>
      </c>
      <c r="E7" s="10" t="s">
        <v>17</v>
      </c>
      <c r="F7" s="10" t="str">
        <f>LOOKUP(G7,Справочники!$B$2:$B$35,Справочники!$A$2:$A$35)</f>
        <v>Бухгалтерия</v>
      </c>
      <c r="G7" s="6" t="s">
        <v>11</v>
      </c>
      <c r="H7" s="16">
        <f>LOOKUP(G7,Справочники!$B$2:$B$35,Справочники!$C$2:$C$35)</f>
        <v>12000</v>
      </c>
      <c r="I7" s="6" t="s">
        <v>25</v>
      </c>
      <c r="J7" s="11">
        <v>42626</v>
      </c>
      <c r="K7" s="11">
        <v>31062</v>
      </c>
      <c r="L7" s="10">
        <f ca="1">DATEDIF(J7, TODAY(),"Y")</f>
        <v>6</v>
      </c>
      <c r="M7" s="10">
        <f ca="1">DATEDIF(K7, TODAY(),"Y")</f>
        <v>37</v>
      </c>
      <c r="N7" s="10" t="str">
        <f>LOOKUP(F7,Справочники!$F$2:$F$10,Справочники!$H$2:$H$10)</f>
        <v>+7(8332)64-32-01</v>
      </c>
    </row>
    <row r="8" spans="1:14" ht="15" outlineLevel="1" collapsed="1" x14ac:dyDescent="0.25">
      <c r="A8" s="10"/>
      <c r="B8" s="12"/>
      <c r="C8" s="12"/>
      <c r="D8" s="12"/>
      <c r="E8" s="10"/>
      <c r="F8" s="60" t="s">
        <v>247</v>
      </c>
      <c r="G8" s="6"/>
      <c r="H8" s="16">
        <f>SUBTOTAL(9,H2:H7)</f>
        <v>88000</v>
      </c>
      <c r="I8" s="6"/>
      <c r="J8" s="11"/>
      <c r="K8" s="11"/>
      <c r="L8" s="10"/>
      <c r="M8" s="10"/>
      <c r="N8" s="10"/>
    </row>
    <row r="9" spans="1:14" ht="15" hidden="1" outlineLevel="2" x14ac:dyDescent="0.25">
      <c r="A9" s="10">
        <v>132</v>
      </c>
      <c r="B9" s="12" t="s">
        <v>143</v>
      </c>
      <c r="C9" s="12" t="s">
        <v>141</v>
      </c>
      <c r="D9" s="12" t="s">
        <v>85</v>
      </c>
      <c r="E9" s="10" t="s">
        <v>17</v>
      </c>
      <c r="F9" s="61" t="str">
        <f>LOOKUP(G9,Справочники!$B$2:$B$35,Справочники!$A$2:$A$35)</f>
        <v>Отдел продаж</v>
      </c>
      <c r="G9" s="6" t="s">
        <v>42</v>
      </c>
      <c r="H9" s="16">
        <f>LOOKUP(G9,Справочники!$B$2:$B$35,Справочники!$C$2:$C$35)</f>
        <v>15000</v>
      </c>
      <c r="I9" s="6" t="s">
        <v>12</v>
      </c>
      <c r="J9" s="11">
        <v>41306</v>
      </c>
      <c r="K9" s="11">
        <v>33115</v>
      </c>
      <c r="L9" s="10">
        <f ca="1">DATEDIF(J9, TODAY(),"Y")</f>
        <v>9</v>
      </c>
      <c r="M9" s="10">
        <f ca="1">DATEDIF(K9, TODAY(),"Y")</f>
        <v>32</v>
      </c>
      <c r="N9" s="10" t="str">
        <f>LOOKUP(F9,Справочники!$F$2:$F$10,Справочники!$H$2:$H$10)</f>
        <v>+7(8332)64-32-01</v>
      </c>
    </row>
    <row r="10" spans="1:14" ht="15" outlineLevel="1" collapsed="1" x14ac:dyDescent="0.25">
      <c r="A10" s="10"/>
      <c r="B10" s="12"/>
      <c r="C10" s="12"/>
      <c r="D10" s="12"/>
      <c r="E10" s="10"/>
      <c r="F10" s="60" t="s">
        <v>248</v>
      </c>
      <c r="G10" s="6"/>
      <c r="H10" s="16">
        <f>SUBTOTAL(9,H9:H9)</f>
        <v>15000</v>
      </c>
      <c r="I10" s="6"/>
      <c r="J10" s="11"/>
      <c r="K10" s="11"/>
      <c r="L10" s="10"/>
      <c r="M10" s="10"/>
      <c r="N10" s="10"/>
    </row>
    <row r="11" spans="1:14" ht="15" hidden="1" outlineLevel="2" x14ac:dyDescent="0.25">
      <c r="A11" s="10">
        <v>138</v>
      </c>
      <c r="B11" s="12" t="s">
        <v>155</v>
      </c>
      <c r="C11" s="12" t="s">
        <v>108</v>
      </c>
      <c r="D11" s="12" t="s">
        <v>156</v>
      </c>
      <c r="E11" s="10" t="s">
        <v>9</v>
      </c>
      <c r="F11" s="61" t="str">
        <f>LOOKUP(G11,Справочники!$B$2:$B$35,Справочники!$A$2:$A$35)</f>
        <v>Отдел худ. оформления</v>
      </c>
      <c r="G11" s="6" t="s">
        <v>44</v>
      </c>
      <c r="H11" s="16">
        <f>LOOKUP(G11,Справочники!$B$2:$B$35,Справочники!$C$2:$C$35)</f>
        <v>18000</v>
      </c>
      <c r="I11" s="6" t="s">
        <v>14</v>
      </c>
      <c r="J11" s="11">
        <v>34380</v>
      </c>
      <c r="K11" s="11">
        <v>23757</v>
      </c>
      <c r="L11" s="10">
        <f ca="1">DATEDIF(J11, TODAY(),"Y")</f>
        <v>28</v>
      </c>
      <c r="M11" s="10">
        <f ca="1">DATEDIF(K11, TODAY(),"Y")</f>
        <v>57</v>
      </c>
      <c r="N11" s="10" t="str">
        <f>LOOKUP(F11,Справочники!$F$2:$F$10,Справочники!$H$2:$H$10)</f>
        <v>+7(8332)64-32-01</v>
      </c>
    </row>
    <row r="12" spans="1:14" ht="15" hidden="1" outlineLevel="2" x14ac:dyDescent="0.25">
      <c r="A12" s="10">
        <v>141</v>
      </c>
      <c r="B12" s="12" t="s">
        <v>163</v>
      </c>
      <c r="C12" s="12" t="s">
        <v>164</v>
      </c>
      <c r="D12" s="12" t="s">
        <v>93</v>
      </c>
      <c r="E12" s="10" t="s">
        <v>17</v>
      </c>
      <c r="F12" s="61" t="str">
        <f>LOOKUP(G12,Справочники!$B$2:$B$35,Справочники!$A$2:$A$35)</f>
        <v>Отдел худ. оформления</v>
      </c>
      <c r="G12" s="6" t="s">
        <v>44</v>
      </c>
      <c r="H12" s="16">
        <f>LOOKUP(G12,Справочники!$B$2:$B$35,Справочники!$C$2:$C$35)</f>
        <v>18000</v>
      </c>
      <c r="I12" s="6" t="s">
        <v>14</v>
      </c>
      <c r="J12" s="11">
        <v>35290</v>
      </c>
      <c r="K12" s="11">
        <v>27405</v>
      </c>
      <c r="L12" s="10">
        <f ca="1">DATEDIF(J12, TODAY(),"Y")</f>
        <v>26</v>
      </c>
      <c r="M12" s="10">
        <f ca="1">DATEDIF(K12, TODAY(),"Y")</f>
        <v>47</v>
      </c>
      <c r="N12" s="10" t="str">
        <f>LOOKUP(F12,Справочники!$F$2:$F$10,Справочники!$H$2:$H$10)</f>
        <v>+7(8332)64-32-01</v>
      </c>
    </row>
    <row r="13" spans="1:14" ht="15" outlineLevel="1" collapsed="1" x14ac:dyDescent="0.25">
      <c r="A13" s="10"/>
      <c r="B13" s="12"/>
      <c r="C13" s="12"/>
      <c r="D13" s="12"/>
      <c r="E13" s="10"/>
      <c r="F13" s="60" t="s">
        <v>249</v>
      </c>
      <c r="G13" s="6"/>
      <c r="H13" s="16">
        <f>SUBTOTAL(9,H11:H12)</f>
        <v>36000</v>
      </c>
      <c r="I13" s="6"/>
      <c r="J13" s="11"/>
      <c r="K13" s="11"/>
      <c r="L13" s="10"/>
      <c r="M13" s="10"/>
      <c r="N13" s="10"/>
    </row>
    <row r="14" spans="1:14" ht="15" hidden="1" outlineLevel="2" x14ac:dyDescent="0.25">
      <c r="A14" s="10">
        <v>150</v>
      </c>
      <c r="B14" s="12" t="s">
        <v>182</v>
      </c>
      <c r="C14" s="12" t="s">
        <v>75</v>
      </c>
      <c r="D14" s="12" t="s">
        <v>76</v>
      </c>
      <c r="E14" s="10" t="s">
        <v>9</v>
      </c>
      <c r="F14" s="61" t="str">
        <f>LOOKUP(G14,Справочники!$B$2:$B$35,Справочники!$A$2:$A$35)</f>
        <v>Редакторский отдел</v>
      </c>
      <c r="G14" s="6" t="s">
        <v>52</v>
      </c>
      <c r="H14" s="16">
        <f>LOOKUP(G14,Справочники!$B$2:$B$35,Справочники!$C$2:$C$35)</f>
        <v>16000</v>
      </c>
      <c r="I14" s="6" t="s">
        <v>14</v>
      </c>
      <c r="J14" s="11">
        <v>34714</v>
      </c>
      <c r="K14" s="11">
        <v>22250</v>
      </c>
      <c r="L14" s="10">
        <f ca="1">DATEDIF(J14, TODAY(),"Y")</f>
        <v>27</v>
      </c>
      <c r="M14" s="10">
        <f ca="1">DATEDIF(K14, TODAY(),"Y")</f>
        <v>61</v>
      </c>
      <c r="N14" s="10" t="str">
        <f>LOOKUP(F14,Справочники!$F$2:$F$10,Справочники!$H$2:$H$10)</f>
        <v>+7(8332)64-32-01</v>
      </c>
    </row>
    <row r="15" spans="1:14" ht="15" hidden="1" outlineLevel="2" x14ac:dyDescent="0.25">
      <c r="A15" s="10">
        <v>151</v>
      </c>
      <c r="B15" s="12" t="s">
        <v>183</v>
      </c>
      <c r="C15" s="12" t="s">
        <v>161</v>
      </c>
      <c r="D15" s="12" t="s">
        <v>184</v>
      </c>
      <c r="E15" s="10" t="s">
        <v>9</v>
      </c>
      <c r="F15" s="61" t="str">
        <f>LOOKUP(G15,Справочники!$B$2:$B$35,Справочники!$A$2:$A$35)</f>
        <v>Редакторский отдел</v>
      </c>
      <c r="G15" s="7" t="s">
        <v>53</v>
      </c>
      <c r="H15" s="16">
        <f>LOOKUP(G15,Справочники!$B$2:$B$35,Справочники!$C$2:$C$35)</f>
        <v>19000</v>
      </c>
      <c r="I15" s="6" t="s">
        <v>25</v>
      </c>
      <c r="J15" s="11">
        <v>35445</v>
      </c>
      <c r="K15" s="11">
        <v>26821</v>
      </c>
      <c r="L15" s="10">
        <f ca="1">DATEDIF(J15, TODAY(),"Y")</f>
        <v>25</v>
      </c>
      <c r="M15" s="10">
        <f ca="1">DATEDIF(K15, TODAY(),"Y")</f>
        <v>49</v>
      </c>
      <c r="N15" s="10" t="str">
        <f>LOOKUP(F15,Справочники!$F$2:$F$10,Справочники!$H$2:$H$10)</f>
        <v>+7(8332)64-32-01</v>
      </c>
    </row>
    <row r="16" spans="1:14" ht="15" hidden="1" outlineLevel="2" x14ac:dyDescent="0.25">
      <c r="A16" s="10">
        <v>152</v>
      </c>
      <c r="B16" s="12" t="s">
        <v>185</v>
      </c>
      <c r="C16" s="12" t="s">
        <v>186</v>
      </c>
      <c r="D16" s="12" t="s">
        <v>76</v>
      </c>
      <c r="E16" s="10" t="s">
        <v>9</v>
      </c>
      <c r="F16" s="61" t="str">
        <f>LOOKUP(G16,Справочники!$B$2:$B$35,Справочники!$A$2:$A$35)</f>
        <v>Редакторский отдел</v>
      </c>
      <c r="G16" s="7" t="s">
        <v>54</v>
      </c>
      <c r="H16" s="16">
        <f>LOOKUP(G16,Справочники!$B$2:$B$35,Справочники!$C$2:$C$35)</f>
        <v>14000</v>
      </c>
      <c r="I16" s="6" t="s">
        <v>25</v>
      </c>
      <c r="J16" s="11">
        <v>40998</v>
      </c>
      <c r="K16" s="11">
        <v>30213</v>
      </c>
      <c r="L16" s="10">
        <f ca="1">DATEDIF(J16, TODAY(),"Y")</f>
        <v>10</v>
      </c>
      <c r="M16" s="10">
        <f ca="1">DATEDIF(K16, TODAY(),"Y")</f>
        <v>40</v>
      </c>
      <c r="N16" s="10" t="str">
        <f>LOOKUP(F16,Справочники!$F$2:$F$10,Справочники!$H$2:$H$10)</f>
        <v>+7(8332)64-32-01</v>
      </c>
    </row>
    <row r="17" spans="1:14" ht="15" hidden="1" outlineLevel="2" x14ac:dyDescent="0.25">
      <c r="A17" s="10">
        <v>153</v>
      </c>
      <c r="B17" s="12" t="s">
        <v>187</v>
      </c>
      <c r="C17" s="12" t="s">
        <v>158</v>
      </c>
      <c r="D17" s="12" t="s">
        <v>111</v>
      </c>
      <c r="E17" s="10" t="s">
        <v>9</v>
      </c>
      <c r="F17" s="61" t="str">
        <f>LOOKUP(G17,Справочники!$B$2:$B$35,Справочники!$A$2:$A$35)</f>
        <v>Редакторский отдел</v>
      </c>
      <c r="G17" s="6" t="s">
        <v>52</v>
      </c>
      <c r="H17" s="16">
        <f>LOOKUP(G17,Справочники!$B$2:$B$35,Справочники!$C$2:$C$35)</f>
        <v>16000</v>
      </c>
      <c r="I17" s="6" t="s">
        <v>14</v>
      </c>
      <c r="J17" s="11">
        <v>36220</v>
      </c>
      <c r="K17" s="11">
        <v>26580</v>
      </c>
      <c r="L17" s="10">
        <f ca="1">DATEDIF(J17, TODAY(),"Y")</f>
        <v>23</v>
      </c>
      <c r="M17" s="10">
        <f ca="1">DATEDIF(K17, TODAY(),"Y")</f>
        <v>50</v>
      </c>
      <c r="N17" s="10" t="str">
        <f>LOOKUP(F17,Справочники!$F$2:$F$10,Справочники!$H$2:$H$10)</f>
        <v>+7(8332)64-32-01</v>
      </c>
    </row>
    <row r="18" spans="1:14" ht="15" hidden="1" outlineLevel="2" x14ac:dyDescent="0.25">
      <c r="A18" s="10">
        <v>154</v>
      </c>
      <c r="B18" s="12" t="s">
        <v>188</v>
      </c>
      <c r="C18" s="12" t="s">
        <v>189</v>
      </c>
      <c r="D18" s="12" t="s">
        <v>162</v>
      </c>
      <c r="E18" s="10" t="s">
        <v>9</v>
      </c>
      <c r="F18" s="61" t="str">
        <f>LOOKUP(G18,Справочники!$B$2:$B$35,Справочники!$A$2:$A$35)</f>
        <v>Редакторский отдел</v>
      </c>
      <c r="G18" s="7" t="s">
        <v>54</v>
      </c>
      <c r="H18" s="16">
        <f>LOOKUP(G18,Справочники!$B$2:$B$35,Справочники!$C$2:$C$35)</f>
        <v>14000</v>
      </c>
      <c r="I18" s="6" t="s">
        <v>14</v>
      </c>
      <c r="J18" s="11">
        <v>35258</v>
      </c>
      <c r="K18" s="11">
        <v>21600</v>
      </c>
      <c r="L18" s="10">
        <f ca="1">DATEDIF(J18, TODAY(),"Y")</f>
        <v>26</v>
      </c>
      <c r="M18" s="10">
        <f ca="1">DATEDIF(K18, TODAY(),"Y")</f>
        <v>63</v>
      </c>
      <c r="N18" s="10" t="str">
        <f>LOOKUP(F18,Справочники!$F$2:$F$10,Справочники!$H$2:$H$10)</f>
        <v>+7(8332)64-32-01</v>
      </c>
    </row>
    <row r="19" spans="1:14" ht="15" hidden="1" outlineLevel="2" x14ac:dyDescent="0.25">
      <c r="A19" s="10">
        <v>155</v>
      </c>
      <c r="B19" s="12" t="s">
        <v>190</v>
      </c>
      <c r="C19" s="12" t="s">
        <v>191</v>
      </c>
      <c r="D19" s="12" t="s">
        <v>192</v>
      </c>
      <c r="E19" s="10" t="s">
        <v>9</v>
      </c>
      <c r="F19" s="61" t="str">
        <f>LOOKUP(G19,Справочники!$B$2:$B$35,Справочники!$A$2:$A$35)</f>
        <v>Редакторский отдел</v>
      </c>
      <c r="G19" s="7" t="s">
        <v>55</v>
      </c>
      <c r="H19" s="16">
        <f>LOOKUP(G19,Справочники!$B$2:$B$35,Справочники!$C$2:$C$35)</f>
        <v>14000</v>
      </c>
      <c r="I19" s="6" t="s">
        <v>14</v>
      </c>
      <c r="J19" s="11">
        <v>35442</v>
      </c>
      <c r="K19" s="11">
        <v>24134</v>
      </c>
      <c r="L19" s="10">
        <f ca="1">DATEDIF(J19, TODAY(),"Y")</f>
        <v>25</v>
      </c>
      <c r="M19" s="10">
        <f ca="1">DATEDIF(K19, TODAY(),"Y")</f>
        <v>56</v>
      </c>
      <c r="N19" s="10" t="str">
        <f>LOOKUP(F19,Справочники!$F$2:$F$10,Справочники!$H$2:$H$10)</f>
        <v>+7(8332)64-32-01</v>
      </c>
    </row>
    <row r="20" spans="1:14" ht="15" hidden="1" outlineLevel="2" x14ac:dyDescent="0.25">
      <c r="A20" s="10">
        <v>156</v>
      </c>
      <c r="B20" s="12" t="s">
        <v>193</v>
      </c>
      <c r="C20" s="12" t="s">
        <v>108</v>
      </c>
      <c r="D20" s="12" t="s">
        <v>194</v>
      </c>
      <c r="E20" s="10" t="s">
        <v>9</v>
      </c>
      <c r="F20" s="61" t="str">
        <f>LOOKUP(G20,Справочники!$B$2:$B$35,Справочники!$A$2:$A$35)</f>
        <v>Редакторский отдел</v>
      </c>
      <c r="G20" s="7" t="s">
        <v>55</v>
      </c>
      <c r="H20" s="16">
        <f>LOOKUP(G20,Справочники!$B$2:$B$35,Справочники!$C$2:$C$35)</f>
        <v>14000</v>
      </c>
      <c r="I20" s="6" t="s">
        <v>25</v>
      </c>
      <c r="J20" s="11">
        <v>35460</v>
      </c>
      <c r="K20" s="11">
        <v>21194</v>
      </c>
      <c r="L20" s="10">
        <f ca="1">DATEDIF(J20, TODAY(),"Y")</f>
        <v>25</v>
      </c>
      <c r="M20" s="10">
        <f ca="1">DATEDIF(K20, TODAY(),"Y")</f>
        <v>64</v>
      </c>
      <c r="N20" s="10" t="str">
        <f>LOOKUP(F20,Справочники!$F$2:$F$10,Справочники!$H$2:$H$10)</f>
        <v>+7(8332)64-32-01</v>
      </c>
    </row>
    <row r="21" spans="1:14" ht="15" hidden="1" outlineLevel="2" x14ac:dyDescent="0.25">
      <c r="A21" s="10">
        <v>158</v>
      </c>
      <c r="B21" s="12" t="s">
        <v>198</v>
      </c>
      <c r="C21" s="12" t="s">
        <v>199</v>
      </c>
      <c r="D21" s="12" t="s">
        <v>159</v>
      </c>
      <c r="E21" s="10" t="s">
        <v>9</v>
      </c>
      <c r="F21" s="61" t="str">
        <f>LOOKUP(G21,Справочники!$B$2:$B$35,Справочники!$A$2:$A$35)</f>
        <v>Редакторский отдел</v>
      </c>
      <c r="G21" s="7" t="s">
        <v>54</v>
      </c>
      <c r="H21" s="16">
        <f>LOOKUP(G21,Справочники!$B$2:$B$35,Справочники!$C$2:$C$35)</f>
        <v>14000</v>
      </c>
      <c r="I21" s="6" t="s">
        <v>14</v>
      </c>
      <c r="J21" s="11">
        <v>35122</v>
      </c>
      <c r="K21" s="11">
        <v>23253</v>
      </c>
      <c r="L21" s="10">
        <f ca="1">DATEDIF(J21, TODAY(),"Y")</f>
        <v>26</v>
      </c>
      <c r="M21" s="10">
        <f ca="1">DATEDIF(K21, TODAY(),"Y")</f>
        <v>59</v>
      </c>
      <c r="N21" s="10" t="str">
        <f>LOOKUP(F21,Справочники!$F$2:$F$10,Справочники!$H$2:$H$10)</f>
        <v>+7(8332)64-32-01</v>
      </c>
    </row>
    <row r="22" spans="1:14" ht="15" hidden="1" outlineLevel="2" x14ac:dyDescent="0.25">
      <c r="A22" s="10">
        <v>159</v>
      </c>
      <c r="B22" s="12" t="s">
        <v>200</v>
      </c>
      <c r="C22" s="12" t="s">
        <v>158</v>
      </c>
      <c r="D22" s="12" t="s">
        <v>201</v>
      </c>
      <c r="E22" s="10" t="s">
        <v>9</v>
      </c>
      <c r="F22" s="61" t="str">
        <f>LOOKUP(G22,Справочники!$B$2:$B$35,Справочники!$A$2:$A$35)</f>
        <v>Редакторский отдел</v>
      </c>
      <c r="G22" s="7" t="s">
        <v>55</v>
      </c>
      <c r="H22" s="16">
        <f>LOOKUP(G22,Справочники!$B$2:$B$35,Справочники!$C$2:$C$35)</f>
        <v>14000</v>
      </c>
      <c r="I22" s="6" t="s">
        <v>14</v>
      </c>
      <c r="J22" s="11">
        <v>35032</v>
      </c>
      <c r="K22" s="11">
        <v>22065</v>
      </c>
      <c r="L22" s="10">
        <f ca="1">DATEDIF(J22, TODAY(),"Y")</f>
        <v>26</v>
      </c>
      <c r="M22" s="10">
        <f ca="1">DATEDIF(K22, TODAY(),"Y")</f>
        <v>62</v>
      </c>
      <c r="N22" s="10" t="str">
        <f>LOOKUP(F22,Справочники!$F$2:$F$10,Справочники!$H$2:$H$10)</f>
        <v>+7(8332)64-32-01</v>
      </c>
    </row>
    <row r="23" spans="1:14" ht="15" hidden="1" outlineLevel="2" x14ac:dyDescent="0.25">
      <c r="A23" s="10">
        <v>160</v>
      </c>
      <c r="B23" s="12" t="s">
        <v>202</v>
      </c>
      <c r="C23" s="12" t="s">
        <v>203</v>
      </c>
      <c r="D23" s="12" t="s">
        <v>127</v>
      </c>
      <c r="E23" s="10" t="s">
        <v>9</v>
      </c>
      <c r="F23" s="61" t="str">
        <f>LOOKUP(G23,Справочники!$B$2:$B$35,Справочники!$A$2:$A$35)</f>
        <v>Редакторский отдел</v>
      </c>
      <c r="G23" s="7" t="s">
        <v>55</v>
      </c>
      <c r="H23" s="16">
        <f>LOOKUP(G23,Справочники!$B$2:$B$35,Справочники!$C$2:$C$35)</f>
        <v>14000</v>
      </c>
      <c r="I23" s="6" t="s">
        <v>14</v>
      </c>
      <c r="J23" s="11">
        <v>42991</v>
      </c>
      <c r="K23" s="11">
        <v>32936</v>
      </c>
      <c r="L23" s="10">
        <f ca="1">DATEDIF(J23, TODAY(),"Y")</f>
        <v>5</v>
      </c>
      <c r="M23" s="10">
        <f ca="1">DATEDIF(K23, TODAY(),"Y")</f>
        <v>32</v>
      </c>
      <c r="N23" s="10" t="str">
        <f>LOOKUP(F23,Справочники!$F$2:$F$10,Справочники!$H$2:$H$10)</f>
        <v>+7(8332)64-32-01</v>
      </c>
    </row>
    <row r="24" spans="1:14" ht="15" hidden="1" outlineLevel="2" x14ac:dyDescent="0.25">
      <c r="A24" s="10">
        <v>163</v>
      </c>
      <c r="B24" s="12" t="s">
        <v>208</v>
      </c>
      <c r="C24" s="12" t="s">
        <v>209</v>
      </c>
      <c r="D24" s="12" t="s">
        <v>93</v>
      </c>
      <c r="E24" s="10" t="s">
        <v>17</v>
      </c>
      <c r="F24" s="61" t="str">
        <f>LOOKUP(G24,Справочники!$B$2:$B$35,Справочники!$A$2:$A$35)</f>
        <v>Редакторский отдел</v>
      </c>
      <c r="G24" s="7" t="s">
        <v>56</v>
      </c>
      <c r="H24" s="16">
        <f>LOOKUP(G24,Справочники!$B$2:$B$35,Справочники!$C$2:$C$35)</f>
        <v>20000</v>
      </c>
      <c r="I24" s="6" t="s">
        <v>14</v>
      </c>
      <c r="J24" s="11">
        <v>35153</v>
      </c>
      <c r="K24" s="11">
        <v>24814</v>
      </c>
      <c r="L24" s="10">
        <f ca="1">DATEDIF(J24, TODAY(),"Y")</f>
        <v>26</v>
      </c>
      <c r="M24" s="10">
        <f ca="1">DATEDIF(K24, TODAY(),"Y")</f>
        <v>54</v>
      </c>
      <c r="N24" s="10" t="str">
        <f>LOOKUP(F24,Справочники!$F$2:$F$10,Справочники!$H$2:$H$10)</f>
        <v>+7(8332)64-32-01</v>
      </c>
    </row>
    <row r="25" spans="1:14" ht="15" outlineLevel="1" collapsed="1" x14ac:dyDescent="0.25">
      <c r="A25" s="10"/>
      <c r="B25" s="12"/>
      <c r="C25" s="12"/>
      <c r="D25" s="12"/>
      <c r="E25" s="10"/>
      <c r="F25" s="60" t="s">
        <v>250</v>
      </c>
      <c r="G25" s="7"/>
      <c r="H25" s="16">
        <f>SUBTOTAL(9,H14:H24)</f>
        <v>169000</v>
      </c>
      <c r="I25" s="6"/>
      <c r="J25" s="11"/>
      <c r="K25" s="11"/>
      <c r="L25" s="10"/>
      <c r="M25" s="10"/>
      <c r="N25" s="10"/>
    </row>
    <row r="26" spans="1:14" ht="15" hidden="1" outlineLevel="2" x14ac:dyDescent="0.25">
      <c r="A26" s="10">
        <v>112</v>
      </c>
      <c r="B26" s="12" t="s">
        <v>99</v>
      </c>
      <c r="C26" s="12" t="s">
        <v>100</v>
      </c>
      <c r="D26" s="12" t="s">
        <v>101</v>
      </c>
      <c r="E26" s="10" t="s">
        <v>17</v>
      </c>
      <c r="F26" s="61" t="str">
        <f>LOOKUP(G26,Справочники!$B$2:$B$35,Справочники!$A$2:$A$35)</f>
        <v>Рекламный отдел</v>
      </c>
      <c r="G26" s="6" t="s">
        <v>27</v>
      </c>
      <c r="H26" s="16">
        <f>LOOKUP(G26,Справочники!$B$2:$B$35,Справочники!$C$2:$C$35)</f>
        <v>22000</v>
      </c>
      <c r="I26" s="6" t="s">
        <v>14</v>
      </c>
      <c r="J26" s="11">
        <v>40966</v>
      </c>
      <c r="K26" s="11">
        <v>31390</v>
      </c>
      <c r="L26" s="10">
        <f ca="1">DATEDIF(J26, TODAY(),"Y")</f>
        <v>10</v>
      </c>
      <c r="M26" s="10">
        <f ca="1">DATEDIF(K26, TODAY(),"Y")</f>
        <v>36</v>
      </c>
      <c r="N26" s="10" t="str">
        <f>LOOKUP(F26,Справочники!$F$2:$F$10,Справочники!$H$2:$H$10)</f>
        <v>+7(8332)64-32-01</v>
      </c>
    </row>
    <row r="27" spans="1:14" ht="15" hidden="1" outlineLevel="2" x14ac:dyDescent="0.25">
      <c r="A27" s="10">
        <v>113</v>
      </c>
      <c r="B27" s="12" t="s">
        <v>102</v>
      </c>
      <c r="C27" s="12" t="s">
        <v>98</v>
      </c>
      <c r="D27" s="12" t="s">
        <v>103</v>
      </c>
      <c r="E27" s="10" t="s">
        <v>9</v>
      </c>
      <c r="F27" s="61" t="str">
        <f>LOOKUP(G27,Справочники!$B$2:$B$35,Справочники!$A$2:$A$35)</f>
        <v>Рекламный отдел</v>
      </c>
      <c r="G27" s="6" t="s">
        <v>28</v>
      </c>
      <c r="H27" s="16">
        <f>LOOKUP(G27,Справочники!$B$2:$B$35,Справочники!$C$2:$C$35)</f>
        <v>18000</v>
      </c>
      <c r="I27" s="6" t="s">
        <v>14</v>
      </c>
      <c r="J27" s="11">
        <v>34788</v>
      </c>
      <c r="K27" s="11">
        <v>25186</v>
      </c>
      <c r="L27" s="10">
        <f ca="1">DATEDIF(J27, TODAY(),"Y")</f>
        <v>27</v>
      </c>
      <c r="M27" s="10">
        <f ca="1">DATEDIF(K27, TODAY(),"Y")</f>
        <v>53</v>
      </c>
      <c r="N27" s="10" t="str">
        <f>LOOKUP(F27,Справочники!$F$2:$F$10,Справочники!$H$2:$H$10)</f>
        <v>+7(8332)64-32-01</v>
      </c>
    </row>
    <row r="28" spans="1:14" ht="15" hidden="1" outlineLevel="2" x14ac:dyDescent="0.25">
      <c r="A28" s="10">
        <v>126</v>
      </c>
      <c r="B28" s="12" t="s">
        <v>128</v>
      </c>
      <c r="C28" s="12" t="s">
        <v>129</v>
      </c>
      <c r="D28" s="12" t="s">
        <v>101</v>
      </c>
      <c r="E28" s="10" t="s">
        <v>17</v>
      </c>
      <c r="F28" s="61" t="str">
        <f>LOOKUP(G28,Справочники!$B$2:$B$35,Справочники!$A$2:$A$35)</f>
        <v>Рекламный отдел</v>
      </c>
      <c r="G28" s="6" t="s">
        <v>27</v>
      </c>
      <c r="H28" s="16">
        <f>LOOKUP(G28,Справочники!$B$2:$B$35,Справочники!$C$2:$C$35)</f>
        <v>22000</v>
      </c>
      <c r="I28" s="6" t="s">
        <v>14</v>
      </c>
      <c r="J28" s="11">
        <v>40321</v>
      </c>
      <c r="K28" s="11">
        <v>30232</v>
      </c>
      <c r="L28" s="10">
        <f ca="1">DATEDIF(J28, TODAY(),"Y")</f>
        <v>12</v>
      </c>
      <c r="M28" s="10">
        <f ca="1">DATEDIF(K28, TODAY(),"Y")</f>
        <v>40</v>
      </c>
      <c r="N28" s="10" t="str">
        <f>LOOKUP(F28,Справочники!$F$2:$F$10,Справочники!$H$2:$H$10)</f>
        <v>+7(8332)64-32-01</v>
      </c>
    </row>
    <row r="29" spans="1:14" ht="15" hidden="1" outlineLevel="2" x14ac:dyDescent="0.25">
      <c r="A29" s="10">
        <v>128</v>
      </c>
      <c r="B29" s="12" t="s">
        <v>133</v>
      </c>
      <c r="C29" s="12" t="s">
        <v>90</v>
      </c>
      <c r="D29" s="12" t="s">
        <v>132</v>
      </c>
      <c r="E29" s="10" t="s">
        <v>17</v>
      </c>
      <c r="F29" s="61" t="str">
        <f>LOOKUP(G29,Справочники!$B$2:$B$35,Справочники!$A$2:$A$35)</f>
        <v>Рекламный отдел</v>
      </c>
      <c r="G29" s="6" t="s">
        <v>39</v>
      </c>
      <c r="H29" s="16">
        <f>LOOKUP(G29,Справочники!$B$2:$B$35,Справочники!$C$2:$C$35)</f>
        <v>18000</v>
      </c>
      <c r="I29" s="6" t="s">
        <v>12</v>
      </c>
      <c r="J29" s="11">
        <v>42260</v>
      </c>
      <c r="K29" s="11">
        <v>32292</v>
      </c>
      <c r="L29" s="10">
        <f ca="1">DATEDIF(J29, TODAY(),"Y")</f>
        <v>7</v>
      </c>
      <c r="M29" s="10">
        <f ca="1">DATEDIF(K29, TODAY(),"Y")</f>
        <v>34</v>
      </c>
      <c r="N29" s="10" t="str">
        <f>LOOKUP(F29,Справочники!$F$2:$F$10,Справочники!$H$2:$H$10)</f>
        <v>+7(8332)64-32-01</v>
      </c>
    </row>
    <row r="30" spans="1:14" ht="15" hidden="1" outlineLevel="2" x14ac:dyDescent="0.25">
      <c r="A30" s="10">
        <v>129</v>
      </c>
      <c r="B30" s="12" t="s">
        <v>134</v>
      </c>
      <c r="C30" s="12" t="s">
        <v>135</v>
      </c>
      <c r="D30" s="12" t="s">
        <v>136</v>
      </c>
      <c r="E30" s="10" t="s">
        <v>17</v>
      </c>
      <c r="F30" s="61" t="str">
        <f>LOOKUP(G30,Справочники!$B$2:$B$35,Справочники!$A$2:$A$35)</f>
        <v>Рекламный отдел</v>
      </c>
      <c r="G30" s="6" t="s">
        <v>40</v>
      </c>
      <c r="H30" s="16">
        <f>LOOKUP(G30,Справочники!$B$2:$B$35,Справочники!$C$2:$C$35)</f>
        <v>15000</v>
      </c>
      <c r="I30" s="6" t="s">
        <v>14</v>
      </c>
      <c r="J30" s="11">
        <v>41972</v>
      </c>
      <c r="K30" s="11">
        <v>33851</v>
      </c>
      <c r="L30" s="10">
        <f ca="1">DATEDIF(J30, TODAY(),"Y")</f>
        <v>7</v>
      </c>
      <c r="M30" s="10">
        <f ca="1">DATEDIF(K30, TODAY(),"Y")</f>
        <v>30</v>
      </c>
      <c r="N30" s="10" t="str">
        <f>LOOKUP(F30,Справочники!$F$2:$F$10,Справочники!$H$2:$H$10)</f>
        <v>+7(8332)64-32-01</v>
      </c>
    </row>
    <row r="31" spans="1:14" ht="15" hidden="1" outlineLevel="2" x14ac:dyDescent="0.25">
      <c r="A31" s="10">
        <v>131</v>
      </c>
      <c r="B31" s="12" t="s">
        <v>140</v>
      </c>
      <c r="C31" s="12" t="s">
        <v>141</v>
      </c>
      <c r="D31" s="12" t="s">
        <v>142</v>
      </c>
      <c r="E31" s="10" t="s">
        <v>17</v>
      </c>
      <c r="F31" s="61" t="str">
        <f>LOOKUP(G31,Справочники!$B$2:$B$35,Справочники!$A$2:$A$35)</f>
        <v>Рекламный отдел</v>
      </c>
      <c r="G31" s="6" t="s">
        <v>27</v>
      </c>
      <c r="H31" s="16">
        <f>LOOKUP(G31,Справочники!$B$2:$B$35,Справочники!$C$2:$C$35)</f>
        <v>22000</v>
      </c>
      <c r="I31" s="6" t="s">
        <v>14</v>
      </c>
      <c r="J31" s="11">
        <v>39459</v>
      </c>
      <c r="K31" s="11">
        <v>27953</v>
      </c>
      <c r="L31" s="10">
        <f ca="1">DATEDIF(J31, TODAY(),"Y")</f>
        <v>14</v>
      </c>
      <c r="M31" s="10">
        <f ca="1">DATEDIF(K31, TODAY(),"Y")</f>
        <v>46</v>
      </c>
      <c r="N31" s="10" t="str">
        <f>LOOKUP(F31,Справочники!$F$2:$F$10,Справочники!$H$2:$H$10)</f>
        <v>+7(8332)64-32-01</v>
      </c>
    </row>
    <row r="32" spans="1:14" ht="15" hidden="1" outlineLevel="2" x14ac:dyDescent="0.25">
      <c r="A32" s="10">
        <v>133</v>
      </c>
      <c r="B32" s="12" t="s">
        <v>144</v>
      </c>
      <c r="C32" s="12" t="s">
        <v>84</v>
      </c>
      <c r="D32" s="12" t="s">
        <v>145</v>
      </c>
      <c r="E32" s="10" t="s">
        <v>17</v>
      </c>
      <c r="F32" s="61" t="str">
        <f>LOOKUP(G32,Справочники!$B$2:$B$35,Справочники!$A$2:$A$35)</f>
        <v>Рекламный отдел</v>
      </c>
      <c r="G32" s="6" t="s">
        <v>40</v>
      </c>
      <c r="H32" s="16">
        <f>LOOKUP(G32,Справочники!$B$2:$B$35,Справочники!$C$2:$C$35)</f>
        <v>15000</v>
      </c>
      <c r="I32" s="6" t="s">
        <v>14</v>
      </c>
      <c r="J32" s="11">
        <v>41782</v>
      </c>
      <c r="K32" s="11">
        <v>33871</v>
      </c>
      <c r="L32" s="10">
        <f ca="1">DATEDIF(J32, TODAY(),"Y")</f>
        <v>8</v>
      </c>
      <c r="M32" s="10">
        <f ca="1">DATEDIF(K32, TODAY(),"Y")</f>
        <v>30</v>
      </c>
      <c r="N32" s="10" t="str">
        <f>LOOKUP(F32,Справочники!$F$2:$F$10,Справочники!$H$2:$H$10)</f>
        <v>+7(8332)64-32-01</v>
      </c>
    </row>
    <row r="33" spans="1:14" ht="15" hidden="1" outlineLevel="2" x14ac:dyDescent="0.25">
      <c r="A33" s="10">
        <v>136</v>
      </c>
      <c r="B33" s="12" t="s">
        <v>150</v>
      </c>
      <c r="C33" s="12" t="s">
        <v>151</v>
      </c>
      <c r="D33" s="12" t="s">
        <v>152</v>
      </c>
      <c r="E33" s="10" t="s">
        <v>9</v>
      </c>
      <c r="F33" s="61" t="str">
        <f>LOOKUP(G33,Справочники!$B$2:$B$35,Справочники!$A$2:$A$35)</f>
        <v>Рекламный отдел</v>
      </c>
      <c r="G33" s="6" t="s">
        <v>27</v>
      </c>
      <c r="H33" s="16">
        <f>LOOKUP(G33,Справочники!$B$2:$B$35,Справочники!$C$2:$C$35)</f>
        <v>22000</v>
      </c>
      <c r="I33" s="6" t="s">
        <v>25</v>
      </c>
      <c r="J33" s="11">
        <v>39479</v>
      </c>
      <c r="K33" s="11">
        <v>27737</v>
      </c>
      <c r="L33" s="10">
        <f ca="1">DATEDIF(J33, TODAY(),"Y")</f>
        <v>14</v>
      </c>
      <c r="M33" s="10">
        <f ca="1">DATEDIF(K33, TODAY(),"Y")</f>
        <v>46</v>
      </c>
      <c r="N33" s="10" t="str">
        <f>LOOKUP(F33,Справочники!$F$2:$F$10,Справочники!$H$2:$H$10)</f>
        <v>+7(8332)64-32-01</v>
      </c>
    </row>
    <row r="34" spans="1:14" ht="15" hidden="1" outlineLevel="2" x14ac:dyDescent="0.25">
      <c r="A34" s="10">
        <v>140</v>
      </c>
      <c r="B34" s="12" t="s">
        <v>160</v>
      </c>
      <c r="C34" s="12" t="s">
        <v>161</v>
      </c>
      <c r="D34" s="12" t="s">
        <v>162</v>
      </c>
      <c r="E34" s="10" t="s">
        <v>9</v>
      </c>
      <c r="F34" s="61" t="str">
        <f>LOOKUP(G34,Справочники!$B$2:$B$35,Справочники!$A$2:$A$35)</f>
        <v>Рекламный отдел</v>
      </c>
      <c r="G34" s="6" t="s">
        <v>40</v>
      </c>
      <c r="H34" s="16">
        <f>LOOKUP(G34,Справочники!$B$2:$B$35,Справочники!$C$2:$C$35)</f>
        <v>15000</v>
      </c>
      <c r="I34" s="6" t="s">
        <v>25</v>
      </c>
      <c r="J34" s="11">
        <v>39641</v>
      </c>
      <c r="K34" s="11">
        <v>29284</v>
      </c>
      <c r="L34" s="10">
        <f ca="1">DATEDIF(J34, TODAY(),"Y")</f>
        <v>14</v>
      </c>
      <c r="M34" s="10">
        <f ca="1">DATEDIF(K34, TODAY(),"Y")</f>
        <v>42</v>
      </c>
      <c r="N34" s="10" t="str">
        <f>LOOKUP(F34,Справочники!$F$2:$F$10,Справочники!$H$2:$H$10)</f>
        <v>+7(8332)64-32-01</v>
      </c>
    </row>
    <row r="35" spans="1:14" ht="15" hidden="1" outlineLevel="2" x14ac:dyDescent="0.25">
      <c r="A35" s="10">
        <v>148</v>
      </c>
      <c r="B35" s="12" t="s">
        <v>178</v>
      </c>
      <c r="C35" s="12" t="s">
        <v>179</v>
      </c>
      <c r="D35" s="12" t="s">
        <v>101</v>
      </c>
      <c r="E35" s="10" t="s">
        <v>17</v>
      </c>
      <c r="F35" s="61" t="str">
        <f>LOOKUP(G35,Справочники!$B$2:$B$35,Справочники!$A$2:$A$35)</f>
        <v>Рекламный отдел</v>
      </c>
      <c r="G35" s="6" t="s">
        <v>27</v>
      </c>
      <c r="H35" s="16">
        <f>LOOKUP(G35,Справочники!$B$2:$B$35,Справочники!$C$2:$C$35)</f>
        <v>22000</v>
      </c>
      <c r="I35" s="6" t="s">
        <v>14</v>
      </c>
      <c r="J35" s="11">
        <v>43539</v>
      </c>
      <c r="K35" s="11">
        <v>27737</v>
      </c>
      <c r="L35" s="10">
        <f ca="1">DATEDIF(J35, TODAY(),"Y")</f>
        <v>3</v>
      </c>
      <c r="M35" s="10">
        <f ca="1">DATEDIF(K35, TODAY(),"Y")</f>
        <v>46</v>
      </c>
      <c r="N35" s="10" t="str">
        <f>LOOKUP(F35,Справочники!$F$2:$F$10,Справочники!$H$2:$H$10)</f>
        <v>+7(8332)64-32-01</v>
      </c>
    </row>
    <row r="36" spans="1:14" ht="15" outlineLevel="1" collapsed="1" x14ac:dyDescent="0.25">
      <c r="A36" s="10"/>
      <c r="B36" s="12"/>
      <c r="C36" s="12"/>
      <c r="D36" s="12"/>
      <c r="E36" s="10"/>
      <c r="F36" s="60" t="s">
        <v>251</v>
      </c>
      <c r="G36" s="6"/>
      <c r="H36" s="16">
        <f>SUBTOTAL(9,H26:H35)</f>
        <v>191000</v>
      </c>
      <c r="I36" s="6"/>
      <c r="J36" s="11"/>
      <c r="K36" s="11"/>
      <c r="L36" s="10"/>
      <c r="M36" s="10"/>
      <c r="N36" s="10"/>
    </row>
    <row r="37" spans="1:14" ht="15" hidden="1" outlineLevel="2" x14ac:dyDescent="0.25">
      <c r="A37" s="10">
        <v>142</v>
      </c>
      <c r="B37" s="12" t="s">
        <v>165</v>
      </c>
      <c r="C37" s="12" t="s">
        <v>166</v>
      </c>
      <c r="D37" s="12" t="s">
        <v>127</v>
      </c>
      <c r="E37" s="10" t="s">
        <v>9</v>
      </c>
      <c r="F37" s="61" t="str">
        <f>LOOKUP(G37,Справочники!$B$2:$B$35,Справочники!$A$2:$A$35)</f>
        <v>Склад</v>
      </c>
      <c r="G37" s="6" t="s">
        <v>46</v>
      </c>
      <c r="H37" s="16">
        <f>LOOKUP(G37,Справочники!$B$2:$B$35,Справочники!$C$2:$C$35)</f>
        <v>15000</v>
      </c>
      <c r="I37" s="6" t="s">
        <v>33</v>
      </c>
      <c r="J37" s="11">
        <v>34955</v>
      </c>
      <c r="K37" s="11">
        <v>24134</v>
      </c>
      <c r="L37" s="10">
        <f ca="1">DATEDIF(J37, TODAY(),"Y")</f>
        <v>27</v>
      </c>
      <c r="M37" s="10">
        <f ca="1">DATEDIF(K37, TODAY(),"Y")</f>
        <v>56</v>
      </c>
      <c r="N37" s="10" t="str">
        <f>LOOKUP(F37,Справочники!$F$2:$F$10,Справочники!$H$2:$H$10)</f>
        <v>+7(8332)64-32-23</v>
      </c>
    </row>
    <row r="38" spans="1:14" ht="15" hidden="1" outlineLevel="2" x14ac:dyDescent="0.25">
      <c r="A38" s="10">
        <v>143</v>
      </c>
      <c r="B38" s="12" t="s">
        <v>167</v>
      </c>
      <c r="C38" s="12" t="s">
        <v>168</v>
      </c>
      <c r="D38" s="12" t="s">
        <v>169</v>
      </c>
      <c r="E38" s="10" t="s">
        <v>17</v>
      </c>
      <c r="F38" s="61" t="str">
        <f>LOOKUP(G38,Справочники!$B$2:$B$35,Справочники!$A$2:$A$35)</f>
        <v>Склад</v>
      </c>
      <c r="G38" s="6" t="s">
        <v>47</v>
      </c>
      <c r="H38" s="16">
        <f>LOOKUP(G38,Справочники!$B$2:$B$35,Справочники!$C$2:$C$35)</f>
        <v>11000</v>
      </c>
      <c r="I38" s="6" t="s">
        <v>33</v>
      </c>
      <c r="J38" s="11">
        <v>42016</v>
      </c>
      <c r="K38" s="11">
        <v>30232</v>
      </c>
      <c r="L38" s="10">
        <f ca="1">DATEDIF(J38, TODAY(),"Y")</f>
        <v>7</v>
      </c>
      <c r="M38" s="10">
        <f ca="1">DATEDIF(K38, TODAY(),"Y")</f>
        <v>40</v>
      </c>
      <c r="N38" s="10" t="str">
        <f>LOOKUP(F38,Справочники!$F$2:$F$10,Справочники!$H$2:$H$10)</f>
        <v>+7(8332)64-32-23</v>
      </c>
    </row>
    <row r="39" spans="1:14" ht="15" hidden="1" outlineLevel="2" x14ac:dyDescent="0.25">
      <c r="A39" s="10">
        <v>144</v>
      </c>
      <c r="B39" s="12" t="s">
        <v>170</v>
      </c>
      <c r="C39" s="12" t="s">
        <v>164</v>
      </c>
      <c r="D39" s="12" t="s">
        <v>171</v>
      </c>
      <c r="E39" s="10" t="s">
        <v>17</v>
      </c>
      <c r="F39" s="61" t="str">
        <f>LOOKUP(G39,Справочники!$B$2:$B$35,Справочники!$A$2:$A$35)</f>
        <v>Склад</v>
      </c>
      <c r="G39" s="6" t="s">
        <v>47</v>
      </c>
      <c r="H39" s="16">
        <f>LOOKUP(G39,Справочники!$B$2:$B$35,Справочники!$C$2:$C$35)</f>
        <v>11000</v>
      </c>
      <c r="I39" s="6" t="s">
        <v>33</v>
      </c>
      <c r="J39" s="11">
        <v>43115</v>
      </c>
      <c r="K39" s="11">
        <v>33207</v>
      </c>
      <c r="L39" s="10">
        <f ca="1">DATEDIF(J39, TODAY(),"Y")</f>
        <v>4</v>
      </c>
      <c r="M39" s="10">
        <f ca="1">DATEDIF(K39, TODAY(),"Y")</f>
        <v>31</v>
      </c>
      <c r="N39" s="10" t="str">
        <f>LOOKUP(F39,Справочники!$F$2:$F$10,Справочники!$H$2:$H$10)</f>
        <v>+7(8332)64-32-23</v>
      </c>
    </row>
    <row r="40" spans="1:14" ht="15" hidden="1" outlineLevel="2" x14ac:dyDescent="0.25">
      <c r="A40" s="10">
        <v>145</v>
      </c>
      <c r="B40" s="12" t="s">
        <v>172</v>
      </c>
      <c r="C40" s="12" t="s">
        <v>131</v>
      </c>
      <c r="D40" s="12" t="s">
        <v>145</v>
      </c>
      <c r="E40" s="10" t="s">
        <v>17</v>
      </c>
      <c r="F40" s="61" t="str">
        <f>LOOKUP(G40,Справочники!$B$2:$B$35,Справочники!$A$2:$A$35)</f>
        <v>Склад</v>
      </c>
      <c r="G40" s="6" t="s">
        <v>48</v>
      </c>
      <c r="H40" s="16">
        <f>LOOKUP(G40,Справочники!$B$2:$B$35,Справочники!$C$2:$C$35)</f>
        <v>22000</v>
      </c>
      <c r="I40" s="6" t="s">
        <v>25</v>
      </c>
      <c r="J40" s="11">
        <v>34788</v>
      </c>
      <c r="K40" s="11">
        <v>25204</v>
      </c>
      <c r="L40" s="10">
        <f ca="1">DATEDIF(J40, TODAY(),"Y")</f>
        <v>27</v>
      </c>
      <c r="M40" s="10">
        <f ca="1">DATEDIF(K40, TODAY(),"Y")</f>
        <v>53</v>
      </c>
      <c r="N40" s="10" t="str">
        <f>LOOKUP(F40,Справочники!$F$2:$F$10,Справочники!$H$2:$H$10)</f>
        <v>+7(8332)64-32-23</v>
      </c>
    </row>
    <row r="41" spans="1:14" ht="15" hidden="1" outlineLevel="2" x14ac:dyDescent="0.25">
      <c r="A41" s="10">
        <v>146</v>
      </c>
      <c r="B41" s="12" t="s">
        <v>173</v>
      </c>
      <c r="C41" s="12" t="s">
        <v>129</v>
      </c>
      <c r="D41" s="12" t="s">
        <v>174</v>
      </c>
      <c r="E41" s="10" t="s">
        <v>17</v>
      </c>
      <c r="F41" s="61" t="str">
        <f>LOOKUP(G41,Справочники!$B$2:$B$35,Справочники!$A$2:$A$35)</f>
        <v>Склад</v>
      </c>
      <c r="G41" s="6" t="s">
        <v>46</v>
      </c>
      <c r="H41" s="16">
        <f>LOOKUP(G41,Справочники!$B$2:$B$35,Справочники!$C$2:$C$35)</f>
        <v>15000</v>
      </c>
      <c r="I41" s="6" t="s">
        <v>33</v>
      </c>
      <c r="J41" s="11">
        <v>35032</v>
      </c>
      <c r="K41" s="11">
        <v>26821</v>
      </c>
      <c r="L41" s="10">
        <f ca="1">DATEDIF(J41, TODAY(),"Y")</f>
        <v>26</v>
      </c>
      <c r="M41" s="10">
        <f ca="1">DATEDIF(K41, TODAY(),"Y")</f>
        <v>49</v>
      </c>
      <c r="N41" s="10" t="str">
        <f>LOOKUP(F41,Справочники!$F$2:$F$10,Справочники!$H$2:$H$10)</f>
        <v>+7(8332)64-32-23</v>
      </c>
    </row>
    <row r="42" spans="1:14" ht="15" hidden="1" outlineLevel="2" x14ac:dyDescent="0.25">
      <c r="A42" s="10">
        <v>147</v>
      </c>
      <c r="B42" s="12" t="s">
        <v>175</v>
      </c>
      <c r="C42" s="12" t="s">
        <v>176</v>
      </c>
      <c r="D42" s="12" t="s">
        <v>177</v>
      </c>
      <c r="E42" s="10" t="s">
        <v>17</v>
      </c>
      <c r="F42" s="61" t="str">
        <f>LOOKUP(G42,Справочники!$B$2:$B$35,Справочники!$A$2:$A$35)</f>
        <v>Склад</v>
      </c>
      <c r="G42" s="6" t="s">
        <v>47</v>
      </c>
      <c r="H42" s="16">
        <f>LOOKUP(G42,Справочники!$B$2:$B$35,Справочники!$C$2:$C$35)</f>
        <v>11000</v>
      </c>
      <c r="I42" s="6" t="s">
        <v>33</v>
      </c>
      <c r="J42" s="11">
        <v>42399</v>
      </c>
      <c r="K42" s="11">
        <v>33858</v>
      </c>
      <c r="L42" s="10">
        <f ca="1">DATEDIF(J42, TODAY(),"Y")</f>
        <v>6</v>
      </c>
      <c r="M42" s="10">
        <f ca="1">DATEDIF(K42, TODAY(),"Y")</f>
        <v>30</v>
      </c>
      <c r="N42" s="10" t="str">
        <f>LOOKUP(F42,Справочники!$F$2:$F$10,Справочники!$H$2:$H$10)</f>
        <v>+7(8332)64-32-23</v>
      </c>
    </row>
    <row r="43" spans="1:14" ht="15" outlineLevel="1" collapsed="1" x14ac:dyDescent="0.25">
      <c r="A43" s="10"/>
      <c r="B43" s="12"/>
      <c r="C43" s="12"/>
      <c r="D43" s="12"/>
      <c r="E43" s="10"/>
      <c r="F43" s="60" t="s">
        <v>252</v>
      </c>
      <c r="G43" s="6"/>
      <c r="H43" s="16">
        <f>SUBTOTAL(9,H37:H42)</f>
        <v>85000</v>
      </c>
      <c r="I43" s="6"/>
      <c r="J43" s="11"/>
      <c r="K43" s="11"/>
      <c r="L43" s="10"/>
      <c r="M43" s="10"/>
      <c r="N43" s="10"/>
    </row>
    <row r="44" spans="1:14" ht="15" hidden="1" outlineLevel="2" x14ac:dyDescent="0.25">
      <c r="A44" s="10">
        <v>114</v>
      </c>
      <c r="B44" s="12" t="s">
        <v>104</v>
      </c>
      <c r="C44" s="12" t="s">
        <v>105</v>
      </c>
      <c r="D44" s="12" t="s">
        <v>106</v>
      </c>
      <c r="E44" s="10" t="s">
        <v>9</v>
      </c>
      <c r="F44" s="61" t="str">
        <f>LOOKUP(G44,Справочники!$B$2:$B$35,Справочники!$A$2:$A$35)</f>
        <v>Технологический отдел</v>
      </c>
      <c r="G44" s="6" t="s">
        <v>30</v>
      </c>
      <c r="H44" s="16">
        <f>LOOKUP(G44,Справочники!$B$2:$B$35,Справочники!$C$2:$C$35)</f>
        <v>22000</v>
      </c>
      <c r="I44" s="6" t="s">
        <v>14</v>
      </c>
      <c r="J44" s="11">
        <v>43356</v>
      </c>
      <c r="K44" s="11">
        <v>24300</v>
      </c>
      <c r="L44" s="10">
        <f ca="1">DATEDIF(J44, TODAY(),"Y")</f>
        <v>4</v>
      </c>
      <c r="M44" s="10">
        <f ca="1">DATEDIF(K44, TODAY(),"Y")</f>
        <v>56</v>
      </c>
      <c r="N44" s="10" t="str">
        <f>LOOKUP(F44,Справочники!$F$2:$F$10,Справочники!$H$2:$H$10)</f>
        <v>+7(8332)64-32-18</v>
      </c>
    </row>
    <row r="45" spans="1:14" ht="15" hidden="1" outlineLevel="2" x14ac:dyDescent="0.25">
      <c r="A45" s="10">
        <v>115</v>
      </c>
      <c r="B45" s="12" t="s">
        <v>107</v>
      </c>
      <c r="C45" s="12" t="s">
        <v>108</v>
      </c>
      <c r="D45" s="12" t="s">
        <v>76</v>
      </c>
      <c r="E45" s="10" t="s">
        <v>9</v>
      </c>
      <c r="F45" s="61" t="str">
        <f>LOOKUP(G45,Справочники!$B$2:$B$35,Справочники!$A$2:$A$35)</f>
        <v>Технологический отдел</v>
      </c>
      <c r="G45" s="6" t="s">
        <v>31</v>
      </c>
      <c r="H45" s="16">
        <f>LOOKUP(G45,Справочники!$B$2:$B$35,Справочники!$C$2:$C$35)</f>
        <v>12000</v>
      </c>
      <c r="I45" s="6" t="s">
        <v>12</v>
      </c>
      <c r="J45" s="11">
        <v>35096</v>
      </c>
      <c r="K45" s="11">
        <v>26553</v>
      </c>
      <c r="L45" s="10">
        <f ca="1">DATEDIF(J45, TODAY(),"Y")</f>
        <v>26</v>
      </c>
      <c r="M45" s="10">
        <f ca="1">DATEDIF(K45, TODAY(),"Y")</f>
        <v>50</v>
      </c>
      <c r="N45" s="10" t="str">
        <f>LOOKUP(F45,Справочники!$F$2:$F$10,Справочники!$H$2:$H$10)</f>
        <v>+7(8332)64-32-18</v>
      </c>
    </row>
    <row r="46" spans="1:14" ht="15" hidden="1" outlineLevel="2" x14ac:dyDescent="0.25">
      <c r="A46" s="10">
        <v>116</v>
      </c>
      <c r="B46" s="12" t="s">
        <v>109</v>
      </c>
      <c r="C46" s="12" t="s">
        <v>110</v>
      </c>
      <c r="D46" s="12" t="s">
        <v>111</v>
      </c>
      <c r="E46" s="10" t="s">
        <v>9</v>
      </c>
      <c r="F46" s="61" t="str">
        <f>LOOKUP(G46,Справочники!$B$2:$B$35,Справочники!$A$2:$A$35)</f>
        <v>Технологический отдел</v>
      </c>
      <c r="G46" s="6" t="s">
        <v>32</v>
      </c>
      <c r="H46" s="16">
        <f>LOOKUP(G46,Справочники!$B$2:$B$35,Справочники!$C$2:$C$35)</f>
        <v>15000</v>
      </c>
      <c r="I46" s="6" t="s">
        <v>12</v>
      </c>
      <c r="J46" s="11">
        <v>35292</v>
      </c>
      <c r="K46" s="11">
        <v>25810</v>
      </c>
      <c r="L46" s="10">
        <f ca="1">DATEDIF(J46, TODAY(),"Y")</f>
        <v>26</v>
      </c>
      <c r="M46" s="10">
        <f ca="1">DATEDIF(K46, TODAY(),"Y")</f>
        <v>52</v>
      </c>
      <c r="N46" s="10" t="str">
        <f>LOOKUP(F46,Справочники!$F$2:$F$10,Справочники!$H$2:$H$10)</f>
        <v>+7(8332)64-32-18</v>
      </c>
    </row>
    <row r="47" spans="1:14" ht="15" hidden="1" outlineLevel="2" x14ac:dyDescent="0.25">
      <c r="A47" s="10">
        <v>117</v>
      </c>
      <c r="B47" s="12" t="s">
        <v>112</v>
      </c>
      <c r="C47" s="12" t="s">
        <v>72</v>
      </c>
      <c r="D47" s="12" t="s">
        <v>88</v>
      </c>
      <c r="E47" s="10" t="s">
        <v>9</v>
      </c>
      <c r="F47" s="61" t="str">
        <f>LOOKUP(G47,Справочники!$B$2:$B$35,Справочники!$A$2:$A$35)</f>
        <v>Технологический отдел</v>
      </c>
      <c r="G47" s="6" t="s">
        <v>31</v>
      </c>
      <c r="H47" s="16">
        <f>LOOKUP(G47,Справочники!$B$2:$B$35,Справочники!$C$2:$C$35)</f>
        <v>12000</v>
      </c>
      <c r="I47" s="6" t="s">
        <v>33</v>
      </c>
      <c r="J47" s="11">
        <v>35445</v>
      </c>
      <c r="K47" s="11">
        <v>26821</v>
      </c>
      <c r="L47" s="10">
        <f ca="1">DATEDIF(J47, TODAY(),"Y")</f>
        <v>25</v>
      </c>
      <c r="M47" s="10">
        <f ca="1">DATEDIF(K47, TODAY(),"Y")</f>
        <v>49</v>
      </c>
      <c r="N47" s="10" t="str">
        <f>LOOKUP(F47,Справочники!$F$2:$F$10,Справочники!$H$2:$H$10)</f>
        <v>+7(8332)64-32-18</v>
      </c>
    </row>
    <row r="48" spans="1:14" ht="15" hidden="1" outlineLevel="2" x14ac:dyDescent="0.25">
      <c r="A48" s="10">
        <v>118</v>
      </c>
      <c r="B48" s="12" t="s">
        <v>113</v>
      </c>
      <c r="C48" s="12" t="s">
        <v>114</v>
      </c>
      <c r="D48" s="12" t="s">
        <v>115</v>
      </c>
      <c r="E48" s="10" t="s">
        <v>9</v>
      </c>
      <c r="F48" s="61" t="str">
        <f>LOOKUP(G48,Справочники!$B$2:$B$35,Справочники!$A$2:$A$35)</f>
        <v>Технологический отдел</v>
      </c>
      <c r="G48" s="6" t="s">
        <v>34</v>
      </c>
      <c r="H48" s="16">
        <f>LOOKUP(G48,Справочники!$B$2:$B$35,Справочники!$C$2:$C$35)</f>
        <v>12000</v>
      </c>
      <c r="I48" s="6" t="s">
        <v>12</v>
      </c>
      <c r="J48" s="11">
        <v>36303</v>
      </c>
      <c r="K48" s="11">
        <v>25641</v>
      </c>
      <c r="L48" s="10">
        <f ca="1">DATEDIF(J48, TODAY(),"Y")</f>
        <v>23</v>
      </c>
      <c r="M48" s="10">
        <f ca="1">DATEDIF(K48, TODAY(),"Y")</f>
        <v>52</v>
      </c>
      <c r="N48" s="10" t="str">
        <f>LOOKUP(F48,Справочники!$F$2:$F$10,Справочники!$H$2:$H$10)</f>
        <v>+7(8332)64-32-18</v>
      </c>
    </row>
    <row r="49" spans="1:14" ht="15" hidden="1" outlineLevel="2" x14ac:dyDescent="0.25">
      <c r="A49" s="10">
        <v>119</v>
      </c>
      <c r="B49" s="12" t="s">
        <v>116</v>
      </c>
      <c r="C49" s="12" t="s">
        <v>117</v>
      </c>
      <c r="D49" s="12" t="s">
        <v>70</v>
      </c>
      <c r="E49" s="10" t="s">
        <v>9</v>
      </c>
      <c r="F49" s="61" t="str">
        <f>LOOKUP(G49,Справочники!$B$2:$B$35,Справочники!$A$2:$A$35)</f>
        <v>Технологический отдел</v>
      </c>
      <c r="G49" s="6" t="s">
        <v>35</v>
      </c>
      <c r="H49" s="16">
        <f>LOOKUP(G49,Справочники!$B$2:$B$35,Справочники!$C$2:$C$35)</f>
        <v>17000</v>
      </c>
      <c r="I49" s="6" t="s">
        <v>14</v>
      </c>
      <c r="J49" s="11">
        <v>39550</v>
      </c>
      <c r="K49" s="11">
        <v>28420</v>
      </c>
      <c r="L49" s="10">
        <f ca="1">DATEDIF(J49, TODAY(),"Y")</f>
        <v>14</v>
      </c>
      <c r="M49" s="10">
        <f ca="1">DATEDIF(K49, TODAY(),"Y")</f>
        <v>45</v>
      </c>
      <c r="N49" s="10" t="str">
        <f>LOOKUP(F49,Справочники!$F$2:$F$10,Справочники!$H$2:$H$10)</f>
        <v>+7(8332)64-32-18</v>
      </c>
    </row>
    <row r="50" spans="1:14" ht="15" hidden="1" outlineLevel="2" x14ac:dyDescent="0.25">
      <c r="A50" s="10">
        <v>120</v>
      </c>
      <c r="B50" s="12" t="s">
        <v>118</v>
      </c>
      <c r="C50" s="12" t="s">
        <v>98</v>
      </c>
      <c r="D50" s="12" t="s">
        <v>119</v>
      </c>
      <c r="E50" s="10" t="s">
        <v>9</v>
      </c>
      <c r="F50" s="61" t="str">
        <f>LOOKUP(G50,Справочники!$B$2:$B$35,Справочники!$A$2:$A$35)</f>
        <v>Технологический отдел</v>
      </c>
      <c r="G50" s="6" t="s">
        <v>36</v>
      </c>
      <c r="H50" s="16">
        <f>LOOKUP(G50,Справочники!$B$2:$B$35,Справочники!$C$2:$C$35)</f>
        <v>14000</v>
      </c>
      <c r="I50" s="6" t="s">
        <v>12</v>
      </c>
      <c r="J50" s="11">
        <v>35442</v>
      </c>
      <c r="K50" s="11">
        <v>24134</v>
      </c>
      <c r="L50" s="10">
        <f ca="1">DATEDIF(J50, TODAY(),"Y")</f>
        <v>25</v>
      </c>
      <c r="M50" s="10">
        <f ca="1">DATEDIF(K50, TODAY(),"Y")</f>
        <v>56</v>
      </c>
      <c r="N50" s="10" t="str">
        <f>LOOKUP(F50,Справочники!$F$2:$F$10,Справочники!$H$2:$H$10)</f>
        <v>+7(8332)64-32-18</v>
      </c>
    </row>
    <row r="51" spans="1:14" ht="15" hidden="1" outlineLevel="2" x14ac:dyDescent="0.25">
      <c r="A51" s="10">
        <v>121</v>
      </c>
      <c r="B51" s="12" t="s">
        <v>120</v>
      </c>
      <c r="C51" s="12" t="s">
        <v>75</v>
      </c>
      <c r="D51" s="12" t="s">
        <v>79</v>
      </c>
      <c r="E51" s="10" t="s">
        <v>9</v>
      </c>
      <c r="F51" s="61" t="str">
        <f>LOOKUP(G51,Справочники!$B$2:$B$35,Справочники!$A$2:$A$35)</f>
        <v>Технологический отдел</v>
      </c>
      <c r="G51" s="6" t="s">
        <v>36</v>
      </c>
      <c r="H51" s="16">
        <f>LOOKUP(G51,Справочники!$B$2:$B$35,Справочники!$C$2:$C$35)</f>
        <v>14000</v>
      </c>
      <c r="I51" s="6" t="s">
        <v>12</v>
      </c>
      <c r="J51" s="11">
        <v>39845</v>
      </c>
      <c r="K51" s="11">
        <v>31391</v>
      </c>
      <c r="L51" s="10">
        <f ca="1">DATEDIF(J51, TODAY(),"Y")</f>
        <v>13</v>
      </c>
      <c r="M51" s="10">
        <f ca="1">DATEDIF(K51, TODAY(),"Y")</f>
        <v>36</v>
      </c>
      <c r="N51" s="10" t="str">
        <f>LOOKUP(F51,Справочники!$F$2:$F$10,Справочники!$H$2:$H$10)</f>
        <v>+7(8332)64-32-18</v>
      </c>
    </row>
    <row r="52" spans="1:14" ht="15" hidden="1" outlineLevel="2" x14ac:dyDescent="0.25">
      <c r="A52" s="10">
        <v>122</v>
      </c>
      <c r="B52" s="12" t="s">
        <v>121</v>
      </c>
      <c r="C52" s="12" t="s">
        <v>122</v>
      </c>
      <c r="D52" s="12" t="s">
        <v>96</v>
      </c>
      <c r="E52" s="10" t="s">
        <v>9</v>
      </c>
      <c r="F52" s="61" t="str">
        <f>LOOKUP(G52,Справочники!$B$2:$B$35,Справочники!$A$2:$A$35)</f>
        <v>Технологический отдел</v>
      </c>
      <c r="G52" s="6" t="s">
        <v>37</v>
      </c>
      <c r="H52" s="16">
        <f>LOOKUP(G52,Справочники!$B$2:$B$35,Справочники!$C$2:$C$35)</f>
        <v>14000</v>
      </c>
      <c r="I52" s="6" t="s">
        <v>12</v>
      </c>
      <c r="J52" s="11">
        <v>36427</v>
      </c>
      <c r="K52" s="11">
        <v>24846</v>
      </c>
      <c r="L52" s="10">
        <f ca="1">DATEDIF(J52, TODAY(),"Y")</f>
        <v>23</v>
      </c>
      <c r="M52" s="10">
        <f ca="1">DATEDIF(K52, TODAY(),"Y")</f>
        <v>54</v>
      </c>
      <c r="N52" s="10" t="str">
        <f>LOOKUP(F52,Справочники!$F$2:$F$10,Справочники!$H$2:$H$10)</f>
        <v>+7(8332)64-32-18</v>
      </c>
    </row>
    <row r="53" spans="1:14" ht="15" hidden="1" outlineLevel="2" x14ac:dyDescent="0.25">
      <c r="A53" s="10">
        <v>123</v>
      </c>
      <c r="B53" s="12" t="s">
        <v>123</v>
      </c>
      <c r="C53" s="12" t="s">
        <v>114</v>
      </c>
      <c r="D53" s="12" t="s">
        <v>103</v>
      </c>
      <c r="E53" s="10" t="s">
        <v>9</v>
      </c>
      <c r="F53" s="61" t="str">
        <f>LOOKUP(G53,Справочники!$B$2:$B$35,Справочники!$A$2:$A$35)</f>
        <v>Технологический отдел</v>
      </c>
      <c r="G53" s="6" t="s">
        <v>34</v>
      </c>
      <c r="H53" s="16">
        <f>LOOKUP(G53,Справочники!$B$2:$B$35,Справочники!$C$2:$C$35)</f>
        <v>12000</v>
      </c>
      <c r="I53" s="6" t="s">
        <v>14</v>
      </c>
      <c r="J53" s="11">
        <v>35290</v>
      </c>
      <c r="K53" s="11">
        <v>22280</v>
      </c>
      <c r="L53" s="10">
        <f ca="1">DATEDIF(J53, TODAY(),"Y")</f>
        <v>26</v>
      </c>
      <c r="M53" s="10">
        <f ca="1">DATEDIF(K53, TODAY(),"Y")</f>
        <v>61</v>
      </c>
      <c r="N53" s="10" t="str">
        <f>LOOKUP(F53,Справочники!$F$2:$F$10,Справочники!$H$2:$H$10)</f>
        <v>+7(8332)64-32-18</v>
      </c>
    </row>
    <row r="54" spans="1:14" ht="15" hidden="1" outlineLevel="2" x14ac:dyDescent="0.25">
      <c r="A54" s="10">
        <v>124</v>
      </c>
      <c r="B54" s="12" t="s">
        <v>124</v>
      </c>
      <c r="C54" s="12" t="s">
        <v>125</v>
      </c>
      <c r="D54" s="12" t="s">
        <v>96</v>
      </c>
      <c r="E54" s="10" t="s">
        <v>9</v>
      </c>
      <c r="F54" s="61" t="str">
        <f>LOOKUP(G54,Справочники!$B$2:$B$35,Справочники!$A$2:$A$35)</f>
        <v>Технологический отдел</v>
      </c>
      <c r="G54" s="6" t="s">
        <v>32</v>
      </c>
      <c r="H54" s="16">
        <f>LOOKUP(G54,Справочники!$B$2:$B$35,Справочники!$C$2:$C$35)</f>
        <v>15000</v>
      </c>
      <c r="I54" s="6" t="s">
        <v>33</v>
      </c>
      <c r="J54" s="11">
        <v>35451</v>
      </c>
      <c r="K54" s="11">
        <v>27551</v>
      </c>
      <c r="L54" s="10">
        <f ca="1">DATEDIF(J54, TODAY(),"Y")</f>
        <v>25</v>
      </c>
      <c r="M54" s="10">
        <f ca="1">DATEDIF(K54, TODAY(),"Y")</f>
        <v>47</v>
      </c>
      <c r="N54" s="10" t="str">
        <f>LOOKUP(F54,Справочники!$F$2:$F$10,Справочники!$H$2:$H$10)</f>
        <v>+7(8332)64-32-18</v>
      </c>
    </row>
    <row r="55" spans="1:14" ht="15" hidden="1" outlineLevel="2" x14ac:dyDescent="0.25">
      <c r="A55" s="10">
        <v>125</v>
      </c>
      <c r="B55" s="12" t="s">
        <v>126</v>
      </c>
      <c r="C55" s="12" t="s">
        <v>98</v>
      </c>
      <c r="D55" s="12" t="s">
        <v>127</v>
      </c>
      <c r="E55" s="10" t="s">
        <v>9</v>
      </c>
      <c r="F55" s="61" t="str">
        <f>LOOKUP(G55,Справочники!$B$2:$B$35,Справочники!$A$2:$A$35)</f>
        <v>Технологический отдел</v>
      </c>
      <c r="G55" s="6" t="s">
        <v>34</v>
      </c>
      <c r="H55" s="16">
        <f>LOOKUP(G55,Справочники!$B$2:$B$35,Справочники!$C$2:$C$35)</f>
        <v>12000</v>
      </c>
      <c r="I55" s="6" t="s">
        <v>33</v>
      </c>
      <c r="J55" s="11">
        <v>35290</v>
      </c>
      <c r="K55" s="11">
        <v>22065</v>
      </c>
      <c r="L55" s="10">
        <f ca="1">DATEDIF(J55, TODAY(),"Y")</f>
        <v>26</v>
      </c>
      <c r="M55" s="10">
        <f ca="1">DATEDIF(K55, TODAY(),"Y")</f>
        <v>62</v>
      </c>
      <c r="N55" s="10" t="str">
        <f>LOOKUP(F55,Справочники!$F$2:$F$10,Справочники!$H$2:$H$10)</f>
        <v>+7(8332)64-32-18</v>
      </c>
    </row>
    <row r="56" spans="1:14" ht="15" hidden="1" outlineLevel="2" x14ac:dyDescent="0.25">
      <c r="A56" s="10">
        <v>127</v>
      </c>
      <c r="B56" s="12" t="s">
        <v>130</v>
      </c>
      <c r="C56" s="12" t="s">
        <v>131</v>
      </c>
      <c r="D56" s="12" t="s">
        <v>132</v>
      </c>
      <c r="E56" s="10" t="s">
        <v>17</v>
      </c>
      <c r="F56" s="61" t="str">
        <f>LOOKUP(G56,Справочники!$B$2:$B$35,Справочники!$A$2:$A$35)</f>
        <v>Технологический отдел</v>
      </c>
      <c r="G56" s="6" t="s">
        <v>38</v>
      </c>
      <c r="H56" s="16">
        <f>LOOKUP(G56,Справочники!$B$2:$B$35,Справочники!$C$2:$C$35)</f>
        <v>20000</v>
      </c>
      <c r="I56" s="6" t="s">
        <v>14</v>
      </c>
      <c r="J56" s="11">
        <v>40810</v>
      </c>
      <c r="K56" s="11">
        <v>31390</v>
      </c>
      <c r="L56" s="10">
        <f ca="1">DATEDIF(J56, TODAY(),"Y")</f>
        <v>11</v>
      </c>
      <c r="M56" s="10">
        <f ca="1">DATEDIF(K56, TODAY(),"Y")</f>
        <v>36</v>
      </c>
      <c r="N56" s="10" t="str">
        <f>LOOKUP(F56,Справочники!$F$2:$F$10,Справочники!$H$2:$H$10)</f>
        <v>+7(8332)64-32-18</v>
      </c>
    </row>
    <row r="57" spans="1:14" ht="15" hidden="1" outlineLevel="2" x14ac:dyDescent="0.25">
      <c r="A57" s="10">
        <v>134</v>
      </c>
      <c r="B57" s="12" t="s">
        <v>146</v>
      </c>
      <c r="C57" s="12" t="s">
        <v>147</v>
      </c>
      <c r="D57" s="12" t="s">
        <v>148</v>
      </c>
      <c r="E57" s="10" t="s">
        <v>9</v>
      </c>
      <c r="F57" s="61" t="str">
        <f>LOOKUP(G57,Справочники!$B$2:$B$35,Справочники!$A$2:$A$35)</f>
        <v>Технологический отдел</v>
      </c>
      <c r="G57" s="6" t="s">
        <v>38</v>
      </c>
      <c r="H57" s="16">
        <f>LOOKUP(G57,Справочники!$B$2:$B$35,Справочники!$C$2:$C$35)</f>
        <v>20000</v>
      </c>
      <c r="I57" s="6" t="s">
        <v>14</v>
      </c>
      <c r="J57" s="11">
        <v>35208</v>
      </c>
      <c r="K57" s="11">
        <v>25186</v>
      </c>
      <c r="L57" s="10">
        <f ca="1">DATEDIF(J57, TODAY(),"Y")</f>
        <v>26</v>
      </c>
      <c r="M57" s="10">
        <f ca="1">DATEDIF(K57, TODAY(),"Y")</f>
        <v>53</v>
      </c>
      <c r="N57" s="10" t="str">
        <f>LOOKUP(F57,Справочники!$F$2:$F$10,Справочники!$H$2:$H$10)</f>
        <v>+7(8332)64-32-18</v>
      </c>
    </row>
    <row r="58" spans="1:14" ht="15" hidden="1" outlineLevel="2" x14ac:dyDescent="0.25">
      <c r="A58" s="10">
        <v>135</v>
      </c>
      <c r="B58" s="12" t="s">
        <v>149</v>
      </c>
      <c r="C58" s="12" t="s">
        <v>75</v>
      </c>
      <c r="D58" s="12" t="s">
        <v>96</v>
      </c>
      <c r="E58" s="10" t="s">
        <v>9</v>
      </c>
      <c r="F58" s="61" t="str">
        <f>LOOKUP(G58,Справочники!$B$2:$B$35,Справочники!$A$2:$A$35)</f>
        <v>Технологический отдел</v>
      </c>
      <c r="G58" s="6" t="s">
        <v>38</v>
      </c>
      <c r="H58" s="16">
        <f>LOOKUP(G58,Справочники!$B$2:$B$35,Справочники!$C$2:$C$35)</f>
        <v>20000</v>
      </c>
      <c r="I58" s="6" t="s">
        <v>25</v>
      </c>
      <c r="J58" s="11">
        <v>35290</v>
      </c>
      <c r="K58" s="11">
        <v>23891</v>
      </c>
      <c r="L58" s="10">
        <f ca="1">DATEDIF(J58, TODAY(),"Y")</f>
        <v>26</v>
      </c>
      <c r="M58" s="10">
        <f ca="1">DATEDIF(K58, TODAY(),"Y")</f>
        <v>57</v>
      </c>
      <c r="N58" s="10" t="str">
        <f>LOOKUP(F58,Справочники!$F$2:$F$10,Справочники!$H$2:$H$10)</f>
        <v>+7(8332)64-32-18</v>
      </c>
    </row>
    <row r="59" spans="1:14" ht="15" hidden="1" outlineLevel="2" x14ac:dyDescent="0.25">
      <c r="A59" s="10">
        <v>157</v>
      </c>
      <c r="B59" s="12" t="s">
        <v>195</v>
      </c>
      <c r="C59" s="12" t="s">
        <v>196</v>
      </c>
      <c r="D59" s="12" t="s">
        <v>197</v>
      </c>
      <c r="E59" s="10" t="s">
        <v>9</v>
      </c>
      <c r="F59" s="61" t="str">
        <f>LOOKUP(G59,Справочники!$B$2:$B$35,Справочники!$A$2:$A$35)</f>
        <v>Технологический отдел</v>
      </c>
      <c r="G59" s="6" t="s">
        <v>31</v>
      </c>
      <c r="H59" s="16">
        <f>LOOKUP(G59,Справочники!$B$2:$B$35,Справочники!$C$2:$C$35)</f>
        <v>12000</v>
      </c>
      <c r="I59" s="6" t="s">
        <v>12</v>
      </c>
      <c r="J59" s="11">
        <v>39887</v>
      </c>
      <c r="K59" s="11">
        <v>30205</v>
      </c>
      <c r="L59" s="10">
        <f ca="1">DATEDIF(J59, TODAY(),"Y")</f>
        <v>13</v>
      </c>
      <c r="M59" s="10">
        <f ca="1">DATEDIF(K59, TODAY(),"Y")</f>
        <v>40</v>
      </c>
      <c r="N59" s="10" t="str">
        <f>LOOKUP(F59,Справочники!$F$2:$F$10,Справочники!$H$2:$H$10)</f>
        <v>+7(8332)64-32-18</v>
      </c>
    </row>
    <row r="60" spans="1:14" ht="15" outlineLevel="1" collapsed="1" x14ac:dyDescent="0.25">
      <c r="A60" s="10"/>
      <c r="B60" s="12"/>
      <c r="C60" s="12"/>
      <c r="D60" s="12"/>
      <c r="E60" s="10"/>
      <c r="F60" s="60" t="s">
        <v>253</v>
      </c>
      <c r="G60" s="6"/>
      <c r="H60" s="16">
        <f>SUBTOTAL(9,H44:H59)</f>
        <v>243000</v>
      </c>
      <c r="I60" s="6"/>
      <c r="J60" s="11"/>
      <c r="K60" s="11"/>
      <c r="L60" s="10"/>
      <c r="M60" s="10"/>
      <c r="N60" s="10"/>
    </row>
    <row r="61" spans="1:14" ht="15" hidden="1" outlineLevel="2" x14ac:dyDescent="0.25">
      <c r="A61" s="10">
        <v>149</v>
      </c>
      <c r="B61" s="12" t="s">
        <v>180</v>
      </c>
      <c r="C61" s="12" t="s">
        <v>181</v>
      </c>
      <c r="D61" s="12" t="s">
        <v>132</v>
      </c>
      <c r="E61" s="10" t="s">
        <v>17</v>
      </c>
      <c r="F61" s="61" t="str">
        <f>LOOKUP(G61,Справочники!$B$2:$B$35,Справочники!$A$2:$A$35)</f>
        <v>Транспортный отдел</v>
      </c>
      <c r="G61" s="6" t="s">
        <v>50</v>
      </c>
      <c r="H61" s="16">
        <f>LOOKUP(G61,Справочники!$B$2:$B$35,Справочники!$C$2:$C$35)</f>
        <v>12000</v>
      </c>
      <c r="I61" s="6" t="s">
        <v>33</v>
      </c>
      <c r="J61" s="11">
        <v>34759</v>
      </c>
      <c r="K61" s="11">
        <v>25186</v>
      </c>
      <c r="L61" s="10">
        <f ca="1">DATEDIF(J61, TODAY(),"Y")</f>
        <v>27</v>
      </c>
      <c r="M61" s="10">
        <f ca="1">DATEDIF(K61, TODAY(),"Y")</f>
        <v>53</v>
      </c>
      <c r="N61" s="10" t="str">
        <f>LOOKUP(F61,Справочники!$F$2:$F$10,Справочники!$H$2:$H$10)</f>
        <v>+7(8332)64-32-18</v>
      </c>
    </row>
    <row r="62" spans="1:14" ht="15" hidden="1" outlineLevel="2" x14ac:dyDescent="0.25">
      <c r="A62" s="10">
        <v>161</v>
      </c>
      <c r="B62" s="12" t="s">
        <v>204</v>
      </c>
      <c r="C62" s="12" t="s">
        <v>205</v>
      </c>
      <c r="D62" s="12" t="s">
        <v>145</v>
      </c>
      <c r="E62" s="10" t="s">
        <v>17</v>
      </c>
      <c r="F62" s="61" t="str">
        <f>LOOKUP(G62,Справочники!$B$2:$B$35,Справочники!$A$2:$A$35)</f>
        <v>Транспортный отдел</v>
      </c>
      <c r="G62" s="6" t="s">
        <v>50</v>
      </c>
      <c r="H62" s="16">
        <f>LOOKUP(G62,Справочники!$B$2:$B$35,Справочники!$C$2:$C$35)</f>
        <v>12000</v>
      </c>
      <c r="I62" s="6" t="s">
        <v>12</v>
      </c>
      <c r="J62" s="11">
        <v>31108</v>
      </c>
      <c r="K62" s="11">
        <v>23891</v>
      </c>
      <c r="L62" s="10">
        <f ca="1">DATEDIF(J62, TODAY(),"Y")</f>
        <v>37</v>
      </c>
      <c r="M62" s="10">
        <f ca="1">DATEDIF(K62, TODAY(),"Y")</f>
        <v>57</v>
      </c>
      <c r="N62" s="10" t="str">
        <f>LOOKUP(F62,Справочники!$F$2:$F$10,Справочники!$H$2:$H$10)</f>
        <v>+7(8332)64-32-18</v>
      </c>
    </row>
    <row r="63" spans="1:14" ht="15" hidden="1" outlineLevel="2" x14ac:dyDescent="0.25">
      <c r="A63" s="10">
        <v>162</v>
      </c>
      <c r="B63" s="12" t="s">
        <v>206</v>
      </c>
      <c r="C63" s="12" t="s">
        <v>100</v>
      </c>
      <c r="D63" s="12" t="s">
        <v>207</v>
      </c>
      <c r="E63" s="10" t="s">
        <v>17</v>
      </c>
      <c r="F63" s="61" t="str">
        <f>LOOKUP(G63,Справочники!$B$2:$B$35,Справочники!$A$2:$A$35)</f>
        <v>Транспортный отдел</v>
      </c>
      <c r="G63" s="6" t="s">
        <v>50</v>
      </c>
      <c r="H63" s="16">
        <f>LOOKUP(G63,Справочники!$B$2:$B$35,Справочники!$C$2:$C$35)</f>
        <v>12000</v>
      </c>
      <c r="I63" s="6" t="s">
        <v>12</v>
      </c>
      <c r="J63" s="11">
        <v>32023</v>
      </c>
      <c r="K63" s="11">
        <v>22893</v>
      </c>
      <c r="L63" s="10">
        <f ca="1">DATEDIF(J63, TODAY(),"Y")</f>
        <v>35</v>
      </c>
      <c r="M63" s="10">
        <f ca="1">DATEDIF(K63, TODAY(),"Y")</f>
        <v>60</v>
      </c>
      <c r="N63" s="10" t="str">
        <f>LOOKUP(F63,Справочники!$F$2:$F$10,Справочники!$H$2:$H$10)</f>
        <v>+7(8332)64-32-18</v>
      </c>
    </row>
    <row r="64" spans="1:14" ht="15" hidden="1" outlineLevel="2" x14ac:dyDescent="0.25">
      <c r="A64" s="10">
        <v>164</v>
      </c>
      <c r="B64" s="12" t="s">
        <v>210</v>
      </c>
      <c r="C64" s="12" t="s">
        <v>211</v>
      </c>
      <c r="D64" s="12" t="s">
        <v>148</v>
      </c>
      <c r="E64" s="10" t="s">
        <v>9</v>
      </c>
      <c r="F64" s="61" t="str">
        <f>LOOKUP(G64,Справочники!$B$2:$B$35,Справочники!$A$2:$A$35)</f>
        <v>Транспортный отдел</v>
      </c>
      <c r="G64" s="6" t="s">
        <v>57</v>
      </c>
      <c r="H64" s="16">
        <f>LOOKUP(G64,Справочники!$B$2:$B$35,Справочники!$C$2:$C$35)</f>
        <v>12000</v>
      </c>
      <c r="I64" s="6" t="s">
        <v>33</v>
      </c>
      <c r="J64" s="11">
        <v>43438</v>
      </c>
      <c r="K64" s="11">
        <v>34714</v>
      </c>
      <c r="L64" s="10">
        <f ca="1">DATEDIF(J64, TODAY(),"Y")</f>
        <v>3</v>
      </c>
      <c r="M64" s="10">
        <f ca="1">DATEDIF(K64, TODAY(),"Y")</f>
        <v>27</v>
      </c>
      <c r="N64" s="10" t="str">
        <f>LOOKUP(F64,Справочники!$F$2:$F$10,Справочники!$H$2:$H$10)</f>
        <v>+7(8332)64-32-18</v>
      </c>
    </row>
    <row r="65" spans="1:14" ht="15" outlineLevel="1" collapsed="1" x14ac:dyDescent="0.25">
      <c r="A65" s="10"/>
      <c r="B65" s="12"/>
      <c r="C65" s="12"/>
      <c r="D65" s="12"/>
      <c r="E65" s="10"/>
      <c r="F65" s="60" t="s">
        <v>254</v>
      </c>
      <c r="G65" s="6"/>
      <c r="H65" s="16">
        <f>SUBTOTAL(9,H61:H64)</f>
        <v>48000</v>
      </c>
      <c r="I65" s="6"/>
      <c r="J65" s="11"/>
      <c r="K65" s="11"/>
      <c r="L65" s="10"/>
      <c r="M65" s="10"/>
      <c r="N65" s="10"/>
    </row>
    <row r="66" spans="1:14" ht="15" hidden="1" outlineLevel="2" x14ac:dyDescent="0.25">
      <c r="A66" s="10">
        <v>107</v>
      </c>
      <c r="B66" s="12" t="s">
        <v>86</v>
      </c>
      <c r="C66" s="12" t="s">
        <v>87</v>
      </c>
      <c r="D66" s="12" t="s">
        <v>88</v>
      </c>
      <c r="E66" s="10" t="s">
        <v>9</v>
      </c>
      <c r="F66" s="61" t="str">
        <f>LOOKUP(G66,Справочники!$B$2:$B$35,Справочники!$A$2:$A$35)</f>
        <v>Управление</v>
      </c>
      <c r="G66" s="6" t="s">
        <v>20</v>
      </c>
      <c r="H66" s="16">
        <f>LOOKUP(G66,Справочники!$B$2:$B$35,Справочники!$C$2:$C$35)</f>
        <v>15000</v>
      </c>
      <c r="I66" s="6" t="s">
        <v>12</v>
      </c>
      <c r="J66" s="11">
        <v>39956</v>
      </c>
      <c r="K66" s="11">
        <v>30254</v>
      </c>
      <c r="L66" s="10">
        <f ca="1">DATEDIF(J66, TODAY(),"Y")</f>
        <v>13</v>
      </c>
      <c r="M66" s="10">
        <f ca="1">DATEDIF(K66, TODAY(),"Y")</f>
        <v>40</v>
      </c>
      <c r="N66" s="10" t="str">
        <f>LOOKUP(F66,Справочники!$F$2:$F$10,Справочники!$H$2:$H$10)</f>
        <v>+7(8332)64-32-18</v>
      </c>
    </row>
    <row r="67" spans="1:14" ht="15" hidden="1" outlineLevel="2" x14ac:dyDescent="0.25">
      <c r="A67" s="10">
        <v>108</v>
      </c>
      <c r="B67" s="12" t="s">
        <v>89</v>
      </c>
      <c r="C67" s="12" t="s">
        <v>90</v>
      </c>
      <c r="D67" s="12" t="s">
        <v>91</v>
      </c>
      <c r="E67" s="10" t="s">
        <v>17</v>
      </c>
      <c r="F67" s="61" t="str">
        <f>LOOKUP(G67,Справочники!$B$2:$B$35,Справочники!$A$2:$A$35)</f>
        <v>Управление</v>
      </c>
      <c r="G67" s="6" t="s">
        <v>21</v>
      </c>
      <c r="H67" s="16">
        <f>LOOKUP(G67,Справочники!$B$2:$B$35,Справочники!$C$2:$C$35)</f>
        <v>35000</v>
      </c>
      <c r="I67" s="6" t="s">
        <v>14</v>
      </c>
      <c r="J67" s="11">
        <v>38579</v>
      </c>
      <c r="K67" s="11">
        <v>28499</v>
      </c>
      <c r="L67" s="10">
        <f ca="1">DATEDIF(J67, TODAY(),"Y")</f>
        <v>17</v>
      </c>
      <c r="M67" s="10">
        <f ca="1">DATEDIF(K67, TODAY(),"Y")</f>
        <v>44</v>
      </c>
      <c r="N67" s="10" t="str">
        <f>LOOKUP(F67,Справочники!$F$2:$F$10,Справочники!$H$2:$H$10)</f>
        <v>+7(8332)64-32-18</v>
      </c>
    </row>
    <row r="68" spans="1:14" ht="15" hidden="1" outlineLevel="2" x14ac:dyDescent="0.25">
      <c r="A68" s="10">
        <v>109</v>
      </c>
      <c r="B68" s="12" t="s">
        <v>92</v>
      </c>
      <c r="C68" s="12" t="s">
        <v>81</v>
      </c>
      <c r="D68" s="12" t="s">
        <v>93</v>
      </c>
      <c r="E68" s="10" t="s">
        <v>17</v>
      </c>
      <c r="F68" s="61" t="str">
        <f>LOOKUP(G68,Справочники!$B$2:$B$35,Справочники!$A$2:$A$35)</f>
        <v>Управление</v>
      </c>
      <c r="G68" s="6" t="s">
        <v>22</v>
      </c>
      <c r="H68" s="16">
        <f>LOOKUP(G68,Справочники!$B$2:$B$35,Справочники!$C$2:$C$35)</f>
        <v>28000</v>
      </c>
      <c r="I68" s="6" t="s">
        <v>14</v>
      </c>
      <c r="J68" s="11">
        <v>39103</v>
      </c>
      <c r="K68" s="11">
        <v>27786</v>
      </c>
      <c r="L68" s="10">
        <f ca="1">DATEDIF(J68, TODAY(),"Y")</f>
        <v>15</v>
      </c>
      <c r="M68" s="10">
        <f ca="1">DATEDIF(K68, TODAY(),"Y")</f>
        <v>46</v>
      </c>
      <c r="N68" s="10" t="str">
        <f>LOOKUP(F68,Справочники!$F$2:$F$10,Справочники!$H$2:$H$10)</f>
        <v>+7(8332)64-32-18</v>
      </c>
    </row>
    <row r="69" spans="1:14" ht="15" hidden="1" outlineLevel="2" x14ac:dyDescent="0.25">
      <c r="A69" s="10">
        <v>110</v>
      </c>
      <c r="B69" s="12" t="s">
        <v>94</v>
      </c>
      <c r="C69" s="12" t="s">
        <v>95</v>
      </c>
      <c r="D69" s="12" t="s">
        <v>96</v>
      </c>
      <c r="E69" s="10" t="s">
        <v>9</v>
      </c>
      <c r="F69" s="61" t="str">
        <f>LOOKUP(G69,Справочники!$B$2:$B$35,Справочники!$A$2:$A$35)</f>
        <v>Управление</v>
      </c>
      <c r="G69" s="6" t="s">
        <v>23</v>
      </c>
      <c r="H69" s="16">
        <f>LOOKUP(G69,Справочники!$B$2:$B$35,Справочники!$C$2:$C$35)</f>
        <v>30000</v>
      </c>
      <c r="I69" s="6" t="s">
        <v>14</v>
      </c>
      <c r="J69" s="11">
        <v>34436</v>
      </c>
      <c r="K69" s="11">
        <v>26821</v>
      </c>
      <c r="L69" s="10">
        <f ca="1">DATEDIF(J69, TODAY(),"Y")</f>
        <v>28</v>
      </c>
      <c r="M69" s="10">
        <f ca="1">DATEDIF(K69, TODAY(),"Y")</f>
        <v>49</v>
      </c>
      <c r="N69" s="10" t="str">
        <f>LOOKUP(F69,Справочники!$F$2:$F$10,Справочники!$H$2:$H$10)</f>
        <v>+7(8332)64-32-18</v>
      </c>
    </row>
    <row r="70" spans="1:14" ht="15" hidden="1" outlineLevel="2" x14ac:dyDescent="0.25">
      <c r="A70" s="10">
        <v>111</v>
      </c>
      <c r="B70" s="12" t="s">
        <v>97</v>
      </c>
      <c r="C70" s="12" t="s">
        <v>98</v>
      </c>
      <c r="D70" s="12" t="s">
        <v>76</v>
      </c>
      <c r="E70" s="10" t="s">
        <v>9</v>
      </c>
      <c r="F70" s="61" t="str">
        <f>LOOKUP(G70,Справочники!$B$2:$B$35,Справочники!$A$2:$A$35)</f>
        <v>Управление</v>
      </c>
      <c r="G70" s="6" t="s">
        <v>24</v>
      </c>
      <c r="H70" s="16">
        <f>LOOKUP(G70,Справочники!$B$2:$B$35,Справочники!$C$2:$C$35)</f>
        <v>15000</v>
      </c>
      <c r="I70" s="6" t="s">
        <v>25</v>
      </c>
      <c r="J70" s="11">
        <v>42960</v>
      </c>
      <c r="K70" s="11">
        <v>33207</v>
      </c>
      <c r="L70" s="10">
        <f ca="1">DATEDIF(J70, TODAY(),"Y")</f>
        <v>5</v>
      </c>
      <c r="M70" s="10">
        <f ca="1">DATEDIF(K70, TODAY(),"Y")</f>
        <v>31</v>
      </c>
      <c r="N70" s="10" t="str">
        <f>LOOKUP(F70,Справочники!$F$2:$F$10,Справочники!$H$2:$H$10)</f>
        <v>+7(8332)64-32-18</v>
      </c>
    </row>
    <row r="71" spans="1:14" ht="15" hidden="1" outlineLevel="2" x14ac:dyDescent="0.25">
      <c r="A71" s="10">
        <v>130</v>
      </c>
      <c r="B71" s="12" t="s">
        <v>137</v>
      </c>
      <c r="C71" s="12" t="s">
        <v>138</v>
      </c>
      <c r="D71" s="12" t="s">
        <v>139</v>
      </c>
      <c r="E71" s="10" t="s">
        <v>9</v>
      </c>
      <c r="F71" s="61" t="str">
        <f>LOOKUP(G71,Справочники!$B$2:$B$35,Справочники!$A$2:$A$35)</f>
        <v>Управление</v>
      </c>
      <c r="G71" s="6" t="s">
        <v>20</v>
      </c>
      <c r="H71" s="16">
        <f>LOOKUP(G71,Справочники!$B$2:$B$35,Справочники!$C$2:$C$35)</f>
        <v>15000</v>
      </c>
      <c r="I71" s="6" t="s">
        <v>25</v>
      </c>
      <c r="J71" s="11">
        <v>42765</v>
      </c>
      <c r="K71" s="11">
        <v>34714</v>
      </c>
      <c r="L71" s="10">
        <f ca="1">DATEDIF(J71, TODAY(),"Y")</f>
        <v>5</v>
      </c>
      <c r="M71" s="10">
        <f ca="1">DATEDIF(K71, TODAY(),"Y")</f>
        <v>27</v>
      </c>
      <c r="N71" s="10" t="str">
        <f>LOOKUP(F71,Справочники!$F$2:$F$10,Справочники!$H$2:$H$10)</f>
        <v>+7(8332)64-32-18</v>
      </c>
    </row>
    <row r="72" spans="1:14" ht="15" hidden="1" outlineLevel="2" x14ac:dyDescent="0.25">
      <c r="A72" s="10">
        <v>137</v>
      </c>
      <c r="B72" s="12" t="s">
        <v>153</v>
      </c>
      <c r="C72" s="12" t="s">
        <v>114</v>
      </c>
      <c r="D72" s="12" t="s">
        <v>154</v>
      </c>
      <c r="E72" s="10" t="s">
        <v>9</v>
      </c>
      <c r="F72" s="61" t="str">
        <f>LOOKUP(G72,Справочники!$B$2:$B$35,Справочники!$A$2:$A$35)</f>
        <v>Управление</v>
      </c>
      <c r="G72" s="6" t="s">
        <v>20</v>
      </c>
      <c r="H72" s="16">
        <f>LOOKUP(G72,Справочники!$B$2:$B$35,Справочники!$C$2:$C$35)</f>
        <v>15000</v>
      </c>
      <c r="I72" s="6" t="s">
        <v>25</v>
      </c>
      <c r="J72" s="11">
        <v>42271</v>
      </c>
      <c r="K72" s="11">
        <v>33851</v>
      </c>
      <c r="L72" s="10">
        <f ca="1">DATEDIF(J72, TODAY(),"Y")</f>
        <v>7</v>
      </c>
      <c r="M72" s="10">
        <f ca="1">DATEDIF(K72, TODAY(),"Y")</f>
        <v>30</v>
      </c>
      <c r="N72" s="10" t="str">
        <f>LOOKUP(F72,Справочники!$F$2:$F$10,Справочники!$H$2:$H$10)</f>
        <v>+7(8332)64-32-18</v>
      </c>
    </row>
    <row r="73" spans="1:14" ht="15" hidden="1" outlineLevel="2" x14ac:dyDescent="0.25">
      <c r="A73" s="10">
        <v>139</v>
      </c>
      <c r="B73" s="12" t="s">
        <v>157</v>
      </c>
      <c r="C73" s="12" t="s">
        <v>158</v>
      </c>
      <c r="D73" s="12" t="s">
        <v>159</v>
      </c>
      <c r="E73" s="10" t="s">
        <v>9</v>
      </c>
      <c r="F73" s="61" t="str">
        <f>LOOKUP(G73,Справочники!$B$2:$B$35,Справочники!$A$2:$A$35)</f>
        <v>Управление</v>
      </c>
      <c r="G73" s="6" t="s">
        <v>20</v>
      </c>
      <c r="H73" s="16">
        <f>LOOKUP(G73,Справочники!$B$2:$B$35,Справочники!$C$2:$C$35)</f>
        <v>15000</v>
      </c>
      <c r="I73" s="6" t="s">
        <v>12</v>
      </c>
      <c r="J73" s="11">
        <v>41697</v>
      </c>
      <c r="K73" s="11">
        <v>33022</v>
      </c>
      <c r="L73" s="10">
        <f ca="1">DATEDIF(J73, TODAY(),"Y")</f>
        <v>8</v>
      </c>
      <c r="M73" s="10">
        <f ca="1">DATEDIF(K73, TODAY(),"Y")</f>
        <v>32</v>
      </c>
      <c r="N73" s="10" t="str">
        <f>LOOKUP(F73,Справочники!$F$2:$F$10,Справочники!$H$2:$H$10)</f>
        <v>+7(8332)64-32-18</v>
      </c>
    </row>
    <row r="74" spans="1:14" ht="15" outlineLevel="1" collapsed="1" x14ac:dyDescent="0.25">
      <c r="A74" s="10"/>
      <c r="B74" s="12"/>
      <c r="C74" s="12"/>
      <c r="D74" s="12"/>
      <c r="E74" s="10"/>
      <c r="F74" s="60" t="s">
        <v>255</v>
      </c>
      <c r="G74" s="6"/>
      <c r="H74" s="16">
        <f>SUBTOTAL(9,H66:H73)</f>
        <v>168000</v>
      </c>
      <c r="I74" s="6"/>
      <c r="J74" s="11"/>
      <c r="K74" s="11"/>
      <c r="L74" s="10"/>
      <c r="M74" s="10"/>
      <c r="N74" s="10"/>
    </row>
    <row r="75" spans="1:14" ht="15" x14ac:dyDescent="0.25">
      <c r="A75" s="10"/>
      <c r="B75" s="12"/>
      <c r="C75" s="12"/>
      <c r="D75" s="12"/>
      <c r="E75" s="10"/>
      <c r="F75" s="60" t="s">
        <v>256</v>
      </c>
      <c r="G75" s="6"/>
      <c r="H75" s="16">
        <f>SUBTOTAL(9,H2:H73)</f>
        <v>1043000</v>
      </c>
      <c r="I75" s="6"/>
      <c r="J75" s="11"/>
      <c r="K75" s="11"/>
      <c r="L75" s="10"/>
      <c r="M75" s="10"/>
      <c r="N75" s="10"/>
    </row>
  </sheetData>
  <sortState xmlns:xlrd2="http://schemas.microsoft.com/office/spreadsheetml/2017/richdata2" ref="A2:N73">
    <sortCondition ref="F2:F73"/>
  </sortState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3C30-2D77-4175-AB57-42678D6BF1C1}">
  <dimension ref="A1:N73"/>
  <sheetViews>
    <sheetView zoomScaleNormal="100" workbookViewId="0">
      <pane ySplit="1" topLeftCell="A2" activePane="bottomLeft" state="frozen"/>
      <selection pane="bottomLeft" activeCell="G72" sqref="G72"/>
    </sheetView>
  </sheetViews>
  <sheetFormatPr defaultRowHeight="12.75" outlineLevelRow="2" x14ac:dyDescent="0.2"/>
  <cols>
    <col min="1" max="1" width="11.42578125" style="4" customWidth="1"/>
    <col min="2" max="2" width="29.85546875" style="13" customWidth="1"/>
    <col min="3" max="3" width="16.140625" style="13" customWidth="1"/>
    <col min="4" max="4" width="21.140625" style="13" customWidth="1"/>
    <col min="5" max="5" width="4.5703125" style="5" bestFit="1" customWidth="1"/>
    <col min="6" max="6" width="22.140625" style="5" bestFit="1" customWidth="1"/>
    <col min="7" max="7" width="24.140625" style="4" bestFit="1" customWidth="1"/>
    <col min="8" max="8" width="14.85546875" style="18" customWidth="1"/>
    <col min="9" max="9" width="31.5703125" style="4" customWidth="1"/>
    <col min="10" max="10" width="11.85546875" style="4" bestFit="1" customWidth="1"/>
    <col min="11" max="11" width="10.42578125" style="4" bestFit="1" customWidth="1"/>
    <col min="12" max="12" width="12" style="4" customWidth="1"/>
    <col min="13" max="13" width="14.28515625" style="4" customWidth="1"/>
    <col min="14" max="14" width="18.28515625" style="4" bestFit="1" customWidth="1"/>
    <col min="15" max="253" width="9.140625" style="4"/>
    <col min="254" max="254" width="4.42578125" style="4" bestFit="1" customWidth="1"/>
    <col min="255" max="255" width="13.85546875" style="4" bestFit="1" customWidth="1"/>
    <col min="256" max="256" width="11.28515625" style="4" bestFit="1" customWidth="1"/>
    <col min="257" max="257" width="14.5703125" style="4" bestFit="1" customWidth="1"/>
    <col min="258" max="258" width="4.5703125" style="4" bestFit="1" customWidth="1"/>
    <col min="259" max="259" width="22.140625" style="4" bestFit="1" customWidth="1"/>
    <col min="260" max="260" width="24.140625" style="4" bestFit="1" customWidth="1"/>
    <col min="261" max="261" width="10.7109375" style="4" bestFit="1" customWidth="1"/>
    <col min="262" max="262" width="20" style="4" bestFit="1" customWidth="1"/>
    <col min="263" max="263" width="11.85546875" style="4" bestFit="1" customWidth="1"/>
    <col min="264" max="264" width="10.42578125" style="4" bestFit="1" customWidth="1"/>
    <col min="265" max="265" width="42.28515625" style="4" bestFit="1" customWidth="1"/>
    <col min="266" max="266" width="13.5703125" style="4" bestFit="1" customWidth="1"/>
    <col min="267" max="267" width="7.7109375" style="4" bestFit="1" customWidth="1"/>
    <col min="268" max="268" width="10.7109375" style="4" bestFit="1" customWidth="1"/>
    <col min="269" max="269" width="9.28515625" style="4" bestFit="1" customWidth="1"/>
    <col min="270" max="270" width="8.7109375" style="4" bestFit="1" customWidth="1"/>
    <col min="271" max="509" width="9.140625" style="4"/>
    <col min="510" max="510" width="4.42578125" style="4" bestFit="1" customWidth="1"/>
    <col min="511" max="511" width="13.85546875" style="4" bestFit="1" customWidth="1"/>
    <col min="512" max="512" width="11.28515625" style="4" bestFit="1" customWidth="1"/>
    <col min="513" max="513" width="14.5703125" style="4" bestFit="1" customWidth="1"/>
    <col min="514" max="514" width="4.5703125" style="4" bestFit="1" customWidth="1"/>
    <col min="515" max="515" width="22.140625" style="4" bestFit="1" customWidth="1"/>
    <col min="516" max="516" width="24.140625" style="4" bestFit="1" customWidth="1"/>
    <col min="517" max="517" width="10.7109375" style="4" bestFit="1" customWidth="1"/>
    <col min="518" max="518" width="20" style="4" bestFit="1" customWidth="1"/>
    <col min="519" max="519" width="11.85546875" style="4" bestFit="1" customWidth="1"/>
    <col min="520" max="520" width="10.42578125" style="4" bestFit="1" customWidth="1"/>
    <col min="521" max="521" width="42.28515625" style="4" bestFit="1" customWidth="1"/>
    <col min="522" max="522" width="13.5703125" style="4" bestFit="1" customWidth="1"/>
    <col min="523" max="523" width="7.7109375" style="4" bestFit="1" customWidth="1"/>
    <col min="524" max="524" width="10.7109375" style="4" bestFit="1" customWidth="1"/>
    <col min="525" max="525" width="9.28515625" style="4" bestFit="1" customWidth="1"/>
    <col min="526" max="526" width="8.7109375" style="4" bestFit="1" customWidth="1"/>
    <col min="527" max="765" width="9.140625" style="4"/>
    <col min="766" max="766" width="4.42578125" style="4" bestFit="1" customWidth="1"/>
    <col min="767" max="767" width="13.85546875" style="4" bestFit="1" customWidth="1"/>
    <col min="768" max="768" width="11.28515625" style="4" bestFit="1" customWidth="1"/>
    <col min="769" max="769" width="14.5703125" style="4" bestFit="1" customWidth="1"/>
    <col min="770" max="770" width="4.5703125" style="4" bestFit="1" customWidth="1"/>
    <col min="771" max="771" width="22.140625" style="4" bestFit="1" customWidth="1"/>
    <col min="772" max="772" width="24.140625" style="4" bestFit="1" customWidth="1"/>
    <col min="773" max="773" width="10.7109375" style="4" bestFit="1" customWidth="1"/>
    <col min="774" max="774" width="20" style="4" bestFit="1" customWidth="1"/>
    <col min="775" max="775" width="11.85546875" style="4" bestFit="1" customWidth="1"/>
    <col min="776" max="776" width="10.42578125" style="4" bestFit="1" customWidth="1"/>
    <col min="777" max="777" width="42.28515625" style="4" bestFit="1" customWidth="1"/>
    <col min="778" max="778" width="13.5703125" style="4" bestFit="1" customWidth="1"/>
    <col min="779" max="779" width="7.7109375" style="4" bestFit="1" customWidth="1"/>
    <col min="780" max="780" width="10.7109375" style="4" bestFit="1" customWidth="1"/>
    <col min="781" max="781" width="9.28515625" style="4" bestFit="1" customWidth="1"/>
    <col min="782" max="782" width="8.7109375" style="4" bestFit="1" customWidth="1"/>
    <col min="783" max="1021" width="9.140625" style="4"/>
    <col min="1022" max="1022" width="4.42578125" style="4" bestFit="1" customWidth="1"/>
    <col min="1023" max="1023" width="13.85546875" style="4" bestFit="1" customWidth="1"/>
    <col min="1024" max="1024" width="11.28515625" style="4" bestFit="1" customWidth="1"/>
    <col min="1025" max="1025" width="14.5703125" style="4" bestFit="1" customWidth="1"/>
    <col min="1026" max="1026" width="4.5703125" style="4" bestFit="1" customWidth="1"/>
    <col min="1027" max="1027" width="22.140625" style="4" bestFit="1" customWidth="1"/>
    <col min="1028" max="1028" width="24.140625" style="4" bestFit="1" customWidth="1"/>
    <col min="1029" max="1029" width="10.7109375" style="4" bestFit="1" customWidth="1"/>
    <col min="1030" max="1030" width="20" style="4" bestFit="1" customWidth="1"/>
    <col min="1031" max="1031" width="11.85546875" style="4" bestFit="1" customWidth="1"/>
    <col min="1032" max="1032" width="10.42578125" style="4" bestFit="1" customWidth="1"/>
    <col min="1033" max="1033" width="42.28515625" style="4" bestFit="1" customWidth="1"/>
    <col min="1034" max="1034" width="13.5703125" style="4" bestFit="1" customWidth="1"/>
    <col min="1035" max="1035" width="7.7109375" style="4" bestFit="1" customWidth="1"/>
    <col min="1036" max="1036" width="10.7109375" style="4" bestFit="1" customWidth="1"/>
    <col min="1037" max="1037" width="9.28515625" style="4" bestFit="1" customWidth="1"/>
    <col min="1038" max="1038" width="8.7109375" style="4" bestFit="1" customWidth="1"/>
    <col min="1039" max="1277" width="9.140625" style="4"/>
    <col min="1278" max="1278" width="4.42578125" style="4" bestFit="1" customWidth="1"/>
    <col min="1279" max="1279" width="13.85546875" style="4" bestFit="1" customWidth="1"/>
    <col min="1280" max="1280" width="11.28515625" style="4" bestFit="1" customWidth="1"/>
    <col min="1281" max="1281" width="14.5703125" style="4" bestFit="1" customWidth="1"/>
    <col min="1282" max="1282" width="4.5703125" style="4" bestFit="1" customWidth="1"/>
    <col min="1283" max="1283" width="22.140625" style="4" bestFit="1" customWidth="1"/>
    <col min="1284" max="1284" width="24.140625" style="4" bestFit="1" customWidth="1"/>
    <col min="1285" max="1285" width="10.7109375" style="4" bestFit="1" customWidth="1"/>
    <col min="1286" max="1286" width="20" style="4" bestFit="1" customWidth="1"/>
    <col min="1287" max="1287" width="11.85546875" style="4" bestFit="1" customWidth="1"/>
    <col min="1288" max="1288" width="10.42578125" style="4" bestFit="1" customWidth="1"/>
    <col min="1289" max="1289" width="42.28515625" style="4" bestFit="1" customWidth="1"/>
    <col min="1290" max="1290" width="13.5703125" style="4" bestFit="1" customWidth="1"/>
    <col min="1291" max="1291" width="7.7109375" style="4" bestFit="1" customWidth="1"/>
    <col min="1292" max="1292" width="10.7109375" style="4" bestFit="1" customWidth="1"/>
    <col min="1293" max="1293" width="9.28515625" style="4" bestFit="1" customWidth="1"/>
    <col min="1294" max="1294" width="8.7109375" style="4" bestFit="1" customWidth="1"/>
    <col min="1295" max="1533" width="9.140625" style="4"/>
    <col min="1534" max="1534" width="4.42578125" style="4" bestFit="1" customWidth="1"/>
    <col min="1535" max="1535" width="13.85546875" style="4" bestFit="1" customWidth="1"/>
    <col min="1536" max="1536" width="11.28515625" style="4" bestFit="1" customWidth="1"/>
    <col min="1537" max="1537" width="14.5703125" style="4" bestFit="1" customWidth="1"/>
    <col min="1538" max="1538" width="4.5703125" style="4" bestFit="1" customWidth="1"/>
    <col min="1539" max="1539" width="22.140625" style="4" bestFit="1" customWidth="1"/>
    <col min="1540" max="1540" width="24.140625" style="4" bestFit="1" customWidth="1"/>
    <col min="1541" max="1541" width="10.7109375" style="4" bestFit="1" customWidth="1"/>
    <col min="1542" max="1542" width="20" style="4" bestFit="1" customWidth="1"/>
    <col min="1543" max="1543" width="11.85546875" style="4" bestFit="1" customWidth="1"/>
    <col min="1544" max="1544" width="10.42578125" style="4" bestFit="1" customWidth="1"/>
    <col min="1545" max="1545" width="42.28515625" style="4" bestFit="1" customWidth="1"/>
    <col min="1546" max="1546" width="13.5703125" style="4" bestFit="1" customWidth="1"/>
    <col min="1547" max="1547" width="7.7109375" style="4" bestFit="1" customWidth="1"/>
    <col min="1548" max="1548" width="10.7109375" style="4" bestFit="1" customWidth="1"/>
    <col min="1549" max="1549" width="9.28515625" style="4" bestFit="1" customWidth="1"/>
    <col min="1550" max="1550" width="8.7109375" style="4" bestFit="1" customWidth="1"/>
    <col min="1551" max="1789" width="9.140625" style="4"/>
    <col min="1790" max="1790" width="4.42578125" style="4" bestFit="1" customWidth="1"/>
    <col min="1791" max="1791" width="13.85546875" style="4" bestFit="1" customWidth="1"/>
    <col min="1792" max="1792" width="11.28515625" style="4" bestFit="1" customWidth="1"/>
    <col min="1793" max="1793" width="14.5703125" style="4" bestFit="1" customWidth="1"/>
    <col min="1794" max="1794" width="4.5703125" style="4" bestFit="1" customWidth="1"/>
    <col min="1795" max="1795" width="22.140625" style="4" bestFit="1" customWidth="1"/>
    <col min="1796" max="1796" width="24.140625" style="4" bestFit="1" customWidth="1"/>
    <col min="1797" max="1797" width="10.7109375" style="4" bestFit="1" customWidth="1"/>
    <col min="1798" max="1798" width="20" style="4" bestFit="1" customWidth="1"/>
    <col min="1799" max="1799" width="11.85546875" style="4" bestFit="1" customWidth="1"/>
    <col min="1800" max="1800" width="10.42578125" style="4" bestFit="1" customWidth="1"/>
    <col min="1801" max="1801" width="42.28515625" style="4" bestFit="1" customWidth="1"/>
    <col min="1802" max="1802" width="13.5703125" style="4" bestFit="1" customWidth="1"/>
    <col min="1803" max="1803" width="7.7109375" style="4" bestFit="1" customWidth="1"/>
    <col min="1804" max="1804" width="10.7109375" style="4" bestFit="1" customWidth="1"/>
    <col min="1805" max="1805" width="9.28515625" style="4" bestFit="1" customWidth="1"/>
    <col min="1806" max="1806" width="8.7109375" style="4" bestFit="1" customWidth="1"/>
    <col min="1807" max="2045" width="9.140625" style="4"/>
    <col min="2046" max="2046" width="4.42578125" style="4" bestFit="1" customWidth="1"/>
    <col min="2047" max="2047" width="13.85546875" style="4" bestFit="1" customWidth="1"/>
    <col min="2048" max="2048" width="11.28515625" style="4" bestFit="1" customWidth="1"/>
    <col min="2049" max="2049" width="14.5703125" style="4" bestFit="1" customWidth="1"/>
    <col min="2050" max="2050" width="4.5703125" style="4" bestFit="1" customWidth="1"/>
    <col min="2051" max="2051" width="22.140625" style="4" bestFit="1" customWidth="1"/>
    <col min="2052" max="2052" width="24.140625" style="4" bestFit="1" customWidth="1"/>
    <col min="2053" max="2053" width="10.7109375" style="4" bestFit="1" customWidth="1"/>
    <col min="2054" max="2054" width="20" style="4" bestFit="1" customWidth="1"/>
    <col min="2055" max="2055" width="11.85546875" style="4" bestFit="1" customWidth="1"/>
    <col min="2056" max="2056" width="10.42578125" style="4" bestFit="1" customWidth="1"/>
    <col min="2057" max="2057" width="42.28515625" style="4" bestFit="1" customWidth="1"/>
    <col min="2058" max="2058" width="13.5703125" style="4" bestFit="1" customWidth="1"/>
    <col min="2059" max="2059" width="7.7109375" style="4" bestFit="1" customWidth="1"/>
    <col min="2060" max="2060" width="10.7109375" style="4" bestFit="1" customWidth="1"/>
    <col min="2061" max="2061" width="9.28515625" style="4" bestFit="1" customWidth="1"/>
    <col min="2062" max="2062" width="8.7109375" style="4" bestFit="1" customWidth="1"/>
    <col min="2063" max="2301" width="9.140625" style="4"/>
    <col min="2302" max="2302" width="4.42578125" style="4" bestFit="1" customWidth="1"/>
    <col min="2303" max="2303" width="13.85546875" style="4" bestFit="1" customWidth="1"/>
    <col min="2304" max="2304" width="11.28515625" style="4" bestFit="1" customWidth="1"/>
    <col min="2305" max="2305" width="14.5703125" style="4" bestFit="1" customWidth="1"/>
    <col min="2306" max="2306" width="4.5703125" style="4" bestFit="1" customWidth="1"/>
    <col min="2307" max="2307" width="22.140625" style="4" bestFit="1" customWidth="1"/>
    <col min="2308" max="2308" width="24.140625" style="4" bestFit="1" customWidth="1"/>
    <col min="2309" max="2309" width="10.7109375" style="4" bestFit="1" customWidth="1"/>
    <col min="2310" max="2310" width="20" style="4" bestFit="1" customWidth="1"/>
    <col min="2311" max="2311" width="11.85546875" style="4" bestFit="1" customWidth="1"/>
    <col min="2312" max="2312" width="10.42578125" style="4" bestFit="1" customWidth="1"/>
    <col min="2313" max="2313" width="42.28515625" style="4" bestFit="1" customWidth="1"/>
    <col min="2314" max="2314" width="13.5703125" style="4" bestFit="1" customWidth="1"/>
    <col min="2315" max="2315" width="7.7109375" style="4" bestFit="1" customWidth="1"/>
    <col min="2316" max="2316" width="10.7109375" style="4" bestFit="1" customWidth="1"/>
    <col min="2317" max="2317" width="9.28515625" style="4" bestFit="1" customWidth="1"/>
    <col min="2318" max="2318" width="8.7109375" style="4" bestFit="1" customWidth="1"/>
    <col min="2319" max="2557" width="9.140625" style="4"/>
    <col min="2558" max="2558" width="4.42578125" style="4" bestFit="1" customWidth="1"/>
    <col min="2559" max="2559" width="13.85546875" style="4" bestFit="1" customWidth="1"/>
    <col min="2560" max="2560" width="11.28515625" style="4" bestFit="1" customWidth="1"/>
    <col min="2561" max="2561" width="14.5703125" style="4" bestFit="1" customWidth="1"/>
    <col min="2562" max="2562" width="4.5703125" style="4" bestFit="1" customWidth="1"/>
    <col min="2563" max="2563" width="22.140625" style="4" bestFit="1" customWidth="1"/>
    <col min="2564" max="2564" width="24.140625" style="4" bestFit="1" customWidth="1"/>
    <col min="2565" max="2565" width="10.7109375" style="4" bestFit="1" customWidth="1"/>
    <col min="2566" max="2566" width="20" style="4" bestFit="1" customWidth="1"/>
    <col min="2567" max="2567" width="11.85546875" style="4" bestFit="1" customWidth="1"/>
    <col min="2568" max="2568" width="10.42578125" style="4" bestFit="1" customWidth="1"/>
    <col min="2569" max="2569" width="42.28515625" style="4" bestFit="1" customWidth="1"/>
    <col min="2570" max="2570" width="13.5703125" style="4" bestFit="1" customWidth="1"/>
    <col min="2571" max="2571" width="7.7109375" style="4" bestFit="1" customWidth="1"/>
    <col min="2572" max="2572" width="10.7109375" style="4" bestFit="1" customWidth="1"/>
    <col min="2573" max="2573" width="9.28515625" style="4" bestFit="1" customWidth="1"/>
    <col min="2574" max="2574" width="8.7109375" style="4" bestFit="1" customWidth="1"/>
    <col min="2575" max="2813" width="9.140625" style="4"/>
    <col min="2814" max="2814" width="4.42578125" style="4" bestFit="1" customWidth="1"/>
    <col min="2815" max="2815" width="13.85546875" style="4" bestFit="1" customWidth="1"/>
    <col min="2816" max="2816" width="11.28515625" style="4" bestFit="1" customWidth="1"/>
    <col min="2817" max="2817" width="14.5703125" style="4" bestFit="1" customWidth="1"/>
    <col min="2818" max="2818" width="4.5703125" style="4" bestFit="1" customWidth="1"/>
    <col min="2819" max="2819" width="22.140625" style="4" bestFit="1" customWidth="1"/>
    <col min="2820" max="2820" width="24.140625" style="4" bestFit="1" customWidth="1"/>
    <col min="2821" max="2821" width="10.7109375" style="4" bestFit="1" customWidth="1"/>
    <col min="2822" max="2822" width="20" style="4" bestFit="1" customWidth="1"/>
    <col min="2823" max="2823" width="11.85546875" style="4" bestFit="1" customWidth="1"/>
    <col min="2824" max="2824" width="10.42578125" style="4" bestFit="1" customWidth="1"/>
    <col min="2825" max="2825" width="42.28515625" style="4" bestFit="1" customWidth="1"/>
    <col min="2826" max="2826" width="13.5703125" style="4" bestFit="1" customWidth="1"/>
    <col min="2827" max="2827" width="7.7109375" style="4" bestFit="1" customWidth="1"/>
    <col min="2828" max="2828" width="10.7109375" style="4" bestFit="1" customWidth="1"/>
    <col min="2829" max="2829" width="9.28515625" style="4" bestFit="1" customWidth="1"/>
    <col min="2830" max="2830" width="8.7109375" style="4" bestFit="1" customWidth="1"/>
    <col min="2831" max="3069" width="9.140625" style="4"/>
    <col min="3070" max="3070" width="4.42578125" style="4" bestFit="1" customWidth="1"/>
    <col min="3071" max="3071" width="13.85546875" style="4" bestFit="1" customWidth="1"/>
    <col min="3072" max="3072" width="11.28515625" style="4" bestFit="1" customWidth="1"/>
    <col min="3073" max="3073" width="14.5703125" style="4" bestFit="1" customWidth="1"/>
    <col min="3074" max="3074" width="4.5703125" style="4" bestFit="1" customWidth="1"/>
    <col min="3075" max="3075" width="22.140625" style="4" bestFit="1" customWidth="1"/>
    <col min="3076" max="3076" width="24.140625" style="4" bestFit="1" customWidth="1"/>
    <col min="3077" max="3077" width="10.7109375" style="4" bestFit="1" customWidth="1"/>
    <col min="3078" max="3078" width="20" style="4" bestFit="1" customWidth="1"/>
    <col min="3079" max="3079" width="11.85546875" style="4" bestFit="1" customWidth="1"/>
    <col min="3080" max="3080" width="10.42578125" style="4" bestFit="1" customWidth="1"/>
    <col min="3081" max="3081" width="42.28515625" style="4" bestFit="1" customWidth="1"/>
    <col min="3082" max="3082" width="13.5703125" style="4" bestFit="1" customWidth="1"/>
    <col min="3083" max="3083" width="7.7109375" style="4" bestFit="1" customWidth="1"/>
    <col min="3084" max="3084" width="10.7109375" style="4" bestFit="1" customWidth="1"/>
    <col min="3085" max="3085" width="9.28515625" style="4" bestFit="1" customWidth="1"/>
    <col min="3086" max="3086" width="8.7109375" style="4" bestFit="1" customWidth="1"/>
    <col min="3087" max="3325" width="9.140625" style="4"/>
    <col min="3326" max="3326" width="4.42578125" style="4" bestFit="1" customWidth="1"/>
    <col min="3327" max="3327" width="13.85546875" style="4" bestFit="1" customWidth="1"/>
    <col min="3328" max="3328" width="11.28515625" style="4" bestFit="1" customWidth="1"/>
    <col min="3329" max="3329" width="14.5703125" style="4" bestFit="1" customWidth="1"/>
    <col min="3330" max="3330" width="4.5703125" style="4" bestFit="1" customWidth="1"/>
    <col min="3331" max="3331" width="22.140625" style="4" bestFit="1" customWidth="1"/>
    <col min="3332" max="3332" width="24.140625" style="4" bestFit="1" customWidth="1"/>
    <col min="3333" max="3333" width="10.7109375" style="4" bestFit="1" customWidth="1"/>
    <col min="3334" max="3334" width="20" style="4" bestFit="1" customWidth="1"/>
    <col min="3335" max="3335" width="11.85546875" style="4" bestFit="1" customWidth="1"/>
    <col min="3336" max="3336" width="10.42578125" style="4" bestFit="1" customWidth="1"/>
    <col min="3337" max="3337" width="42.28515625" style="4" bestFit="1" customWidth="1"/>
    <col min="3338" max="3338" width="13.5703125" style="4" bestFit="1" customWidth="1"/>
    <col min="3339" max="3339" width="7.7109375" style="4" bestFit="1" customWidth="1"/>
    <col min="3340" max="3340" width="10.7109375" style="4" bestFit="1" customWidth="1"/>
    <col min="3341" max="3341" width="9.28515625" style="4" bestFit="1" customWidth="1"/>
    <col min="3342" max="3342" width="8.7109375" style="4" bestFit="1" customWidth="1"/>
    <col min="3343" max="3581" width="9.140625" style="4"/>
    <col min="3582" max="3582" width="4.42578125" style="4" bestFit="1" customWidth="1"/>
    <col min="3583" max="3583" width="13.85546875" style="4" bestFit="1" customWidth="1"/>
    <col min="3584" max="3584" width="11.28515625" style="4" bestFit="1" customWidth="1"/>
    <col min="3585" max="3585" width="14.5703125" style="4" bestFit="1" customWidth="1"/>
    <col min="3586" max="3586" width="4.5703125" style="4" bestFit="1" customWidth="1"/>
    <col min="3587" max="3587" width="22.140625" style="4" bestFit="1" customWidth="1"/>
    <col min="3588" max="3588" width="24.140625" style="4" bestFit="1" customWidth="1"/>
    <col min="3589" max="3589" width="10.7109375" style="4" bestFit="1" customWidth="1"/>
    <col min="3590" max="3590" width="20" style="4" bestFit="1" customWidth="1"/>
    <col min="3591" max="3591" width="11.85546875" style="4" bestFit="1" customWidth="1"/>
    <col min="3592" max="3592" width="10.42578125" style="4" bestFit="1" customWidth="1"/>
    <col min="3593" max="3593" width="42.28515625" style="4" bestFit="1" customWidth="1"/>
    <col min="3594" max="3594" width="13.5703125" style="4" bestFit="1" customWidth="1"/>
    <col min="3595" max="3595" width="7.7109375" style="4" bestFit="1" customWidth="1"/>
    <col min="3596" max="3596" width="10.7109375" style="4" bestFit="1" customWidth="1"/>
    <col min="3597" max="3597" width="9.28515625" style="4" bestFit="1" customWidth="1"/>
    <col min="3598" max="3598" width="8.7109375" style="4" bestFit="1" customWidth="1"/>
    <col min="3599" max="3837" width="9.140625" style="4"/>
    <col min="3838" max="3838" width="4.42578125" style="4" bestFit="1" customWidth="1"/>
    <col min="3839" max="3839" width="13.85546875" style="4" bestFit="1" customWidth="1"/>
    <col min="3840" max="3840" width="11.28515625" style="4" bestFit="1" customWidth="1"/>
    <col min="3841" max="3841" width="14.5703125" style="4" bestFit="1" customWidth="1"/>
    <col min="3842" max="3842" width="4.5703125" style="4" bestFit="1" customWidth="1"/>
    <col min="3843" max="3843" width="22.140625" style="4" bestFit="1" customWidth="1"/>
    <col min="3844" max="3844" width="24.140625" style="4" bestFit="1" customWidth="1"/>
    <col min="3845" max="3845" width="10.7109375" style="4" bestFit="1" customWidth="1"/>
    <col min="3846" max="3846" width="20" style="4" bestFit="1" customWidth="1"/>
    <col min="3847" max="3847" width="11.85546875" style="4" bestFit="1" customWidth="1"/>
    <col min="3848" max="3848" width="10.42578125" style="4" bestFit="1" customWidth="1"/>
    <col min="3849" max="3849" width="42.28515625" style="4" bestFit="1" customWidth="1"/>
    <col min="3850" max="3850" width="13.5703125" style="4" bestFit="1" customWidth="1"/>
    <col min="3851" max="3851" width="7.7109375" style="4" bestFit="1" customWidth="1"/>
    <col min="3852" max="3852" width="10.7109375" style="4" bestFit="1" customWidth="1"/>
    <col min="3853" max="3853" width="9.28515625" style="4" bestFit="1" customWidth="1"/>
    <col min="3854" max="3854" width="8.7109375" style="4" bestFit="1" customWidth="1"/>
    <col min="3855" max="4093" width="9.140625" style="4"/>
    <col min="4094" max="4094" width="4.42578125" style="4" bestFit="1" customWidth="1"/>
    <col min="4095" max="4095" width="13.85546875" style="4" bestFit="1" customWidth="1"/>
    <col min="4096" max="4096" width="11.28515625" style="4" bestFit="1" customWidth="1"/>
    <col min="4097" max="4097" width="14.5703125" style="4" bestFit="1" customWidth="1"/>
    <col min="4098" max="4098" width="4.5703125" style="4" bestFit="1" customWidth="1"/>
    <col min="4099" max="4099" width="22.140625" style="4" bestFit="1" customWidth="1"/>
    <col min="4100" max="4100" width="24.140625" style="4" bestFit="1" customWidth="1"/>
    <col min="4101" max="4101" width="10.7109375" style="4" bestFit="1" customWidth="1"/>
    <col min="4102" max="4102" width="20" style="4" bestFit="1" customWidth="1"/>
    <col min="4103" max="4103" width="11.85546875" style="4" bestFit="1" customWidth="1"/>
    <col min="4104" max="4104" width="10.42578125" style="4" bestFit="1" customWidth="1"/>
    <col min="4105" max="4105" width="42.28515625" style="4" bestFit="1" customWidth="1"/>
    <col min="4106" max="4106" width="13.5703125" style="4" bestFit="1" customWidth="1"/>
    <col min="4107" max="4107" width="7.7109375" style="4" bestFit="1" customWidth="1"/>
    <col min="4108" max="4108" width="10.7109375" style="4" bestFit="1" customWidth="1"/>
    <col min="4109" max="4109" width="9.28515625" style="4" bestFit="1" customWidth="1"/>
    <col min="4110" max="4110" width="8.7109375" style="4" bestFit="1" customWidth="1"/>
    <col min="4111" max="4349" width="9.140625" style="4"/>
    <col min="4350" max="4350" width="4.42578125" style="4" bestFit="1" customWidth="1"/>
    <col min="4351" max="4351" width="13.85546875" style="4" bestFit="1" customWidth="1"/>
    <col min="4352" max="4352" width="11.28515625" style="4" bestFit="1" customWidth="1"/>
    <col min="4353" max="4353" width="14.5703125" style="4" bestFit="1" customWidth="1"/>
    <col min="4354" max="4354" width="4.5703125" style="4" bestFit="1" customWidth="1"/>
    <col min="4355" max="4355" width="22.140625" style="4" bestFit="1" customWidth="1"/>
    <col min="4356" max="4356" width="24.140625" style="4" bestFit="1" customWidth="1"/>
    <col min="4357" max="4357" width="10.7109375" style="4" bestFit="1" customWidth="1"/>
    <col min="4358" max="4358" width="20" style="4" bestFit="1" customWidth="1"/>
    <col min="4359" max="4359" width="11.85546875" style="4" bestFit="1" customWidth="1"/>
    <col min="4360" max="4360" width="10.42578125" style="4" bestFit="1" customWidth="1"/>
    <col min="4361" max="4361" width="42.28515625" style="4" bestFit="1" customWidth="1"/>
    <col min="4362" max="4362" width="13.5703125" style="4" bestFit="1" customWidth="1"/>
    <col min="4363" max="4363" width="7.7109375" style="4" bestFit="1" customWidth="1"/>
    <col min="4364" max="4364" width="10.7109375" style="4" bestFit="1" customWidth="1"/>
    <col min="4365" max="4365" width="9.28515625" style="4" bestFit="1" customWidth="1"/>
    <col min="4366" max="4366" width="8.7109375" style="4" bestFit="1" customWidth="1"/>
    <col min="4367" max="4605" width="9.140625" style="4"/>
    <col min="4606" max="4606" width="4.42578125" style="4" bestFit="1" customWidth="1"/>
    <col min="4607" max="4607" width="13.85546875" style="4" bestFit="1" customWidth="1"/>
    <col min="4608" max="4608" width="11.28515625" style="4" bestFit="1" customWidth="1"/>
    <col min="4609" max="4609" width="14.5703125" style="4" bestFit="1" customWidth="1"/>
    <col min="4610" max="4610" width="4.5703125" style="4" bestFit="1" customWidth="1"/>
    <col min="4611" max="4611" width="22.140625" style="4" bestFit="1" customWidth="1"/>
    <col min="4612" max="4612" width="24.140625" style="4" bestFit="1" customWidth="1"/>
    <col min="4613" max="4613" width="10.7109375" style="4" bestFit="1" customWidth="1"/>
    <col min="4614" max="4614" width="20" style="4" bestFit="1" customWidth="1"/>
    <col min="4615" max="4615" width="11.85546875" style="4" bestFit="1" customWidth="1"/>
    <col min="4616" max="4616" width="10.42578125" style="4" bestFit="1" customWidth="1"/>
    <col min="4617" max="4617" width="42.28515625" style="4" bestFit="1" customWidth="1"/>
    <col min="4618" max="4618" width="13.5703125" style="4" bestFit="1" customWidth="1"/>
    <col min="4619" max="4619" width="7.7109375" style="4" bestFit="1" customWidth="1"/>
    <col min="4620" max="4620" width="10.7109375" style="4" bestFit="1" customWidth="1"/>
    <col min="4621" max="4621" width="9.28515625" style="4" bestFit="1" customWidth="1"/>
    <col min="4622" max="4622" width="8.7109375" style="4" bestFit="1" customWidth="1"/>
    <col min="4623" max="4861" width="9.140625" style="4"/>
    <col min="4862" max="4862" width="4.42578125" style="4" bestFit="1" customWidth="1"/>
    <col min="4863" max="4863" width="13.85546875" style="4" bestFit="1" customWidth="1"/>
    <col min="4864" max="4864" width="11.28515625" style="4" bestFit="1" customWidth="1"/>
    <col min="4865" max="4865" width="14.5703125" style="4" bestFit="1" customWidth="1"/>
    <col min="4866" max="4866" width="4.5703125" style="4" bestFit="1" customWidth="1"/>
    <col min="4867" max="4867" width="22.140625" style="4" bestFit="1" customWidth="1"/>
    <col min="4868" max="4868" width="24.140625" style="4" bestFit="1" customWidth="1"/>
    <col min="4869" max="4869" width="10.7109375" style="4" bestFit="1" customWidth="1"/>
    <col min="4870" max="4870" width="20" style="4" bestFit="1" customWidth="1"/>
    <col min="4871" max="4871" width="11.85546875" style="4" bestFit="1" customWidth="1"/>
    <col min="4872" max="4872" width="10.42578125" style="4" bestFit="1" customWidth="1"/>
    <col min="4873" max="4873" width="42.28515625" style="4" bestFit="1" customWidth="1"/>
    <col min="4874" max="4874" width="13.5703125" style="4" bestFit="1" customWidth="1"/>
    <col min="4875" max="4875" width="7.7109375" style="4" bestFit="1" customWidth="1"/>
    <col min="4876" max="4876" width="10.7109375" style="4" bestFit="1" customWidth="1"/>
    <col min="4877" max="4877" width="9.28515625" style="4" bestFit="1" customWidth="1"/>
    <col min="4878" max="4878" width="8.7109375" style="4" bestFit="1" customWidth="1"/>
    <col min="4879" max="5117" width="9.140625" style="4"/>
    <col min="5118" max="5118" width="4.42578125" style="4" bestFit="1" customWidth="1"/>
    <col min="5119" max="5119" width="13.85546875" style="4" bestFit="1" customWidth="1"/>
    <col min="5120" max="5120" width="11.28515625" style="4" bestFit="1" customWidth="1"/>
    <col min="5121" max="5121" width="14.5703125" style="4" bestFit="1" customWidth="1"/>
    <col min="5122" max="5122" width="4.5703125" style="4" bestFit="1" customWidth="1"/>
    <col min="5123" max="5123" width="22.140625" style="4" bestFit="1" customWidth="1"/>
    <col min="5124" max="5124" width="24.140625" style="4" bestFit="1" customWidth="1"/>
    <col min="5125" max="5125" width="10.7109375" style="4" bestFit="1" customWidth="1"/>
    <col min="5126" max="5126" width="20" style="4" bestFit="1" customWidth="1"/>
    <col min="5127" max="5127" width="11.85546875" style="4" bestFit="1" customWidth="1"/>
    <col min="5128" max="5128" width="10.42578125" style="4" bestFit="1" customWidth="1"/>
    <col min="5129" max="5129" width="42.28515625" style="4" bestFit="1" customWidth="1"/>
    <col min="5130" max="5130" width="13.5703125" style="4" bestFit="1" customWidth="1"/>
    <col min="5131" max="5131" width="7.7109375" style="4" bestFit="1" customWidth="1"/>
    <col min="5132" max="5132" width="10.7109375" style="4" bestFit="1" customWidth="1"/>
    <col min="5133" max="5133" width="9.28515625" style="4" bestFit="1" customWidth="1"/>
    <col min="5134" max="5134" width="8.7109375" style="4" bestFit="1" customWidth="1"/>
    <col min="5135" max="5373" width="9.140625" style="4"/>
    <col min="5374" max="5374" width="4.42578125" style="4" bestFit="1" customWidth="1"/>
    <col min="5375" max="5375" width="13.85546875" style="4" bestFit="1" customWidth="1"/>
    <col min="5376" max="5376" width="11.28515625" style="4" bestFit="1" customWidth="1"/>
    <col min="5377" max="5377" width="14.5703125" style="4" bestFit="1" customWidth="1"/>
    <col min="5378" max="5378" width="4.5703125" style="4" bestFit="1" customWidth="1"/>
    <col min="5379" max="5379" width="22.140625" style="4" bestFit="1" customWidth="1"/>
    <col min="5380" max="5380" width="24.140625" style="4" bestFit="1" customWidth="1"/>
    <col min="5381" max="5381" width="10.7109375" style="4" bestFit="1" customWidth="1"/>
    <col min="5382" max="5382" width="20" style="4" bestFit="1" customWidth="1"/>
    <col min="5383" max="5383" width="11.85546875" style="4" bestFit="1" customWidth="1"/>
    <col min="5384" max="5384" width="10.42578125" style="4" bestFit="1" customWidth="1"/>
    <col min="5385" max="5385" width="42.28515625" style="4" bestFit="1" customWidth="1"/>
    <col min="5386" max="5386" width="13.5703125" style="4" bestFit="1" customWidth="1"/>
    <col min="5387" max="5387" width="7.7109375" style="4" bestFit="1" customWidth="1"/>
    <col min="5388" max="5388" width="10.7109375" style="4" bestFit="1" customWidth="1"/>
    <col min="5389" max="5389" width="9.28515625" style="4" bestFit="1" customWidth="1"/>
    <col min="5390" max="5390" width="8.7109375" style="4" bestFit="1" customWidth="1"/>
    <col min="5391" max="5629" width="9.140625" style="4"/>
    <col min="5630" max="5630" width="4.42578125" style="4" bestFit="1" customWidth="1"/>
    <col min="5631" max="5631" width="13.85546875" style="4" bestFit="1" customWidth="1"/>
    <col min="5632" max="5632" width="11.28515625" style="4" bestFit="1" customWidth="1"/>
    <col min="5633" max="5633" width="14.5703125" style="4" bestFit="1" customWidth="1"/>
    <col min="5634" max="5634" width="4.5703125" style="4" bestFit="1" customWidth="1"/>
    <col min="5635" max="5635" width="22.140625" style="4" bestFit="1" customWidth="1"/>
    <col min="5636" max="5636" width="24.140625" style="4" bestFit="1" customWidth="1"/>
    <col min="5637" max="5637" width="10.7109375" style="4" bestFit="1" customWidth="1"/>
    <col min="5638" max="5638" width="20" style="4" bestFit="1" customWidth="1"/>
    <col min="5639" max="5639" width="11.85546875" style="4" bestFit="1" customWidth="1"/>
    <col min="5640" max="5640" width="10.42578125" style="4" bestFit="1" customWidth="1"/>
    <col min="5641" max="5641" width="42.28515625" style="4" bestFit="1" customWidth="1"/>
    <col min="5642" max="5642" width="13.5703125" style="4" bestFit="1" customWidth="1"/>
    <col min="5643" max="5643" width="7.7109375" style="4" bestFit="1" customWidth="1"/>
    <col min="5644" max="5644" width="10.7109375" style="4" bestFit="1" customWidth="1"/>
    <col min="5645" max="5645" width="9.28515625" style="4" bestFit="1" customWidth="1"/>
    <col min="5646" max="5646" width="8.7109375" style="4" bestFit="1" customWidth="1"/>
    <col min="5647" max="5885" width="9.140625" style="4"/>
    <col min="5886" max="5886" width="4.42578125" style="4" bestFit="1" customWidth="1"/>
    <col min="5887" max="5887" width="13.85546875" style="4" bestFit="1" customWidth="1"/>
    <col min="5888" max="5888" width="11.28515625" style="4" bestFit="1" customWidth="1"/>
    <col min="5889" max="5889" width="14.5703125" style="4" bestFit="1" customWidth="1"/>
    <col min="5890" max="5890" width="4.5703125" style="4" bestFit="1" customWidth="1"/>
    <col min="5891" max="5891" width="22.140625" style="4" bestFit="1" customWidth="1"/>
    <col min="5892" max="5892" width="24.140625" style="4" bestFit="1" customWidth="1"/>
    <col min="5893" max="5893" width="10.7109375" style="4" bestFit="1" customWidth="1"/>
    <col min="5894" max="5894" width="20" style="4" bestFit="1" customWidth="1"/>
    <col min="5895" max="5895" width="11.85546875" style="4" bestFit="1" customWidth="1"/>
    <col min="5896" max="5896" width="10.42578125" style="4" bestFit="1" customWidth="1"/>
    <col min="5897" max="5897" width="42.28515625" style="4" bestFit="1" customWidth="1"/>
    <col min="5898" max="5898" width="13.5703125" style="4" bestFit="1" customWidth="1"/>
    <col min="5899" max="5899" width="7.7109375" style="4" bestFit="1" customWidth="1"/>
    <col min="5900" max="5900" width="10.7109375" style="4" bestFit="1" customWidth="1"/>
    <col min="5901" max="5901" width="9.28515625" style="4" bestFit="1" customWidth="1"/>
    <col min="5902" max="5902" width="8.7109375" style="4" bestFit="1" customWidth="1"/>
    <col min="5903" max="6141" width="9.140625" style="4"/>
    <col min="6142" max="6142" width="4.42578125" style="4" bestFit="1" customWidth="1"/>
    <col min="6143" max="6143" width="13.85546875" style="4" bestFit="1" customWidth="1"/>
    <col min="6144" max="6144" width="11.28515625" style="4" bestFit="1" customWidth="1"/>
    <col min="6145" max="6145" width="14.5703125" style="4" bestFit="1" customWidth="1"/>
    <col min="6146" max="6146" width="4.5703125" style="4" bestFit="1" customWidth="1"/>
    <col min="6147" max="6147" width="22.140625" style="4" bestFit="1" customWidth="1"/>
    <col min="6148" max="6148" width="24.140625" style="4" bestFit="1" customWidth="1"/>
    <col min="6149" max="6149" width="10.7109375" style="4" bestFit="1" customWidth="1"/>
    <col min="6150" max="6150" width="20" style="4" bestFit="1" customWidth="1"/>
    <col min="6151" max="6151" width="11.85546875" style="4" bestFit="1" customWidth="1"/>
    <col min="6152" max="6152" width="10.42578125" style="4" bestFit="1" customWidth="1"/>
    <col min="6153" max="6153" width="42.28515625" style="4" bestFit="1" customWidth="1"/>
    <col min="6154" max="6154" width="13.5703125" style="4" bestFit="1" customWidth="1"/>
    <col min="6155" max="6155" width="7.7109375" style="4" bestFit="1" customWidth="1"/>
    <col min="6156" max="6156" width="10.7109375" style="4" bestFit="1" customWidth="1"/>
    <col min="6157" max="6157" width="9.28515625" style="4" bestFit="1" customWidth="1"/>
    <col min="6158" max="6158" width="8.7109375" style="4" bestFit="1" customWidth="1"/>
    <col min="6159" max="6397" width="9.140625" style="4"/>
    <col min="6398" max="6398" width="4.42578125" style="4" bestFit="1" customWidth="1"/>
    <col min="6399" max="6399" width="13.85546875" style="4" bestFit="1" customWidth="1"/>
    <col min="6400" max="6400" width="11.28515625" style="4" bestFit="1" customWidth="1"/>
    <col min="6401" max="6401" width="14.5703125" style="4" bestFit="1" customWidth="1"/>
    <col min="6402" max="6402" width="4.5703125" style="4" bestFit="1" customWidth="1"/>
    <col min="6403" max="6403" width="22.140625" style="4" bestFit="1" customWidth="1"/>
    <col min="6404" max="6404" width="24.140625" style="4" bestFit="1" customWidth="1"/>
    <col min="6405" max="6405" width="10.7109375" style="4" bestFit="1" customWidth="1"/>
    <col min="6406" max="6406" width="20" style="4" bestFit="1" customWidth="1"/>
    <col min="6407" max="6407" width="11.85546875" style="4" bestFit="1" customWidth="1"/>
    <col min="6408" max="6408" width="10.42578125" style="4" bestFit="1" customWidth="1"/>
    <col min="6409" max="6409" width="42.28515625" style="4" bestFit="1" customWidth="1"/>
    <col min="6410" max="6410" width="13.5703125" style="4" bestFit="1" customWidth="1"/>
    <col min="6411" max="6411" width="7.7109375" style="4" bestFit="1" customWidth="1"/>
    <col min="6412" max="6412" width="10.7109375" style="4" bestFit="1" customWidth="1"/>
    <col min="6413" max="6413" width="9.28515625" style="4" bestFit="1" customWidth="1"/>
    <col min="6414" max="6414" width="8.7109375" style="4" bestFit="1" customWidth="1"/>
    <col min="6415" max="6653" width="9.140625" style="4"/>
    <col min="6654" max="6654" width="4.42578125" style="4" bestFit="1" customWidth="1"/>
    <col min="6655" max="6655" width="13.85546875" style="4" bestFit="1" customWidth="1"/>
    <col min="6656" max="6656" width="11.28515625" style="4" bestFit="1" customWidth="1"/>
    <col min="6657" max="6657" width="14.5703125" style="4" bestFit="1" customWidth="1"/>
    <col min="6658" max="6658" width="4.5703125" style="4" bestFit="1" customWidth="1"/>
    <col min="6659" max="6659" width="22.140625" style="4" bestFit="1" customWidth="1"/>
    <col min="6660" max="6660" width="24.140625" style="4" bestFit="1" customWidth="1"/>
    <col min="6661" max="6661" width="10.7109375" style="4" bestFit="1" customWidth="1"/>
    <col min="6662" max="6662" width="20" style="4" bestFit="1" customWidth="1"/>
    <col min="6663" max="6663" width="11.85546875" style="4" bestFit="1" customWidth="1"/>
    <col min="6664" max="6664" width="10.42578125" style="4" bestFit="1" customWidth="1"/>
    <col min="6665" max="6665" width="42.28515625" style="4" bestFit="1" customWidth="1"/>
    <col min="6666" max="6666" width="13.5703125" style="4" bestFit="1" customWidth="1"/>
    <col min="6667" max="6667" width="7.7109375" style="4" bestFit="1" customWidth="1"/>
    <col min="6668" max="6668" width="10.7109375" style="4" bestFit="1" customWidth="1"/>
    <col min="6669" max="6669" width="9.28515625" style="4" bestFit="1" customWidth="1"/>
    <col min="6670" max="6670" width="8.7109375" style="4" bestFit="1" customWidth="1"/>
    <col min="6671" max="6909" width="9.140625" style="4"/>
    <col min="6910" max="6910" width="4.42578125" style="4" bestFit="1" customWidth="1"/>
    <col min="6911" max="6911" width="13.85546875" style="4" bestFit="1" customWidth="1"/>
    <col min="6912" max="6912" width="11.28515625" style="4" bestFit="1" customWidth="1"/>
    <col min="6913" max="6913" width="14.5703125" style="4" bestFit="1" customWidth="1"/>
    <col min="6914" max="6914" width="4.5703125" style="4" bestFit="1" customWidth="1"/>
    <col min="6915" max="6915" width="22.140625" style="4" bestFit="1" customWidth="1"/>
    <col min="6916" max="6916" width="24.140625" style="4" bestFit="1" customWidth="1"/>
    <col min="6917" max="6917" width="10.7109375" style="4" bestFit="1" customWidth="1"/>
    <col min="6918" max="6918" width="20" style="4" bestFit="1" customWidth="1"/>
    <col min="6919" max="6919" width="11.85546875" style="4" bestFit="1" customWidth="1"/>
    <col min="6920" max="6920" width="10.42578125" style="4" bestFit="1" customWidth="1"/>
    <col min="6921" max="6921" width="42.28515625" style="4" bestFit="1" customWidth="1"/>
    <col min="6922" max="6922" width="13.5703125" style="4" bestFit="1" customWidth="1"/>
    <col min="6923" max="6923" width="7.7109375" style="4" bestFit="1" customWidth="1"/>
    <col min="6924" max="6924" width="10.7109375" style="4" bestFit="1" customWidth="1"/>
    <col min="6925" max="6925" width="9.28515625" style="4" bestFit="1" customWidth="1"/>
    <col min="6926" max="6926" width="8.7109375" style="4" bestFit="1" customWidth="1"/>
    <col min="6927" max="7165" width="9.140625" style="4"/>
    <col min="7166" max="7166" width="4.42578125" style="4" bestFit="1" customWidth="1"/>
    <col min="7167" max="7167" width="13.85546875" style="4" bestFit="1" customWidth="1"/>
    <col min="7168" max="7168" width="11.28515625" style="4" bestFit="1" customWidth="1"/>
    <col min="7169" max="7169" width="14.5703125" style="4" bestFit="1" customWidth="1"/>
    <col min="7170" max="7170" width="4.5703125" style="4" bestFit="1" customWidth="1"/>
    <col min="7171" max="7171" width="22.140625" style="4" bestFit="1" customWidth="1"/>
    <col min="7172" max="7172" width="24.140625" style="4" bestFit="1" customWidth="1"/>
    <col min="7173" max="7173" width="10.7109375" style="4" bestFit="1" customWidth="1"/>
    <col min="7174" max="7174" width="20" style="4" bestFit="1" customWidth="1"/>
    <col min="7175" max="7175" width="11.85546875" style="4" bestFit="1" customWidth="1"/>
    <col min="7176" max="7176" width="10.42578125" style="4" bestFit="1" customWidth="1"/>
    <col min="7177" max="7177" width="42.28515625" style="4" bestFit="1" customWidth="1"/>
    <col min="7178" max="7178" width="13.5703125" style="4" bestFit="1" customWidth="1"/>
    <col min="7179" max="7179" width="7.7109375" style="4" bestFit="1" customWidth="1"/>
    <col min="7180" max="7180" width="10.7109375" style="4" bestFit="1" customWidth="1"/>
    <col min="7181" max="7181" width="9.28515625" style="4" bestFit="1" customWidth="1"/>
    <col min="7182" max="7182" width="8.7109375" style="4" bestFit="1" customWidth="1"/>
    <col min="7183" max="7421" width="9.140625" style="4"/>
    <col min="7422" max="7422" width="4.42578125" style="4" bestFit="1" customWidth="1"/>
    <col min="7423" max="7423" width="13.85546875" style="4" bestFit="1" customWidth="1"/>
    <col min="7424" max="7424" width="11.28515625" style="4" bestFit="1" customWidth="1"/>
    <col min="7425" max="7425" width="14.5703125" style="4" bestFit="1" customWidth="1"/>
    <col min="7426" max="7426" width="4.5703125" style="4" bestFit="1" customWidth="1"/>
    <col min="7427" max="7427" width="22.140625" style="4" bestFit="1" customWidth="1"/>
    <col min="7428" max="7428" width="24.140625" style="4" bestFit="1" customWidth="1"/>
    <col min="7429" max="7429" width="10.7109375" style="4" bestFit="1" customWidth="1"/>
    <col min="7430" max="7430" width="20" style="4" bestFit="1" customWidth="1"/>
    <col min="7431" max="7431" width="11.85546875" style="4" bestFit="1" customWidth="1"/>
    <col min="7432" max="7432" width="10.42578125" style="4" bestFit="1" customWidth="1"/>
    <col min="7433" max="7433" width="42.28515625" style="4" bestFit="1" customWidth="1"/>
    <col min="7434" max="7434" width="13.5703125" style="4" bestFit="1" customWidth="1"/>
    <col min="7435" max="7435" width="7.7109375" style="4" bestFit="1" customWidth="1"/>
    <col min="7436" max="7436" width="10.7109375" style="4" bestFit="1" customWidth="1"/>
    <col min="7437" max="7437" width="9.28515625" style="4" bestFit="1" customWidth="1"/>
    <col min="7438" max="7438" width="8.7109375" style="4" bestFit="1" customWidth="1"/>
    <col min="7439" max="7677" width="9.140625" style="4"/>
    <col min="7678" max="7678" width="4.42578125" style="4" bestFit="1" customWidth="1"/>
    <col min="7679" max="7679" width="13.85546875" style="4" bestFit="1" customWidth="1"/>
    <col min="7680" max="7680" width="11.28515625" style="4" bestFit="1" customWidth="1"/>
    <col min="7681" max="7681" width="14.5703125" style="4" bestFit="1" customWidth="1"/>
    <col min="7682" max="7682" width="4.5703125" style="4" bestFit="1" customWidth="1"/>
    <col min="7683" max="7683" width="22.140625" style="4" bestFit="1" customWidth="1"/>
    <col min="7684" max="7684" width="24.140625" style="4" bestFit="1" customWidth="1"/>
    <col min="7685" max="7685" width="10.7109375" style="4" bestFit="1" customWidth="1"/>
    <col min="7686" max="7686" width="20" style="4" bestFit="1" customWidth="1"/>
    <col min="7687" max="7687" width="11.85546875" style="4" bestFit="1" customWidth="1"/>
    <col min="7688" max="7688" width="10.42578125" style="4" bestFit="1" customWidth="1"/>
    <col min="7689" max="7689" width="42.28515625" style="4" bestFit="1" customWidth="1"/>
    <col min="7690" max="7690" width="13.5703125" style="4" bestFit="1" customWidth="1"/>
    <col min="7691" max="7691" width="7.7109375" style="4" bestFit="1" customWidth="1"/>
    <col min="7692" max="7692" width="10.7109375" style="4" bestFit="1" customWidth="1"/>
    <col min="7693" max="7693" width="9.28515625" style="4" bestFit="1" customWidth="1"/>
    <col min="7694" max="7694" width="8.7109375" style="4" bestFit="1" customWidth="1"/>
    <col min="7695" max="7933" width="9.140625" style="4"/>
    <col min="7934" max="7934" width="4.42578125" style="4" bestFit="1" customWidth="1"/>
    <col min="7935" max="7935" width="13.85546875" style="4" bestFit="1" customWidth="1"/>
    <col min="7936" max="7936" width="11.28515625" style="4" bestFit="1" customWidth="1"/>
    <col min="7937" max="7937" width="14.5703125" style="4" bestFit="1" customWidth="1"/>
    <col min="7938" max="7938" width="4.5703125" style="4" bestFit="1" customWidth="1"/>
    <col min="7939" max="7939" width="22.140625" style="4" bestFit="1" customWidth="1"/>
    <col min="7940" max="7940" width="24.140625" style="4" bestFit="1" customWidth="1"/>
    <col min="7941" max="7941" width="10.7109375" style="4" bestFit="1" customWidth="1"/>
    <col min="7942" max="7942" width="20" style="4" bestFit="1" customWidth="1"/>
    <col min="7943" max="7943" width="11.85546875" style="4" bestFit="1" customWidth="1"/>
    <col min="7944" max="7944" width="10.42578125" style="4" bestFit="1" customWidth="1"/>
    <col min="7945" max="7945" width="42.28515625" style="4" bestFit="1" customWidth="1"/>
    <col min="7946" max="7946" width="13.5703125" style="4" bestFit="1" customWidth="1"/>
    <col min="7947" max="7947" width="7.7109375" style="4" bestFit="1" customWidth="1"/>
    <col min="7948" max="7948" width="10.7109375" style="4" bestFit="1" customWidth="1"/>
    <col min="7949" max="7949" width="9.28515625" style="4" bestFit="1" customWidth="1"/>
    <col min="7950" max="7950" width="8.7109375" style="4" bestFit="1" customWidth="1"/>
    <col min="7951" max="8189" width="9.140625" style="4"/>
    <col min="8190" max="8190" width="4.42578125" style="4" bestFit="1" customWidth="1"/>
    <col min="8191" max="8191" width="13.85546875" style="4" bestFit="1" customWidth="1"/>
    <col min="8192" max="8192" width="11.28515625" style="4" bestFit="1" customWidth="1"/>
    <col min="8193" max="8193" width="14.5703125" style="4" bestFit="1" customWidth="1"/>
    <col min="8194" max="8194" width="4.5703125" style="4" bestFit="1" customWidth="1"/>
    <col min="8195" max="8195" width="22.140625" style="4" bestFit="1" customWidth="1"/>
    <col min="8196" max="8196" width="24.140625" style="4" bestFit="1" customWidth="1"/>
    <col min="8197" max="8197" width="10.7109375" style="4" bestFit="1" customWidth="1"/>
    <col min="8198" max="8198" width="20" style="4" bestFit="1" customWidth="1"/>
    <col min="8199" max="8199" width="11.85546875" style="4" bestFit="1" customWidth="1"/>
    <col min="8200" max="8200" width="10.42578125" style="4" bestFit="1" customWidth="1"/>
    <col min="8201" max="8201" width="42.28515625" style="4" bestFit="1" customWidth="1"/>
    <col min="8202" max="8202" width="13.5703125" style="4" bestFit="1" customWidth="1"/>
    <col min="8203" max="8203" width="7.7109375" style="4" bestFit="1" customWidth="1"/>
    <col min="8204" max="8204" width="10.7109375" style="4" bestFit="1" customWidth="1"/>
    <col min="8205" max="8205" width="9.28515625" style="4" bestFit="1" customWidth="1"/>
    <col min="8206" max="8206" width="8.7109375" style="4" bestFit="1" customWidth="1"/>
    <col min="8207" max="8445" width="9.140625" style="4"/>
    <col min="8446" max="8446" width="4.42578125" style="4" bestFit="1" customWidth="1"/>
    <col min="8447" max="8447" width="13.85546875" style="4" bestFit="1" customWidth="1"/>
    <col min="8448" max="8448" width="11.28515625" style="4" bestFit="1" customWidth="1"/>
    <col min="8449" max="8449" width="14.5703125" style="4" bestFit="1" customWidth="1"/>
    <col min="8450" max="8450" width="4.5703125" style="4" bestFit="1" customWidth="1"/>
    <col min="8451" max="8451" width="22.140625" style="4" bestFit="1" customWidth="1"/>
    <col min="8452" max="8452" width="24.140625" style="4" bestFit="1" customWidth="1"/>
    <col min="8453" max="8453" width="10.7109375" style="4" bestFit="1" customWidth="1"/>
    <col min="8454" max="8454" width="20" style="4" bestFit="1" customWidth="1"/>
    <col min="8455" max="8455" width="11.85546875" style="4" bestFit="1" customWidth="1"/>
    <col min="8456" max="8456" width="10.42578125" style="4" bestFit="1" customWidth="1"/>
    <col min="8457" max="8457" width="42.28515625" style="4" bestFit="1" customWidth="1"/>
    <col min="8458" max="8458" width="13.5703125" style="4" bestFit="1" customWidth="1"/>
    <col min="8459" max="8459" width="7.7109375" style="4" bestFit="1" customWidth="1"/>
    <col min="8460" max="8460" width="10.7109375" style="4" bestFit="1" customWidth="1"/>
    <col min="8461" max="8461" width="9.28515625" style="4" bestFit="1" customWidth="1"/>
    <col min="8462" max="8462" width="8.7109375" style="4" bestFit="1" customWidth="1"/>
    <col min="8463" max="8701" width="9.140625" style="4"/>
    <col min="8702" max="8702" width="4.42578125" style="4" bestFit="1" customWidth="1"/>
    <col min="8703" max="8703" width="13.85546875" style="4" bestFit="1" customWidth="1"/>
    <col min="8704" max="8704" width="11.28515625" style="4" bestFit="1" customWidth="1"/>
    <col min="8705" max="8705" width="14.5703125" style="4" bestFit="1" customWidth="1"/>
    <col min="8706" max="8706" width="4.5703125" style="4" bestFit="1" customWidth="1"/>
    <col min="8707" max="8707" width="22.140625" style="4" bestFit="1" customWidth="1"/>
    <col min="8708" max="8708" width="24.140625" style="4" bestFit="1" customWidth="1"/>
    <col min="8709" max="8709" width="10.7109375" style="4" bestFit="1" customWidth="1"/>
    <col min="8710" max="8710" width="20" style="4" bestFit="1" customWidth="1"/>
    <col min="8711" max="8711" width="11.85546875" style="4" bestFit="1" customWidth="1"/>
    <col min="8712" max="8712" width="10.42578125" style="4" bestFit="1" customWidth="1"/>
    <col min="8713" max="8713" width="42.28515625" style="4" bestFit="1" customWidth="1"/>
    <col min="8714" max="8714" width="13.5703125" style="4" bestFit="1" customWidth="1"/>
    <col min="8715" max="8715" width="7.7109375" style="4" bestFit="1" customWidth="1"/>
    <col min="8716" max="8716" width="10.7109375" style="4" bestFit="1" customWidth="1"/>
    <col min="8717" max="8717" width="9.28515625" style="4" bestFit="1" customWidth="1"/>
    <col min="8718" max="8718" width="8.7109375" style="4" bestFit="1" customWidth="1"/>
    <col min="8719" max="8957" width="9.140625" style="4"/>
    <col min="8958" max="8958" width="4.42578125" style="4" bestFit="1" customWidth="1"/>
    <col min="8959" max="8959" width="13.85546875" style="4" bestFit="1" customWidth="1"/>
    <col min="8960" max="8960" width="11.28515625" style="4" bestFit="1" customWidth="1"/>
    <col min="8961" max="8961" width="14.5703125" style="4" bestFit="1" customWidth="1"/>
    <col min="8962" max="8962" width="4.5703125" style="4" bestFit="1" customWidth="1"/>
    <col min="8963" max="8963" width="22.140625" style="4" bestFit="1" customWidth="1"/>
    <col min="8964" max="8964" width="24.140625" style="4" bestFit="1" customWidth="1"/>
    <col min="8965" max="8965" width="10.7109375" style="4" bestFit="1" customWidth="1"/>
    <col min="8966" max="8966" width="20" style="4" bestFit="1" customWidth="1"/>
    <col min="8967" max="8967" width="11.85546875" style="4" bestFit="1" customWidth="1"/>
    <col min="8968" max="8968" width="10.42578125" style="4" bestFit="1" customWidth="1"/>
    <col min="8969" max="8969" width="42.28515625" style="4" bestFit="1" customWidth="1"/>
    <col min="8970" max="8970" width="13.5703125" style="4" bestFit="1" customWidth="1"/>
    <col min="8971" max="8971" width="7.7109375" style="4" bestFit="1" customWidth="1"/>
    <col min="8972" max="8972" width="10.7109375" style="4" bestFit="1" customWidth="1"/>
    <col min="8973" max="8973" width="9.28515625" style="4" bestFit="1" customWidth="1"/>
    <col min="8974" max="8974" width="8.7109375" style="4" bestFit="1" customWidth="1"/>
    <col min="8975" max="9213" width="9.140625" style="4"/>
    <col min="9214" max="9214" width="4.42578125" style="4" bestFit="1" customWidth="1"/>
    <col min="9215" max="9215" width="13.85546875" style="4" bestFit="1" customWidth="1"/>
    <col min="9216" max="9216" width="11.28515625" style="4" bestFit="1" customWidth="1"/>
    <col min="9217" max="9217" width="14.5703125" style="4" bestFit="1" customWidth="1"/>
    <col min="9218" max="9218" width="4.5703125" style="4" bestFit="1" customWidth="1"/>
    <col min="9219" max="9219" width="22.140625" style="4" bestFit="1" customWidth="1"/>
    <col min="9220" max="9220" width="24.140625" style="4" bestFit="1" customWidth="1"/>
    <col min="9221" max="9221" width="10.7109375" style="4" bestFit="1" customWidth="1"/>
    <col min="9222" max="9222" width="20" style="4" bestFit="1" customWidth="1"/>
    <col min="9223" max="9223" width="11.85546875" style="4" bestFit="1" customWidth="1"/>
    <col min="9224" max="9224" width="10.42578125" style="4" bestFit="1" customWidth="1"/>
    <col min="9225" max="9225" width="42.28515625" style="4" bestFit="1" customWidth="1"/>
    <col min="9226" max="9226" width="13.5703125" style="4" bestFit="1" customWidth="1"/>
    <col min="9227" max="9227" width="7.7109375" style="4" bestFit="1" customWidth="1"/>
    <col min="9228" max="9228" width="10.7109375" style="4" bestFit="1" customWidth="1"/>
    <col min="9229" max="9229" width="9.28515625" style="4" bestFit="1" customWidth="1"/>
    <col min="9230" max="9230" width="8.7109375" style="4" bestFit="1" customWidth="1"/>
    <col min="9231" max="9469" width="9.140625" style="4"/>
    <col min="9470" max="9470" width="4.42578125" style="4" bestFit="1" customWidth="1"/>
    <col min="9471" max="9471" width="13.85546875" style="4" bestFit="1" customWidth="1"/>
    <col min="9472" max="9472" width="11.28515625" style="4" bestFit="1" customWidth="1"/>
    <col min="9473" max="9473" width="14.5703125" style="4" bestFit="1" customWidth="1"/>
    <col min="9474" max="9474" width="4.5703125" style="4" bestFit="1" customWidth="1"/>
    <col min="9475" max="9475" width="22.140625" style="4" bestFit="1" customWidth="1"/>
    <col min="9476" max="9476" width="24.140625" style="4" bestFit="1" customWidth="1"/>
    <col min="9477" max="9477" width="10.7109375" style="4" bestFit="1" customWidth="1"/>
    <col min="9478" max="9478" width="20" style="4" bestFit="1" customWidth="1"/>
    <col min="9479" max="9479" width="11.85546875" style="4" bestFit="1" customWidth="1"/>
    <col min="9480" max="9480" width="10.42578125" style="4" bestFit="1" customWidth="1"/>
    <col min="9481" max="9481" width="42.28515625" style="4" bestFit="1" customWidth="1"/>
    <col min="9482" max="9482" width="13.5703125" style="4" bestFit="1" customWidth="1"/>
    <col min="9483" max="9483" width="7.7109375" style="4" bestFit="1" customWidth="1"/>
    <col min="9484" max="9484" width="10.7109375" style="4" bestFit="1" customWidth="1"/>
    <col min="9485" max="9485" width="9.28515625" style="4" bestFit="1" customWidth="1"/>
    <col min="9486" max="9486" width="8.7109375" style="4" bestFit="1" customWidth="1"/>
    <col min="9487" max="9725" width="9.140625" style="4"/>
    <col min="9726" max="9726" width="4.42578125" style="4" bestFit="1" customWidth="1"/>
    <col min="9727" max="9727" width="13.85546875" style="4" bestFit="1" customWidth="1"/>
    <col min="9728" max="9728" width="11.28515625" style="4" bestFit="1" customWidth="1"/>
    <col min="9729" max="9729" width="14.5703125" style="4" bestFit="1" customWidth="1"/>
    <col min="9730" max="9730" width="4.5703125" style="4" bestFit="1" customWidth="1"/>
    <col min="9731" max="9731" width="22.140625" style="4" bestFit="1" customWidth="1"/>
    <col min="9732" max="9732" width="24.140625" style="4" bestFit="1" customWidth="1"/>
    <col min="9733" max="9733" width="10.7109375" style="4" bestFit="1" customWidth="1"/>
    <col min="9734" max="9734" width="20" style="4" bestFit="1" customWidth="1"/>
    <col min="9735" max="9735" width="11.85546875" style="4" bestFit="1" customWidth="1"/>
    <col min="9736" max="9736" width="10.42578125" style="4" bestFit="1" customWidth="1"/>
    <col min="9737" max="9737" width="42.28515625" style="4" bestFit="1" customWidth="1"/>
    <col min="9738" max="9738" width="13.5703125" style="4" bestFit="1" customWidth="1"/>
    <col min="9739" max="9739" width="7.7109375" style="4" bestFit="1" customWidth="1"/>
    <col min="9740" max="9740" width="10.7109375" style="4" bestFit="1" customWidth="1"/>
    <col min="9741" max="9741" width="9.28515625" style="4" bestFit="1" customWidth="1"/>
    <col min="9742" max="9742" width="8.7109375" style="4" bestFit="1" customWidth="1"/>
    <col min="9743" max="9981" width="9.140625" style="4"/>
    <col min="9982" max="9982" width="4.42578125" style="4" bestFit="1" customWidth="1"/>
    <col min="9983" max="9983" width="13.85546875" style="4" bestFit="1" customWidth="1"/>
    <col min="9984" max="9984" width="11.28515625" style="4" bestFit="1" customWidth="1"/>
    <col min="9985" max="9985" width="14.5703125" style="4" bestFit="1" customWidth="1"/>
    <col min="9986" max="9986" width="4.5703125" style="4" bestFit="1" customWidth="1"/>
    <col min="9987" max="9987" width="22.140625" style="4" bestFit="1" customWidth="1"/>
    <col min="9988" max="9988" width="24.140625" style="4" bestFit="1" customWidth="1"/>
    <col min="9989" max="9989" width="10.7109375" style="4" bestFit="1" customWidth="1"/>
    <col min="9990" max="9990" width="20" style="4" bestFit="1" customWidth="1"/>
    <col min="9991" max="9991" width="11.85546875" style="4" bestFit="1" customWidth="1"/>
    <col min="9992" max="9992" width="10.42578125" style="4" bestFit="1" customWidth="1"/>
    <col min="9993" max="9993" width="42.28515625" style="4" bestFit="1" customWidth="1"/>
    <col min="9994" max="9994" width="13.5703125" style="4" bestFit="1" customWidth="1"/>
    <col min="9995" max="9995" width="7.7109375" style="4" bestFit="1" customWidth="1"/>
    <col min="9996" max="9996" width="10.7109375" style="4" bestFit="1" customWidth="1"/>
    <col min="9997" max="9997" width="9.28515625" style="4" bestFit="1" customWidth="1"/>
    <col min="9998" max="9998" width="8.7109375" style="4" bestFit="1" customWidth="1"/>
    <col min="9999" max="10237" width="9.140625" style="4"/>
    <col min="10238" max="10238" width="4.42578125" style="4" bestFit="1" customWidth="1"/>
    <col min="10239" max="10239" width="13.85546875" style="4" bestFit="1" customWidth="1"/>
    <col min="10240" max="10240" width="11.28515625" style="4" bestFit="1" customWidth="1"/>
    <col min="10241" max="10241" width="14.5703125" style="4" bestFit="1" customWidth="1"/>
    <col min="10242" max="10242" width="4.5703125" style="4" bestFit="1" customWidth="1"/>
    <col min="10243" max="10243" width="22.140625" style="4" bestFit="1" customWidth="1"/>
    <col min="10244" max="10244" width="24.140625" style="4" bestFit="1" customWidth="1"/>
    <col min="10245" max="10245" width="10.7109375" style="4" bestFit="1" customWidth="1"/>
    <col min="10246" max="10246" width="20" style="4" bestFit="1" customWidth="1"/>
    <col min="10247" max="10247" width="11.85546875" style="4" bestFit="1" customWidth="1"/>
    <col min="10248" max="10248" width="10.42578125" style="4" bestFit="1" customWidth="1"/>
    <col min="10249" max="10249" width="42.28515625" style="4" bestFit="1" customWidth="1"/>
    <col min="10250" max="10250" width="13.5703125" style="4" bestFit="1" customWidth="1"/>
    <col min="10251" max="10251" width="7.7109375" style="4" bestFit="1" customWidth="1"/>
    <col min="10252" max="10252" width="10.7109375" style="4" bestFit="1" customWidth="1"/>
    <col min="10253" max="10253" width="9.28515625" style="4" bestFit="1" customWidth="1"/>
    <col min="10254" max="10254" width="8.7109375" style="4" bestFit="1" customWidth="1"/>
    <col min="10255" max="10493" width="9.140625" style="4"/>
    <col min="10494" max="10494" width="4.42578125" style="4" bestFit="1" customWidth="1"/>
    <col min="10495" max="10495" width="13.85546875" style="4" bestFit="1" customWidth="1"/>
    <col min="10496" max="10496" width="11.28515625" style="4" bestFit="1" customWidth="1"/>
    <col min="10497" max="10497" width="14.5703125" style="4" bestFit="1" customWidth="1"/>
    <col min="10498" max="10498" width="4.5703125" style="4" bestFit="1" customWidth="1"/>
    <col min="10499" max="10499" width="22.140625" style="4" bestFit="1" customWidth="1"/>
    <col min="10500" max="10500" width="24.140625" style="4" bestFit="1" customWidth="1"/>
    <col min="10501" max="10501" width="10.7109375" style="4" bestFit="1" customWidth="1"/>
    <col min="10502" max="10502" width="20" style="4" bestFit="1" customWidth="1"/>
    <col min="10503" max="10503" width="11.85546875" style="4" bestFit="1" customWidth="1"/>
    <col min="10504" max="10504" width="10.42578125" style="4" bestFit="1" customWidth="1"/>
    <col min="10505" max="10505" width="42.28515625" style="4" bestFit="1" customWidth="1"/>
    <col min="10506" max="10506" width="13.5703125" style="4" bestFit="1" customWidth="1"/>
    <col min="10507" max="10507" width="7.7109375" style="4" bestFit="1" customWidth="1"/>
    <col min="10508" max="10508" width="10.7109375" style="4" bestFit="1" customWidth="1"/>
    <col min="10509" max="10509" width="9.28515625" style="4" bestFit="1" customWidth="1"/>
    <col min="10510" max="10510" width="8.7109375" style="4" bestFit="1" customWidth="1"/>
    <col min="10511" max="10749" width="9.140625" style="4"/>
    <col min="10750" max="10750" width="4.42578125" style="4" bestFit="1" customWidth="1"/>
    <col min="10751" max="10751" width="13.85546875" style="4" bestFit="1" customWidth="1"/>
    <col min="10752" max="10752" width="11.28515625" style="4" bestFit="1" customWidth="1"/>
    <col min="10753" max="10753" width="14.5703125" style="4" bestFit="1" customWidth="1"/>
    <col min="10754" max="10754" width="4.5703125" style="4" bestFit="1" customWidth="1"/>
    <col min="10755" max="10755" width="22.140625" style="4" bestFit="1" customWidth="1"/>
    <col min="10756" max="10756" width="24.140625" style="4" bestFit="1" customWidth="1"/>
    <col min="10757" max="10757" width="10.7109375" style="4" bestFit="1" customWidth="1"/>
    <col min="10758" max="10758" width="20" style="4" bestFit="1" customWidth="1"/>
    <col min="10759" max="10759" width="11.85546875" style="4" bestFit="1" customWidth="1"/>
    <col min="10760" max="10760" width="10.42578125" style="4" bestFit="1" customWidth="1"/>
    <col min="10761" max="10761" width="42.28515625" style="4" bestFit="1" customWidth="1"/>
    <col min="10762" max="10762" width="13.5703125" style="4" bestFit="1" customWidth="1"/>
    <col min="10763" max="10763" width="7.7109375" style="4" bestFit="1" customWidth="1"/>
    <col min="10764" max="10764" width="10.7109375" style="4" bestFit="1" customWidth="1"/>
    <col min="10765" max="10765" width="9.28515625" style="4" bestFit="1" customWidth="1"/>
    <col min="10766" max="10766" width="8.7109375" style="4" bestFit="1" customWidth="1"/>
    <col min="10767" max="11005" width="9.140625" style="4"/>
    <col min="11006" max="11006" width="4.42578125" style="4" bestFit="1" customWidth="1"/>
    <col min="11007" max="11007" width="13.85546875" style="4" bestFit="1" customWidth="1"/>
    <col min="11008" max="11008" width="11.28515625" style="4" bestFit="1" customWidth="1"/>
    <col min="11009" max="11009" width="14.5703125" style="4" bestFit="1" customWidth="1"/>
    <col min="11010" max="11010" width="4.5703125" style="4" bestFit="1" customWidth="1"/>
    <col min="11011" max="11011" width="22.140625" style="4" bestFit="1" customWidth="1"/>
    <col min="11012" max="11012" width="24.140625" style="4" bestFit="1" customWidth="1"/>
    <col min="11013" max="11013" width="10.7109375" style="4" bestFit="1" customWidth="1"/>
    <col min="11014" max="11014" width="20" style="4" bestFit="1" customWidth="1"/>
    <col min="11015" max="11015" width="11.85546875" style="4" bestFit="1" customWidth="1"/>
    <col min="11016" max="11016" width="10.42578125" style="4" bestFit="1" customWidth="1"/>
    <col min="11017" max="11017" width="42.28515625" style="4" bestFit="1" customWidth="1"/>
    <col min="11018" max="11018" width="13.5703125" style="4" bestFit="1" customWidth="1"/>
    <col min="11019" max="11019" width="7.7109375" style="4" bestFit="1" customWidth="1"/>
    <col min="11020" max="11020" width="10.7109375" style="4" bestFit="1" customWidth="1"/>
    <col min="11021" max="11021" width="9.28515625" style="4" bestFit="1" customWidth="1"/>
    <col min="11022" max="11022" width="8.7109375" style="4" bestFit="1" customWidth="1"/>
    <col min="11023" max="11261" width="9.140625" style="4"/>
    <col min="11262" max="11262" width="4.42578125" style="4" bestFit="1" customWidth="1"/>
    <col min="11263" max="11263" width="13.85546875" style="4" bestFit="1" customWidth="1"/>
    <col min="11264" max="11264" width="11.28515625" style="4" bestFit="1" customWidth="1"/>
    <col min="11265" max="11265" width="14.5703125" style="4" bestFit="1" customWidth="1"/>
    <col min="11266" max="11266" width="4.5703125" style="4" bestFit="1" customWidth="1"/>
    <col min="11267" max="11267" width="22.140625" style="4" bestFit="1" customWidth="1"/>
    <col min="11268" max="11268" width="24.140625" style="4" bestFit="1" customWidth="1"/>
    <col min="11269" max="11269" width="10.7109375" style="4" bestFit="1" customWidth="1"/>
    <col min="11270" max="11270" width="20" style="4" bestFit="1" customWidth="1"/>
    <col min="11271" max="11271" width="11.85546875" style="4" bestFit="1" customWidth="1"/>
    <col min="11272" max="11272" width="10.42578125" style="4" bestFit="1" customWidth="1"/>
    <col min="11273" max="11273" width="42.28515625" style="4" bestFit="1" customWidth="1"/>
    <col min="11274" max="11274" width="13.5703125" style="4" bestFit="1" customWidth="1"/>
    <col min="11275" max="11275" width="7.7109375" style="4" bestFit="1" customWidth="1"/>
    <col min="11276" max="11276" width="10.7109375" style="4" bestFit="1" customWidth="1"/>
    <col min="11277" max="11277" width="9.28515625" style="4" bestFit="1" customWidth="1"/>
    <col min="11278" max="11278" width="8.7109375" style="4" bestFit="1" customWidth="1"/>
    <col min="11279" max="11517" width="9.140625" style="4"/>
    <col min="11518" max="11518" width="4.42578125" style="4" bestFit="1" customWidth="1"/>
    <col min="11519" max="11519" width="13.85546875" style="4" bestFit="1" customWidth="1"/>
    <col min="11520" max="11520" width="11.28515625" style="4" bestFit="1" customWidth="1"/>
    <col min="11521" max="11521" width="14.5703125" style="4" bestFit="1" customWidth="1"/>
    <col min="11522" max="11522" width="4.5703125" style="4" bestFit="1" customWidth="1"/>
    <col min="11523" max="11523" width="22.140625" style="4" bestFit="1" customWidth="1"/>
    <col min="11524" max="11524" width="24.140625" style="4" bestFit="1" customWidth="1"/>
    <col min="11525" max="11525" width="10.7109375" style="4" bestFit="1" customWidth="1"/>
    <col min="11526" max="11526" width="20" style="4" bestFit="1" customWidth="1"/>
    <col min="11527" max="11527" width="11.85546875" style="4" bestFit="1" customWidth="1"/>
    <col min="11528" max="11528" width="10.42578125" style="4" bestFit="1" customWidth="1"/>
    <col min="11529" max="11529" width="42.28515625" style="4" bestFit="1" customWidth="1"/>
    <col min="11530" max="11530" width="13.5703125" style="4" bestFit="1" customWidth="1"/>
    <col min="11531" max="11531" width="7.7109375" style="4" bestFit="1" customWidth="1"/>
    <col min="11532" max="11532" width="10.7109375" style="4" bestFit="1" customWidth="1"/>
    <col min="11533" max="11533" width="9.28515625" style="4" bestFit="1" customWidth="1"/>
    <col min="11534" max="11534" width="8.7109375" style="4" bestFit="1" customWidth="1"/>
    <col min="11535" max="11773" width="9.140625" style="4"/>
    <col min="11774" max="11774" width="4.42578125" style="4" bestFit="1" customWidth="1"/>
    <col min="11775" max="11775" width="13.85546875" style="4" bestFit="1" customWidth="1"/>
    <col min="11776" max="11776" width="11.28515625" style="4" bestFit="1" customWidth="1"/>
    <col min="11777" max="11777" width="14.5703125" style="4" bestFit="1" customWidth="1"/>
    <col min="11778" max="11778" width="4.5703125" style="4" bestFit="1" customWidth="1"/>
    <col min="11779" max="11779" width="22.140625" style="4" bestFit="1" customWidth="1"/>
    <col min="11780" max="11780" width="24.140625" style="4" bestFit="1" customWidth="1"/>
    <col min="11781" max="11781" width="10.7109375" style="4" bestFit="1" customWidth="1"/>
    <col min="11782" max="11782" width="20" style="4" bestFit="1" customWidth="1"/>
    <col min="11783" max="11783" width="11.85546875" style="4" bestFit="1" customWidth="1"/>
    <col min="11784" max="11784" width="10.42578125" style="4" bestFit="1" customWidth="1"/>
    <col min="11785" max="11785" width="42.28515625" style="4" bestFit="1" customWidth="1"/>
    <col min="11786" max="11786" width="13.5703125" style="4" bestFit="1" customWidth="1"/>
    <col min="11787" max="11787" width="7.7109375" style="4" bestFit="1" customWidth="1"/>
    <col min="11788" max="11788" width="10.7109375" style="4" bestFit="1" customWidth="1"/>
    <col min="11789" max="11789" width="9.28515625" style="4" bestFit="1" customWidth="1"/>
    <col min="11790" max="11790" width="8.7109375" style="4" bestFit="1" customWidth="1"/>
    <col min="11791" max="12029" width="9.140625" style="4"/>
    <col min="12030" max="12030" width="4.42578125" style="4" bestFit="1" customWidth="1"/>
    <col min="12031" max="12031" width="13.85546875" style="4" bestFit="1" customWidth="1"/>
    <col min="12032" max="12032" width="11.28515625" style="4" bestFit="1" customWidth="1"/>
    <col min="12033" max="12033" width="14.5703125" style="4" bestFit="1" customWidth="1"/>
    <col min="12034" max="12034" width="4.5703125" style="4" bestFit="1" customWidth="1"/>
    <col min="12035" max="12035" width="22.140625" style="4" bestFit="1" customWidth="1"/>
    <col min="12036" max="12036" width="24.140625" style="4" bestFit="1" customWidth="1"/>
    <col min="12037" max="12037" width="10.7109375" style="4" bestFit="1" customWidth="1"/>
    <col min="12038" max="12038" width="20" style="4" bestFit="1" customWidth="1"/>
    <col min="12039" max="12039" width="11.85546875" style="4" bestFit="1" customWidth="1"/>
    <col min="12040" max="12040" width="10.42578125" style="4" bestFit="1" customWidth="1"/>
    <col min="12041" max="12041" width="42.28515625" style="4" bestFit="1" customWidth="1"/>
    <col min="12042" max="12042" width="13.5703125" style="4" bestFit="1" customWidth="1"/>
    <col min="12043" max="12043" width="7.7109375" style="4" bestFit="1" customWidth="1"/>
    <col min="12044" max="12044" width="10.7109375" style="4" bestFit="1" customWidth="1"/>
    <col min="12045" max="12045" width="9.28515625" style="4" bestFit="1" customWidth="1"/>
    <col min="12046" max="12046" width="8.7109375" style="4" bestFit="1" customWidth="1"/>
    <col min="12047" max="12285" width="9.140625" style="4"/>
    <col min="12286" max="12286" width="4.42578125" style="4" bestFit="1" customWidth="1"/>
    <col min="12287" max="12287" width="13.85546875" style="4" bestFit="1" customWidth="1"/>
    <col min="12288" max="12288" width="11.28515625" style="4" bestFit="1" customWidth="1"/>
    <col min="12289" max="12289" width="14.5703125" style="4" bestFit="1" customWidth="1"/>
    <col min="12290" max="12290" width="4.5703125" style="4" bestFit="1" customWidth="1"/>
    <col min="12291" max="12291" width="22.140625" style="4" bestFit="1" customWidth="1"/>
    <col min="12292" max="12292" width="24.140625" style="4" bestFit="1" customWidth="1"/>
    <col min="12293" max="12293" width="10.7109375" style="4" bestFit="1" customWidth="1"/>
    <col min="12294" max="12294" width="20" style="4" bestFit="1" customWidth="1"/>
    <col min="12295" max="12295" width="11.85546875" style="4" bestFit="1" customWidth="1"/>
    <col min="12296" max="12296" width="10.42578125" style="4" bestFit="1" customWidth="1"/>
    <col min="12297" max="12297" width="42.28515625" style="4" bestFit="1" customWidth="1"/>
    <col min="12298" max="12298" width="13.5703125" style="4" bestFit="1" customWidth="1"/>
    <col min="12299" max="12299" width="7.7109375" style="4" bestFit="1" customWidth="1"/>
    <col min="12300" max="12300" width="10.7109375" style="4" bestFit="1" customWidth="1"/>
    <col min="12301" max="12301" width="9.28515625" style="4" bestFit="1" customWidth="1"/>
    <col min="12302" max="12302" width="8.7109375" style="4" bestFit="1" customWidth="1"/>
    <col min="12303" max="12541" width="9.140625" style="4"/>
    <col min="12542" max="12542" width="4.42578125" style="4" bestFit="1" customWidth="1"/>
    <col min="12543" max="12543" width="13.85546875" style="4" bestFit="1" customWidth="1"/>
    <col min="12544" max="12544" width="11.28515625" style="4" bestFit="1" customWidth="1"/>
    <col min="12545" max="12545" width="14.5703125" style="4" bestFit="1" customWidth="1"/>
    <col min="12546" max="12546" width="4.5703125" style="4" bestFit="1" customWidth="1"/>
    <col min="12547" max="12547" width="22.140625" style="4" bestFit="1" customWidth="1"/>
    <col min="12548" max="12548" width="24.140625" style="4" bestFit="1" customWidth="1"/>
    <col min="12549" max="12549" width="10.7109375" style="4" bestFit="1" customWidth="1"/>
    <col min="12550" max="12550" width="20" style="4" bestFit="1" customWidth="1"/>
    <col min="12551" max="12551" width="11.85546875" style="4" bestFit="1" customWidth="1"/>
    <col min="12552" max="12552" width="10.42578125" style="4" bestFit="1" customWidth="1"/>
    <col min="12553" max="12553" width="42.28515625" style="4" bestFit="1" customWidth="1"/>
    <col min="12554" max="12554" width="13.5703125" style="4" bestFit="1" customWidth="1"/>
    <col min="12555" max="12555" width="7.7109375" style="4" bestFit="1" customWidth="1"/>
    <col min="12556" max="12556" width="10.7109375" style="4" bestFit="1" customWidth="1"/>
    <col min="12557" max="12557" width="9.28515625" style="4" bestFit="1" customWidth="1"/>
    <col min="12558" max="12558" width="8.7109375" style="4" bestFit="1" customWidth="1"/>
    <col min="12559" max="12797" width="9.140625" style="4"/>
    <col min="12798" max="12798" width="4.42578125" style="4" bestFit="1" customWidth="1"/>
    <col min="12799" max="12799" width="13.85546875" style="4" bestFit="1" customWidth="1"/>
    <col min="12800" max="12800" width="11.28515625" style="4" bestFit="1" customWidth="1"/>
    <col min="12801" max="12801" width="14.5703125" style="4" bestFit="1" customWidth="1"/>
    <col min="12802" max="12802" width="4.5703125" style="4" bestFit="1" customWidth="1"/>
    <col min="12803" max="12803" width="22.140625" style="4" bestFit="1" customWidth="1"/>
    <col min="12804" max="12804" width="24.140625" style="4" bestFit="1" customWidth="1"/>
    <col min="12805" max="12805" width="10.7109375" style="4" bestFit="1" customWidth="1"/>
    <col min="12806" max="12806" width="20" style="4" bestFit="1" customWidth="1"/>
    <col min="12807" max="12807" width="11.85546875" style="4" bestFit="1" customWidth="1"/>
    <col min="12808" max="12808" width="10.42578125" style="4" bestFit="1" customWidth="1"/>
    <col min="12809" max="12809" width="42.28515625" style="4" bestFit="1" customWidth="1"/>
    <col min="12810" max="12810" width="13.5703125" style="4" bestFit="1" customWidth="1"/>
    <col min="12811" max="12811" width="7.7109375" style="4" bestFit="1" customWidth="1"/>
    <col min="12812" max="12812" width="10.7109375" style="4" bestFit="1" customWidth="1"/>
    <col min="12813" max="12813" width="9.28515625" style="4" bestFit="1" customWidth="1"/>
    <col min="12814" max="12814" width="8.7109375" style="4" bestFit="1" customWidth="1"/>
    <col min="12815" max="13053" width="9.140625" style="4"/>
    <col min="13054" max="13054" width="4.42578125" style="4" bestFit="1" customWidth="1"/>
    <col min="13055" max="13055" width="13.85546875" style="4" bestFit="1" customWidth="1"/>
    <col min="13056" max="13056" width="11.28515625" style="4" bestFit="1" customWidth="1"/>
    <col min="13057" max="13057" width="14.5703125" style="4" bestFit="1" customWidth="1"/>
    <col min="13058" max="13058" width="4.5703125" style="4" bestFit="1" customWidth="1"/>
    <col min="13059" max="13059" width="22.140625" style="4" bestFit="1" customWidth="1"/>
    <col min="13060" max="13060" width="24.140625" style="4" bestFit="1" customWidth="1"/>
    <col min="13061" max="13061" width="10.7109375" style="4" bestFit="1" customWidth="1"/>
    <col min="13062" max="13062" width="20" style="4" bestFit="1" customWidth="1"/>
    <col min="13063" max="13063" width="11.85546875" style="4" bestFit="1" customWidth="1"/>
    <col min="13064" max="13064" width="10.42578125" style="4" bestFit="1" customWidth="1"/>
    <col min="13065" max="13065" width="42.28515625" style="4" bestFit="1" customWidth="1"/>
    <col min="13066" max="13066" width="13.5703125" style="4" bestFit="1" customWidth="1"/>
    <col min="13067" max="13067" width="7.7109375" style="4" bestFit="1" customWidth="1"/>
    <col min="13068" max="13068" width="10.7109375" style="4" bestFit="1" customWidth="1"/>
    <col min="13069" max="13069" width="9.28515625" style="4" bestFit="1" customWidth="1"/>
    <col min="13070" max="13070" width="8.7109375" style="4" bestFit="1" customWidth="1"/>
    <col min="13071" max="13309" width="9.140625" style="4"/>
    <col min="13310" max="13310" width="4.42578125" style="4" bestFit="1" customWidth="1"/>
    <col min="13311" max="13311" width="13.85546875" style="4" bestFit="1" customWidth="1"/>
    <col min="13312" max="13312" width="11.28515625" style="4" bestFit="1" customWidth="1"/>
    <col min="13313" max="13313" width="14.5703125" style="4" bestFit="1" customWidth="1"/>
    <col min="13314" max="13314" width="4.5703125" style="4" bestFit="1" customWidth="1"/>
    <col min="13315" max="13315" width="22.140625" style="4" bestFit="1" customWidth="1"/>
    <col min="13316" max="13316" width="24.140625" style="4" bestFit="1" customWidth="1"/>
    <col min="13317" max="13317" width="10.7109375" style="4" bestFit="1" customWidth="1"/>
    <col min="13318" max="13318" width="20" style="4" bestFit="1" customWidth="1"/>
    <col min="13319" max="13319" width="11.85546875" style="4" bestFit="1" customWidth="1"/>
    <col min="13320" max="13320" width="10.42578125" style="4" bestFit="1" customWidth="1"/>
    <col min="13321" max="13321" width="42.28515625" style="4" bestFit="1" customWidth="1"/>
    <col min="13322" max="13322" width="13.5703125" style="4" bestFit="1" customWidth="1"/>
    <col min="13323" max="13323" width="7.7109375" style="4" bestFit="1" customWidth="1"/>
    <col min="13324" max="13324" width="10.7109375" style="4" bestFit="1" customWidth="1"/>
    <col min="13325" max="13325" width="9.28515625" style="4" bestFit="1" customWidth="1"/>
    <col min="13326" max="13326" width="8.7109375" style="4" bestFit="1" customWidth="1"/>
    <col min="13327" max="13565" width="9.140625" style="4"/>
    <col min="13566" max="13566" width="4.42578125" style="4" bestFit="1" customWidth="1"/>
    <col min="13567" max="13567" width="13.85546875" style="4" bestFit="1" customWidth="1"/>
    <col min="13568" max="13568" width="11.28515625" style="4" bestFit="1" customWidth="1"/>
    <col min="13569" max="13569" width="14.5703125" style="4" bestFit="1" customWidth="1"/>
    <col min="13570" max="13570" width="4.5703125" style="4" bestFit="1" customWidth="1"/>
    <col min="13571" max="13571" width="22.140625" style="4" bestFit="1" customWidth="1"/>
    <col min="13572" max="13572" width="24.140625" style="4" bestFit="1" customWidth="1"/>
    <col min="13573" max="13573" width="10.7109375" style="4" bestFit="1" customWidth="1"/>
    <col min="13574" max="13574" width="20" style="4" bestFit="1" customWidth="1"/>
    <col min="13575" max="13575" width="11.85546875" style="4" bestFit="1" customWidth="1"/>
    <col min="13576" max="13576" width="10.42578125" style="4" bestFit="1" customWidth="1"/>
    <col min="13577" max="13577" width="42.28515625" style="4" bestFit="1" customWidth="1"/>
    <col min="13578" max="13578" width="13.5703125" style="4" bestFit="1" customWidth="1"/>
    <col min="13579" max="13579" width="7.7109375" style="4" bestFit="1" customWidth="1"/>
    <col min="13580" max="13580" width="10.7109375" style="4" bestFit="1" customWidth="1"/>
    <col min="13581" max="13581" width="9.28515625" style="4" bestFit="1" customWidth="1"/>
    <col min="13582" max="13582" width="8.7109375" style="4" bestFit="1" customWidth="1"/>
    <col min="13583" max="13821" width="9.140625" style="4"/>
    <col min="13822" max="13822" width="4.42578125" style="4" bestFit="1" customWidth="1"/>
    <col min="13823" max="13823" width="13.85546875" style="4" bestFit="1" customWidth="1"/>
    <col min="13824" max="13824" width="11.28515625" style="4" bestFit="1" customWidth="1"/>
    <col min="13825" max="13825" width="14.5703125" style="4" bestFit="1" customWidth="1"/>
    <col min="13826" max="13826" width="4.5703125" style="4" bestFit="1" customWidth="1"/>
    <col min="13827" max="13827" width="22.140625" style="4" bestFit="1" customWidth="1"/>
    <col min="13828" max="13828" width="24.140625" style="4" bestFit="1" customWidth="1"/>
    <col min="13829" max="13829" width="10.7109375" style="4" bestFit="1" customWidth="1"/>
    <col min="13830" max="13830" width="20" style="4" bestFit="1" customWidth="1"/>
    <col min="13831" max="13831" width="11.85546875" style="4" bestFit="1" customWidth="1"/>
    <col min="13832" max="13832" width="10.42578125" style="4" bestFit="1" customWidth="1"/>
    <col min="13833" max="13833" width="42.28515625" style="4" bestFit="1" customWidth="1"/>
    <col min="13834" max="13834" width="13.5703125" style="4" bestFit="1" customWidth="1"/>
    <col min="13835" max="13835" width="7.7109375" style="4" bestFit="1" customWidth="1"/>
    <col min="13836" max="13836" width="10.7109375" style="4" bestFit="1" customWidth="1"/>
    <col min="13837" max="13837" width="9.28515625" style="4" bestFit="1" customWidth="1"/>
    <col min="13838" max="13838" width="8.7109375" style="4" bestFit="1" customWidth="1"/>
    <col min="13839" max="14077" width="9.140625" style="4"/>
    <col min="14078" max="14078" width="4.42578125" style="4" bestFit="1" customWidth="1"/>
    <col min="14079" max="14079" width="13.85546875" style="4" bestFit="1" customWidth="1"/>
    <col min="14080" max="14080" width="11.28515625" style="4" bestFit="1" customWidth="1"/>
    <col min="14081" max="14081" width="14.5703125" style="4" bestFit="1" customWidth="1"/>
    <col min="14082" max="14082" width="4.5703125" style="4" bestFit="1" customWidth="1"/>
    <col min="14083" max="14083" width="22.140625" style="4" bestFit="1" customWidth="1"/>
    <col min="14084" max="14084" width="24.140625" style="4" bestFit="1" customWidth="1"/>
    <col min="14085" max="14085" width="10.7109375" style="4" bestFit="1" customWidth="1"/>
    <col min="14086" max="14086" width="20" style="4" bestFit="1" customWidth="1"/>
    <col min="14087" max="14087" width="11.85546875" style="4" bestFit="1" customWidth="1"/>
    <col min="14088" max="14088" width="10.42578125" style="4" bestFit="1" customWidth="1"/>
    <col min="14089" max="14089" width="42.28515625" style="4" bestFit="1" customWidth="1"/>
    <col min="14090" max="14090" width="13.5703125" style="4" bestFit="1" customWidth="1"/>
    <col min="14091" max="14091" width="7.7109375" style="4" bestFit="1" customWidth="1"/>
    <col min="14092" max="14092" width="10.7109375" style="4" bestFit="1" customWidth="1"/>
    <col min="14093" max="14093" width="9.28515625" style="4" bestFit="1" customWidth="1"/>
    <col min="14094" max="14094" width="8.7109375" style="4" bestFit="1" customWidth="1"/>
    <col min="14095" max="14333" width="9.140625" style="4"/>
    <col min="14334" max="14334" width="4.42578125" style="4" bestFit="1" customWidth="1"/>
    <col min="14335" max="14335" width="13.85546875" style="4" bestFit="1" customWidth="1"/>
    <col min="14336" max="14336" width="11.28515625" style="4" bestFit="1" customWidth="1"/>
    <col min="14337" max="14337" width="14.5703125" style="4" bestFit="1" customWidth="1"/>
    <col min="14338" max="14338" width="4.5703125" style="4" bestFit="1" customWidth="1"/>
    <col min="14339" max="14339" width="22.140625" style="4" bestFit="1" customWidth="1"/>
    <col min="14340" max="14340" width="24.140625" style="4" bestFit="1" customWidth="1"/>
    <col min="14341" max="14341" width="10.7109375" style="4" bestFit="1" customWidth="1"/>
    <col min="14342" max="14342" width="20" style="4" bestFit="1" customWidth="1"/>
    <col min="14343" max="14343" width="11.85546875" style="4" bestFit="1" customWidth="1"/>
    <col min="14344" max="14344" width="10.42578125" style="4" bestFit="1" customWidth="1"/>
    <col min="14345" max="14345" width="42.28515625" style="4" bestFit="1" customWidth="1"/>
    <col min="14346" max="14346" width="13.5703125" style="4" bestFit="1" customWidth="1"/>
    <col min="14347" max="14347" width="7.7109375" style="4" bestFit="1" customWidth="1"/>
    <col min="14348" max="14348" width="10.7109375" style="4" bestFit="1" customWidth="1"/>
    <col min="14349" max="14349" width="9.28515625" style="4" bestFit="1" customWidth="1"/>
    <col min="14350" max="14350" width="8.7109375" style="4" bestFit="1" customWidth="1"/>
    <col min="14351" max="14589" width="9.140625" style="4"/>
    <col min="14590" max="14590" width="4.42578125" style="4" bestFit="1" customWidth="1"/>
    <col min="14591" max="14591" width="13.85546875" style="4" bestFit="1" customWidth="1"/>
    <col min="14592" max="14592" width="11.28515625" style="4" bestFit="1" customWidth="1"/>
    <col min="14593" max="14593" width="14.5703125" style="4" bestFit="1" customWidth="1"/>
    <col min="14594" max="14594" width="4.5703125" style="4" bestFit="1" customWidth="1"/>
    <col min="14595" max="14595" width="22.140625" style="4" bestFit="1" customWidth="1"/>
    <col min="14596" max="14596" width="24.140625" style="4" bestFit="1" customWidth="1"/>
    <col min="14597" max="14597" width="10.7109375" style="4" bestFit="1" customWidth="1"/>
    <col min="14598" max="14598" width="20" style="4" bestFit="1" customWidth="1"/>
    <col min="14599" max="14599" width="11.85546875" style="4" bestFit="1" customWidth="1"/>
    <col min="14600" max="14600" width="10.42578125" style="4" bestFit="1" customWidth="1"/>
    <col min="14601" max="14601" width="42.28515625" style="4" bestFit="1" customWidth="1"/>
    <col min="14602" max="14602" width="13.5703125" style="4" bestFit="1" customWidth="1"/>
    <col min="14603" max="14603" width="7.7109375" style="4" bestFit="1" customWidth="1"/>
    <col min="14604" max="14604" width="10.7109375" style="4" bestFit="1" customWidth="1"/>
    <col min="14605" max="14605" width="9.28515625" style="4" bestFit="1" customWidth="1"/>
    <col min="14606" max="14606" width="8.7109375" style="4" bestFit="1" customWidth="1"/>
    <col min="14607" max="14845" width="9.140625" style="4"/>
    <col min="14846" max="14846" width="4.42578125" style="4" bestFit="1" customWidth="1"/>
    <col min="14847" max="14847" width="13.85546875" style="4" bestFit="1" customWidth="1"/>
    <col min="14848" max="14848" width="11.28515625" style="4" bestFit="1" customWidth="1"/>
    <col min="14849" max="14849" width="14.5703125" style="4" bestFit="1" customWidth="1"/>
    <col min="14850" max="14850" width="4.5703125" style="4" bestFit="1" customWidth="1"/>
    <col min="14851" max="14851" width="22.140625" style="4" bestFit="1" customWidth="1"/>
    <col min="14852" max="14852" width="24.140625" style="4" bestFit="1" customWidth="1"/>
    <col min="14853" max="14853" width="10.7109375" style="4" bestFit="1" customWidth="1"/>
    <col min="14854" max="14854" width="20" style="4" bestFit="1" customWidth="1"/>
    <col min="14855" max="14855" width="11.85546875" style="4" bestFit="1" customWidth="1"/>
    <col min="14856" max="14856" width="10.42578125" style="4" bestFit="1" customWidth="1"/>
    <col min="14857" max="14857" width="42.28515625" style="4" bestFit="1" customWidth="1"/>
    <col min="14858" max="14858" width="13.5703125" style="4" bestFit="1" customWidth="1"/>
    <col min="14859" max="14859" width="7.7109375" style="4" bestFit="1" customWidth="1"/>
    <col min="14860" max="14860" width="10.7109375" style="4" bestFit="1" customWidth="1"/>
    <col min="14861" max="14861" width="9.28515625" style="4" bestFit="1" customWidth="1"/>
    <col min="14862" max="14862" width="8.7109375" style="4" bestFit="1" customWidth="1"/>
    <col min="14863" max="15101" width="9.140625" style="4"/>
    <col min="15102" max="15102" width="4.42578125" style="4" bestFit="1" customWidth="1"/>
    <col min="15103" max="15103" width="13.85546875" style="4" bestFit="1" customWidth="1"/>
    <col min="15104" max="15104" width="11.28515625" style="4" bestFit="1" customWidth="1"/>
    <col min="15105" max="15105" width="14.5703125" style="4" bestFit="1" customWidth="1"/>
    <col min="15106" max="15106" width="4.5703125" style="4" bestFit="1" customWidth="1"/>
    <col min="15107" max="15107" width="22.140625" style="4" bestFit="1" customWidth="1"/>
    <col min="15108" max="15108" width="24.140625" style="4" bestFit="1" customWidth="1"/>
    <col min="15109" max="15109" width="10.7109375" style="4" bestFit="1" customWidth="1"/>
    <col min="15110" max="15110" width="20" style="4" bestFit="1" customWidth="1"/>
    <col min="15111" max="15111" width="11.85546875" style="4" bestFit="1" customWidth="1"/>
    <col min="15112" max="15112" width="10.42578125" style="4" bestFit="1" customWidth="1"/>
    <col min="15113" max="15113" width="42.28515625" style="4" bestFit="1" customWidth="1"/>
    <col min="15114" max="15114" width="13.5703125" style="4" bestFit="1" customWidth="1"/>
    <col min="15115" max="15115" width="7.7109375" style="4" bestFit="1" customWidth="1"/>
    <col min="15116" max="15116" width="10.7109375" style="4" bestFit="1" customWidth="1"/>
    <col min="15117" max="15117" width="9.28515625" style="4" bestFit="1" customWidth="1"/>
    <col min="15118" max="15118" width="8.7109375" style="4" bestFit="1" customWidth="1"/>
    <col min="15119" max="15357" width="9.140625" style="4"/>
    <col min="15358" max="15358" width="4.42578125" style="4" bestFit="1" customWidth="1"/>
    <col min="15359" max="15359" width="13.85546875" style="4" bestFit="1" customWidth="1"/>
    <col min="15360" max="15360" width="11.28515625" style="4" bestFit="1" customWidth="1"/>
    <col min="15361" max="15361" width="14.5703125" style="4" bestFit="1" customWidth="1"/>
    <col min="15362" max="15362" width="4.5703125" style="4" bestFit="1" customWidth="1"/>
    <col min="15363" max="15363" width="22.140625" style="4" bestFit="1" customWidth="1"/>
    <col min="15364" max="15364" width="24.140625" style="4" bestFit="1" customWidth="1"/>
    <col min="15365" max="15365" width="10.7109375" style="4" bestFit="1" customWidth="1"/>
    <col min="15366" max="15366" width="20" style="4" bestFit="1" customWidth="1"/>
    <col min="15367" max="15367" width="11.85546875" style="4" bestFit="1" customWidth="1"/>
    <col min="15368" max="15368" width="10.42578125" style="4" bestFit="1" customWidth="1"/>
    <col min="15369" max="15369" width="42.28515625" style="4" bestFit="1" customWidth="1"/>
    <col min="15370" max="15370" width="13.5703125" style="4" bestFit="1" customWidth="1"/>
    <col min="15371" max="15371" width="7.7109375" style="4" bestFit="1" customWidth="1"/>
    <col min="15372" max="15372" width="10.7109375" style="4" bestFit="1" customWidth="1"/>
    <col min="15373" max="15373" width="9.28515625" style="4" bestFit="1" customWidth="1"/>
    <col min="15374" max="15374" width="8.7109375" style="4" bestFit="1" customWidth="1"/>
    <col min="15375" max="15613" width="9.140625" style="4"/>
    <col min="15614" max="15614" width="4.42578125" style="4" bestFit="1" customWidth="1"/>
    <col min="15615" max="15615" width="13.85546875" style="4" bestFit="1" customWidth="1"/>
    <col min="15616" max="15616" width="11.28515625" style="4" bestFit="1" customWidth="1"/>
    <col min="15617" max="15617" width="14.5703125" style="4" bestFit="1" customWidth="1"/>
    <col min="15618" max="15618" width="4.5703125" style="4" bestFit="1" customWidth="1"/>
    <col min="15619" max="15619" width="22.140625" style="4" bestFit="1" customWidth="1"/>
    <col min="15620" max="15620" width="24.140625" style="4" bestFit="1" customWidth="1"/>
    <col min="15621" max="15621" width="10.7109375" style="4" bestFit="1" customWidth="1"/>
    <col min="15622" max="15622" width="20" style="4" bestFit="1" customWidth="1"/>
    <col min="15623" max="15623" width="11.85546875" style="4" bestFit="1" customWidth="1"/>
    <col min="15624" max="15624" width="10.42578125" style="4" bestFit="1" customWidth="1"/>
    <col min="15625" max="15625" width="42.28515625" style="4" bestFit="1" customWidth="1"/>
    <col min="15626" max="15626" width="13.5703125" style="4" bestFit="1" customWidth="1"/>
    <col min="15627" max="15627" width="7.7109375" style="4" bestFit="1" customWidth="1"/>
    <col min="15628" max="15628" width="10.7109375" style="4" bestFit="1" customWidth="1"/>
    <col min="15629" max="15629" width="9.28515625" style="4" bestFit="1" customWidth="1"/>
    <col min="15630" max="15630" width="8.7109375" style="4" bestFit="1" customWidth="1"/>
    <col min="15631" max="15869" width="9.140625" style="4"/>
    <col min="15870" max="15870" width="4.42578125" style="4" bestFit="1" customWidth="1"/>
    <col min="15871" max="15871" width="13.85546875" style="4" bestFit="1" customWidth="1"/>
    <col min="15872" max="15872" width="11.28515625" style="4" bestFit="1" customWidth="1"/>
    <col min="15873" max="15873" width="14.5703125" style="4" bestFit="1" customWidth="1"/>
    <col min="15874" max="15874" width="4.5703125" style="4" bestFit="1" customWidth="1"/>
    <col min="15875" max="15875" width="22.140625" style="4" bestFit="1" customWidth="1"/>
    <col min="15876" max="15876" width="24.140625" style="4" bestFit="1" customWidth="1"/>
    <col min="15877" max="15877" width="10.7109375" style="4" bestFit="1" customWidth="1"/>
    <col min="15878" max="15878" width="20" style="4" bestFit="1" customWidth="1"/>
    <col min="15879" max="15879" width="11.85546875" style="4" bestFit="1" customWidth="1"/>
    <col min="15880" max="15880" width="10.42578125" style="4" bestFit="1" customWidth="1"/>
    <col min="15881" max="15881" width="42.28515625" style="4" bestFit="1" customWidth="1"/>
    <col min="15882" max="15882" width="13.5703125" style="4" bestFit="1" customWidth="1"/>
    <col min="15883" max="15883" width="7.7109375" style="4" bestFit="1" customWidth="1"/>
    <col min="15884" max="15884" width="10.7109375" style="4" bestFit="1" customWidth="1"/>
    <col min="15885" max="15885" width="9.28515625" style="4" bestFit="1" customWidth="1"/>
    <col min="15886" max="15886" width="8.7109375" style="4" bestFit="1" customWidth="1"/>
    <col min="15887" max="16125" width="9.140625" style="4"/>
    <col min="16126" max="16126" width="4.42578125" style="4" bestFit="1" customWidth="1"/>
    <col min="16127" max="16127" width="13.85546875" style="4" bestFit="1" customWidth="1"/>
    <col min="16128" max="16128" width="11.28515625" style="4" bestFit="1" customWidth="1"/>
    <col min="16129" max="16129" width="14.5703125" style="4" bestFit="1" customWidth="1"/>
    <col min="16130" max="16130" width="4.5703125" style="4" bestFit="1" customWidth="1"/>
    <col min="16131" max="16131" width="22.140625" style="4" bestFit="1" customWidth="1"/>
    <col min="16132" max="16132" width="24.140625" style="4" bestFit="1" customWidth="1"/>
    <col min="16133" max="16133" width="10.7109375" style="4" bestFit="1" customWidth="1"/>
    <col min="16134" max="16134" width="20" style="4" bestFit="1" customWidth="1"/>
    <col min="16135" max="16135" width="11.85546875" style="4" bestFit="1" customWidth="1"/>
    <col min="16136" max="16136" width="10.42578125" style="4" bestFit="1" customWidth="1"/>
    <col min="16137" max="16137" width="42.28515625" style="4" bestFit="1" customWidth="1"/>
    <col min="16138" max="16138" width="13.5703125" style="4" bestFit="1" customWidth="1"/>
    <col min="16139" max="16139" width="7.7109375" style="4" bestFit="1" customWidth="1"/>
    <col min="16140" max="16140" width="10.7109375" style="4" bestFit="1" customWidth="1"/>
    <col min="16141" max="16141" width="9.28515625" style="4" bestFit="1" customWidth="1"/>
    <col min="16142" max="16142" width="8.7109375" style="4" bestFit="1" customWidth="1"/>
    <col min="16143" max="16384" width="9.140625" style="4"/>
  </cols>
  <sheetData>
    <row r="1" spans="1:14" ht="25.5" x14ac:dyDescent="0.2">
      <c r="A1" s="1" t="s">
        <v>1</v>
      </c>
      <c r="B1" s="1" t="s">
        <v>212</v>
      </c>
      <c r="C1" s="1" t="s">
        <v>213</v>
      </c>
      <c r="D1" s="1" t="s">
        <v>214</v>
      </c>
      <c r="E1" s="2" t="s">
        <v>2</v>
      </c>
      <c r="F1" s="2" t="s">
        <v>3</v>
      </c>
      <c r="G1" s="2" t="s">
        <v>4</v>
      </c>
      <c r="H1" s="15" t="s">
        <v>0</v>
      </c>
      <c r="I1" s="2" t="s">
        <v>5</v>
      </c>
      <c r="J1" s="2" t="s">
        <v>6</v>
      </c>
      <c r="K1" s="3" t="s">
        <v>7</v>
      </c>
      <c r="L1" s="1" t="s">
        <v>215</v>
      </c>
      <c r="M1" s="1" t="s">
        <v>216</v>
      </c>
      <c r="N1" s="1" t="s">
        <v>8</v>
      </c>
    </row>
    <row r="2" spans="1:14" ht="15" hidden="1" outlineLevel="2" x14ac:dyDescent="0.25">
      <c r="A2" s="10">
        <v>101</v>
      </c>
      <c r="B2" s="12" t="s">
        <v>68</v>
      </c>
      <c r="C2" s="12" t="s">
        <v>69</v>
      </c>
      <c r="D2" s="12" t="s">
        <v>70</v>
      </c>
      <c r="E2" s="10" t="s">
        <v>9</v>
      </c>
      <c r="F2" s="10" t="str">
        <f>LOOKUP(G2,Справочники!$B$2:$B$35,Справочники!$A$2:$A$35)</f>
        <v>Бухгалтерия</v>
      </c>
      <c r="G2" s="6" t="s">
        <v>11</v>
      </c>
      <c r="H2" s="16">
        <f>LOOKUP(G2,Справочники!$B$2:$B$35,Справочники!$C$2:$C$35)</f>
        <v>12000</v>
      </c>
      <c r="I2" s="6" t="s">
        <v>14</v>
      </c>
      <c r="J2" s="11">
        <v>38944</v>
      </c>
      <c r="K2" s="11">
        <v>30198</v>
      </c>
      <c r="L2" s="10">
        <f ca="1">DATEDIF(J2, TODAY(),"Y")</f>
        <v>16</v>
      </c>
      <c r="M2" s="10">
        <f ca="1">DATEDIF(K2, TODAY(),"Y")</f>
        <v>40</v>
      </c>
      <c r="N2" s="10" t="str">
        <f>LOOKUP(F2,Справочники!$F$2:$F$10,Справочники!$H$2:$H$10)</f>
        <v>+7(8332)64-32-01</v>
      </c>
    </row>
    <row r="3" spans="1:14" ht="15" hidden="1" outlineLevel="2" x14ac:dyDescent="0.25">
      <c r="A3" s="10">
        <v>102</v>
      </c>
      <c r="B3" s="12" t="s">
        <v>71</v>
      </c>
      <c r="C3" s="12" t="s">
        <v>72</v>
      </c>
      <c r="D3" s="12" t="s">
        <v>73</v>
      </c>
      <c r="E3" s="10" t="s">
        <v>9</v>
      </c>
      <c r="F3" s="10" t="str">
        <f>LOOKUP(G3,Справочники!$B$2:$B$35,Справочники!$A$2:$A$35)</f>
        <v>Бухгалтерия</v>
      </c>
      <c r="G3" s="6" t="s">
        <v>13</v>
      </c>
      <c r="H3" s="16">
        <f>LOOKUP(G3,Справочники!$B$2:$B$35,Справочники!$C$2:$C$35)</f>
        <v>20000</v>
      </c>
      <c r="I3" s="6" t="s">
        <v>14</v>
      </c>
      <c r="J3" s="11">
        <v>34380</v>
      </c>
      <c r="K3" s="11">
        <v>25186</v>
      </c>
      <c r="L3" s="10">
        <f ca="1">DATEDIF(J3, TODAY(),"Y")</f>
        <v>28</v>
      </c>
      <c r="M3" s="10">
        <f ca="1">DATEDIF(K3, TODAY(),"Y")</f>
        <v>53</v>
      </c>
      <c r="N3" s="10" t="str">
        <f>LOOKUP(F3,Справочники!$F$2:$F$10,Справочники!$H$2:$H$10)</f>
        <v>+7(8332)64-32-01</v>
      </c>
    </row>
    <row r="4" spans="1:14" ht="15" hidden="1" outlineLevel="2" x14ac:dyDescent="0.25">
      <c r="A4" s="10">
        <v>104</v>
      </c>
      <c r="B4" s="12" t="s">
        <v>77</v>
      </c>
      <c r="C4" s="12" t="s">
        <v>78</v>
      </c>
      <c r="D4" s="12" t="s">
        <v>79</v>
      </c>
      <c r="E4" s="10" t="s">
        <v>9</v>
      </c>
      <c r="F4" s="10" t="str">
        <f>LOOKUP(G4,Справочники!$B$2:$B$35,Справочники!$A$2:$A$35)</f>
        <v>Бухгалтерия</v>
      </c>
      <c r="G4" s="6" t="s">
        <v>16</v>
      </c>
      <c r="H4" s="16">
        <f>LOOKUP(G4,Справочники!$B$2:$B$35,Справочники!$C$2:$C$35)</f>
        <v>15000</v>
      </c>
      <c r="I4" s="6" t="s">
        <v>14</v>
      </c>
      <c r="J4" s="11">
        <v>41530</v>
      </c>
      <c r="K4" s="11">
        <v>25346</v>
      </c>
      <c r="L4" s="10">
        <f ca="1">DATEDIF(J4, TODAY(),"Y")</f>
        <v>9</v>
      </c>
      <c r="M4" s="10">
        <f ca="1">DATEDIF(K4, TODAY(),"Y")</f>
        <v>53</v>
      </c>
      <c r="N4" s="10" t="str">
        <f>LOOKUP(F4,Справочники!$F$2:$F$10,Справочники!$H$2:$H$10)</f>
        <v>+7(8332)64-32-01</v>
      </c>
    </row>
    <row r="5" spans="1:14" ht="15" hidden="1" outlineLevel="2" x14ac:dyDescent="0.25">
      <c r="A5" s="10">
        <v>105</v>
      </c>
      <c r="B5" s="12" t="s">
        <v>80</v>
      </c>
      <c r="C5" s="12" t="s">
        <v>81</v>
      </c>
      <c r="D5" s="12" t="s">
        <v>82</v>
      </c>
      <c r="E5" s="10" t="s">
        <v>17</v>
      </c>
      <c r="F5" s="10" t="str">
        <f>LOOKUP(G5,Справочники!$B$2:$B$35,Справочники!$A$2:$A$35)</f>
        <v>Бухгалтерия</v>
      </c>
      <c r="G5" s="6" t="s">
        <v>18</v>
      </c>
      <c r="H5" s="16">
        <f>LOOKUP(G5,Справочники!$B$2:$B$35,Справочники!$C$2:$C$35)</f>
        <v>17000</v>
      </c>
      <c r="I5" s="6" t="s">
        <v>14</v>
      </c>
      <c r="J5" s="11">
        <v>41165</v>
      </c>
      <c r="K5" s="11">
        <v>31196</v>
      </c>
      <c r="L5" s="10">
        <f ca="1">DATEDIF(J5, TODAY(),"Y")</f>
        <v>10</v>
      </c>
      <c r="M5" s="10">
        <f ca="1">DATEDIF(K5, TODAY(),"Y")</f>
        <v>37</v>
      </c>
      <c r="N5" s="10" t="str">
        <f>LOOKUP(F5,Справочники!$F$2:$F$10,Справочники!$H$2:$H$10)</f>
        <v>+7(8332)64-32-01</v>
      </c>
    </row>
    <row r="6" spans="1:14" ht="15" hidden="1" outlineLevel="2" x14ac:dyDescent="0.25">
      <c r="A6" s="10">
        <v>108</v>
      </c>
      <c r="B6" s="12" t="s">
        <v>89</v>
      </c>
      <c r="C6" s="12" t="s">
        <v>90</v>
      </c>
      <c r="D6" s="12" t="s">
        <v>91</v>
      </c>
      <c r="E6" s="10" t="s">
        <v>17</v>
      </c>
      <c r="F6" s="10" t="str">
        <f>LOOKUP(G6,Справочники!$B$2:$B$35,Справочники!$A$2:$A$35)</f>
        <v>Управление</v>
      </c>
      <c r="G6" s="6" t="s">
        <v>21</v>
      </c>
      <c r="H6" s="16">
        <f>LOOKUP(G6,Справочники!$B$2:$B$35,Справочники!$C$2:$C$35)</f>
        <v>35000</v>
      </c>
      <c r="I6" s="6" t="s">
        <v>14</v>
      </c>
      <c r="J6" s="11">
        <v>38579</v>
      </c>
      <c r="K6" s="11">
        <v>28499</v>
      </c>
      <c r="L6" s="10">
        <f ca="1">DATEDIF(J6, TODAY(),"Y")</f>
        <v>17</v>
      </c>
      <c r="M6" s="10">
        <f ca="1">DATEDIF(K6, TODAY(),"Y")</f>
        <v>44</v>
      </c>
      <c r="N6" s="10" t="str">
        <f>LOOKUP(F6,Справочники!$F$2:$F$10,Справочники!$H$2:$H$10)</f>
        <v>+7(8332)64-32-18</v>
      </c>
    </row>
    <row r="7" spans="1:14" ht="15" hidden="1" outlineLevel="2" x14ac:dyDescent="0.25">
      <c r="A7" s="10">
        <v>109</v>
      </c>
      <c r="B7" s="12" t="s">
        <v>92</v>
      </c>
      <c r="C7" s="12" t="s">
        <v>81</v>
      </c>
      <c r="D7" s="12" t="s">
        <v>93</v>
      </c>
      <c r="E7" s="10" t="s">
        <v>17</v>
      </c>
      <c r="F7" s="10" t="str">
        <f>LOOKUP(G7,Справочники!$B$2:$B$35,Справочники!$A$2:$A$35)</f>
        <v>Управление</v>
      </c>
      <c r="G7" s="6" t="s">
        <v>22</v>
      </c>
      <c r="H7" s="16">
        <f>LOOKUP(G7,Справочники!$B$2:$B$35,Справочники!$C$2:$C$35)</f>
        <v>28000</v>
      </c>
      <c r="I7" s="6" t="s">
        <v>14</v>
      </c>
      <c r="J7" s="11">
        <v>39103</v>
      </c>
      <c r="K7" s="11">
        <v>27786</v>
      </c>
      <c r="L7" s="10">
        <f ca="1">DATEDIF(J7, TODAY(),"Y")</f>
        <v>15</v>
      </c>
      <c r="M7" s="10">
        <f ca="1">DATEDIF(K7, TODAY(),"Y")</f>
        <v>46</v>
      </c>
      <c r="N7" s="10" t="str">
        <f>LOOKUP(F7,Справочники!$F$2:$F$10,Справочники!$H$2:$H$10)</f>
        <v>+7(8332)64-32-18</v>
      </c>
    </row>
    <row r="8" spans="1:14" ht="15" hidden="1" outlineLevel="2" x14ac:dyDescent="0.25">
      <c r="A8" s="10">
        <v>110</v>
      </c>
      <c r="B8" s="12" t="s">
        <v>94</v>
      </c>
      <c r="C8" s="12" t="s">
        <v>95</v>
      </c>
      <c r="D8" s="12" t="s">
        <v>96</v>
      </c>
      <c r="E8" s="10" t="s">
        <v>9</v>
      </c>
      <c r="F8" s="10" t="str">
        <f>LOOKUP(G8,Справочники!$B$2:$B$35,Справочники!$A$2:$A$35)</f>
        <v>Управление</v>
      </c>
      <c r="G8" s="6" t="s">
        <v>23</v>
      </c>
      <c r="H8" s="16">
        <f>LOOKUP(G8,Справочники!$B$2:$B$35,Справочники!$C$2:$C$35)</f>
        <v>30000</v>
      </c>
      <c r="I8" s="6" t="s">
        <v>14</v>
      </c>
      <c r="J8" s="11">
        <v>34436</v>
      </c>
      <c r="K8" s="11">
        <v>26821</v>
      </c>
      <c r="L8" s="10">
        <f ca="1">DATEDIF(J8, TODAY(),"Y")</f>
        <v>28</v>
      </c>
      <c r="M8" s="10">
        <f ca="1">DATEDIF(K8, TODAY(),"Y")</f>
        <v>49</v>
      </c>
      <c r="N8" s="10" t="str">
        <f>LOOKUP(F8,Справочники!$F$2:$F$10,Справочники!$H$2:$H$10)</f>
        <v>+7(8332)64-32-18</v>
      </c>
    </row>
    <row r="9" spans="1:14" ht="15" hidden="1" outlineLevel="2" x14ac:dyDescent="0.25">
      <c r="A9" s="10">
        <v>112</v>
      </c>
      <c r="B9" s="12" t="s">
        <v>99</v>
      </c>
      <c r="C9" s="12" t="s">
        <v>100</v>
      </c>
      <c r="D9" s="12" t="s">
        <v>101</v>
      </c>
      <c r="E9" s="10" t="s">
        <v>17</v>
      </c>
      <c r="F9" s="10" t="str">
        <f>LOOKUP(G9,Справочники!$B$2:$B$35,Справочники!$A$2:$A$35)</f>
        <v>Рекламный отдел</v>
      </c>
      <c r="G9" s="6" t="s">
        <v>27</v>
      </c>
      <c r="H9" s="16">
        <f>LOOKUP(G9,Справочники!$B$2:$B$35,Справочники!$C$2:$C$35)</f>
        <v>22000</v>
      </c>
      <c r="I9" s="6" t="s">
        <v>14</v>
      </c>
      <c r="J9" s="11">
        <v>40966</v>
      </c>
      <c r="K9" s="11">
        <v>31390</v>
      </c>
      <c r="L9" s="10">
        <f ca="1">DATEDIF(J9, TODAY(),"Y")</f>
        <v>10</v>
      </c>
      <c r="M9" s="10">
        <f ca="1">DATEDIF(K9, TODAY(),"Y")</f>
        <v>36</v>
      </c>
      <c r="N9" s="10" t="str">
        <f>LOOKUP(F9,Справочники!$F$2:$F$10,Справочники!$H$2:$H$10)</f>
        <v>+7(8332)64-32-01</v>
      </c>
    </row>
    <row r="10" spans="1:14" ht="15" hidden="1" outlineLevel="2" x14ac:dyDescent="0.25">
      <c r="A10" s="10">
        <v>113</v>
      </c>
      <c r="B10" s="12" t="s">
        <v>102</v>
      </c>
      <c r="C10" s="12" t="s">
        <v>98</v>
      </c>
      <c r="D10" s="12" t="s">
        <v>103</v>
      </c>
      <c r="E10" s="10" t="s">
        <v>9</v>
      </c>
      <c r="F10" s="10" t="str">
        <f>LOOKUP(G10,Справочники!$B$2:$B$35,Справочники!$A$2:$A$35)</f>
        <v>Рекламный отдел</v>
      </c>
      <c r="G10" s="6" t="s">
        <v>28</v>
      </c>
      <c r="H10" s="16">
        <f>LOOKUP(G10,Справочники!$B$2:$B$35,Справочники!$C$2:$C$35)</f>
        <v>18000</v>
      </c>
      <c r="I10" s="6" t="s">
        <v>14</v>
      </c>
      <c r="J10" s="11">
        <v>34788</v>
      </c>
      <c r="K10" s="11">
        <v>25186</v>
      </c>
      <c r="L10" s="10">
        <f ca="1">DATEDIF(J10, TODAY(),"Y")</f>
        <v>27</v>
      </c>
      <c r="M10" s="10">
        <f ca="1">DATEDIF(K10, TODAY(),"Y")</f>
        <v>53</v>
      </c>
      <c r="N10" s="10" t="str">
        <f>LOOKUP(F10,Справочники!$F$2:$F$10,Справочники!$H$2:$H$10)</f>
        <v>+7(8332)64-32-01</v>
      </c>
    </row>
    <row r="11" spans="1:14" ht="15" hidden="1" outlineLevel="2" x14ac:dyDescent="0.25">
      <c r="A11" s="10">
        <v>114</v>
      </c>
      <c r="B11" s="12" t="s">
        <v>104</v>
      </c>
      <c r="C11" s="12" t="s">
        <v>105</v>
      </c>
      <c r="D11" s="12" t="s">
        <v>106</v>
      </c>
      <c r="E11" s="10" t="s">
        <v>9</v>
      </c>
      <c r="F11" s="10" t="str">
        <f>LOOKUP(G11,Справочники!$B$2:$B$35,Справочники!$A$2:$A$35)</f>
        <v>Технологический отдел</v>
      </c>
      <c r="G11" s="6" t="s">
        <v>30</v>
      </c>
      <c r="H11" s="16">
        <f>LOOKUP(G11,Справочники!$B$2:$B$35,Справочники!$C$2:$C$35)</f>
        <v>22000</v>
      </c>
      <c r="I11" s="6" t="s">
        <v>14</v>
      </c>
      <c r="J11" s="11">
        <v>43356</v>
      </c>
      <c r="K11" s="11">
        <v>24300</v>
      </c>
      <c r="L11" s="10">
        <f ca="1">DATEDIF(J11, TODAY(),"Y")</f>
        <v>4</v>
      </c>
      <c r="M11" s="10">
        <f ca="1">DATEDIF(K11, TODAY(),"Y")</f>
        <v>56</v>
      </c>
      <c r="N11" s="10" t="str">
        <f>LOOKUP(F11,Справочники!$F$2:$F$10,Справочники!$H$2:$H$10)</f>
        <v>+7(8332)64-32-18</v>
      </c>
    </row>
    <row r="12" spans="1:14" ht="15" hidden="1" outlineLevel="2" x14ac:dyDescent="0.25">
      <c r="A12" s="10">
        <v>119</v>
      </c>
      <c r="B12" s="12" t="s">
        <v>116</v>
      </c>
      <c r="C12" s="12" t="s">
        <v>117</v>
      </c>
      <c r="D12" s="12" t="s">
        <v>70</v>
      </c>
      <c r="E12" s="10" t="s">
        <v>9</v>
      </c>
      <c r="F12" s="10" t="str">
        <f>LOOKUP(G12,Справочники!$B$2:$B$35,Справочники!$A$2:$A$35)</f>
        <v>Технологический отдел</v>
      </c>
      <c r="G12" s="6" t="s">
        <v>35</v>
      </c>
      <c r="H12" s="16">
        <f>LOOKUP(G12,Справочники!$B$2:$B$35,Справочники!$C$2:$C$35)</f>
        <v>17000</v>
      </c>
      <c r="I12" s="6" t="s">
        <v>14</v>
      </c>
      <c r="J12" s="11">
        <v>39550</v>
      </c>
      <c r="K12" s="11">
        <v>28420</v>
      </c>
      <c r="L12" s="10">
        <f ca="1">DATEDIF(J12, TODAY(),"Y")</f>
        <v>14</v>
      </c>
      <c r="M12" s="10">
        <f ca="1">DATEDIF(K12, TODAY(),"Y")</f>
        <v>45</v>
      </c>
      <c r="N12" s="10" t="str">
        <f>LOOKUP(F12,Справочники!$F$2:$F$10,Справочники!$H$2:$H$10)</f>
        <v>+7(8332)64-32-18</v>
      </c>
    </row>
    <row r="13" spans="1:14" ht="15" hidden="1" outlineLevel="2" x14ac:dyDescent="0.25">
      <c r="A13" s="10">
        <v>123</v>
      </c>
      <c r="B13" s="12" t="s">
        <v>123</v>
      </c>
      <c r="C13" s="12" t="s">
        <v>114</v>
      </c>
      <c r="D13" s="12" t="s">
        <v>103</v>
      </c>
      <c r="E13" s="10" t="s">
        <v>9</v>
      </c>
      <c r="F13" s="10" t="str">
        <f>LOOKUP(G13,Справочники!$B$2:$B$35,Справочники!$A$2:$A$35)</f>
        <v>Технологический отдел</v>
      </c>
      <c r="G13" s="6" t="s">
        <v>34</v>
      </c>
      <c r="H13" s="16">
        <f>LOOKUP(G13,Справочники!$B$2:$B$35,Справочники!$C$2:$C$35)</f>
        <v>12000</v>
      </c>
      <c r="I13" s="6" t="s">
        <v>14</v>
      </c>
      <c r="J13" s="11">
        <v>35290</v>
      </c>
      <c r="K13" s="11">
        <v>22280</v>
      </c>
      <c r="L13" s="10">
        <f ca="1">DATEDIF(J13, TODAY(),"Y")</f>
        <v>26</v>
      </c>
      <c r="M13" s="10">
        <f ca="1">DATEDIF(K13, TODAY(),"Y")</f>
        <v>61</v>
      </c>
      <c r="N13" s="10" t="str">
        <f>LOOKUP(F13,Справочники!$F$2:$F$10,Справочники!$H$2:$H$10)</f>
        <v>+7(8332)64-32-18</v>
      </c>
    </row>
    <row r="14" spans="1:14" ht="15" hidden="1" outlineLevel="2" x14ac:dyDescent="0.25">
      <c r="A14" s="10">
        <v>126</v>
      </c>
      <c r="B14" s="12" t="s">
        <v>128</v>
      </c>
      <c r="C14" s="12" t="s">
        <v>129</v>
      </c>
      <c r="D14" s="12" t="s">
        <v>101</v>
      </c>
      <c r="E14" s="10" t="s">
        <v>17</v>
      </c>
      <c r="F14" s="10" t="str">
        <f>LOOKUP(G14,Справочники!$B$2:$B$35,Справочники!$A$2:$A$35)</f>
        <v>Рекламный отдел</v>
      </c>
      <c r="G14" s="6" t="s">
        <v>27</v>
      </c>
      <c r="H14" s="16">
        <f>LOOKUP(G14,Справочники!$B$2:$B$35,Справочники!$C$2:$C$35)</f>
        <v>22000</v>
      </c>
      <c r="I14" s="6" t="s">
        <v>14</v>
      </c>
      <c r="J14" s="11">
        <v>40321</v>
      </c>
      <c r="K14" s="11">
        <v>30232</v>
      </c>
      <c r="L14" s="10">
        <f ca="1">DATEDIF(J14, TODAY(),"Y")</f>
        <v>12</v>
      </c>
      <c r="M14" s="10">
        <f ca="1">DATEDIF(K14, TODAY(),"Y")</f>
        <v>40</v>
      </c>
      <c r="N14" s="10" t="str">
        <f>LOOKUP(F14,Справочники!$F$2:$F$10,Справочники!$H$2:$H$10)</f>
        <v>+7(8332)64-32-01</v>
      </c>
    </row>
    <row r="15" spans="1:14" ht="15" hidden="1" outlineLevel="2" x14ac:dyDescent="0.25">
      <c r="A15" s="10">
        <v>127</v>
      </c>
      <c r="B15" s="12" t="s">
        <v>130</v>
      </c>
      <c r="C15" s="12" t="s">
        <v>131</v>
      </c>
      <c r="D15" s="12" t="s">
        <v>132</v>
      </c>
      <c r="E15" s="10" t="s">
        <v>17</v>
      </c>
      <c r="F15" s="10" t="str">
        <f>LOOKUP(G15,Справочники!$B$2:$B$35,Справочники!$A$2:$A$35)</f>
        <v>Технологический отдел</v>
      </c>
      <c r="G15" s="6" t="s">
        <v>38</v>
      </c>
      <c r="H15" s="16">
        <f>LOOKUP(G15,Справочники!$B$2:$B$35,Справочники!$C$2:$C$35)</f>
        <v>20000</v>
      </c>
      <c r="I15" s="6" t="s">
        <v>14</v>
      </c>
      <c r="J15" s="11">
        <v>40810</v>
      </c>
      <c r="K15" s="11">
        <v>31390</v>
      </c>
      <c r="L15" s="10">
        <f ca="1">DATEDIF(J15, TODAY(),"Y")</f>
        <v>11</v>
      </c>
      <c r="M15" s="10">
        <f ca="1">DATEDIF(K15, TODAY(),"Y")</f>
        <v>36</v>
      </c>
      <c r="N15" s="10" t="str">
        <f>LOOKUP(F15,Справочники!$F$2:$F$10,Справочники!$H$2:$H$10)</f>
        <v>+7(8332)64-32-18</v>
      </c>
    </row>
    <row r="16" spans="1:14" ht="15" hidden="1" outlineLevel="2" x14ac:dyDescent="0.25">
      <c r="A16" s="10">
        <v>129</v>
      </c>
      <c r="B16" s="12" t="s">
        <v>134</v>
      </c>
      <c r="C16" s="12" t="s">
        <v>135</v>
      </c>
      <c r="D16" s="12" t="s">
        <v>136</v>
      </c>
      <c r="E16" s="10" t="s">
        <v>17</v>
      </c>
      <c r="F16" s="10" t="str">
        <f>LOOKUP(G16,Справочники!$B$2:$B$35,Справочники!$A$2:$A$35)</f>
        <v>Рекламный отдел</v>
      </c>
      <c r="G16" s="6" t="s">
        <v>40</v>
      </c>
      <c r="H16" s="16">
        <f>LOOKUP(G16,Справочники!$B$2:$B$35,Справочники!$C$2:$C$35)</f>
        <v>15000</v>
      </c>
      <c r="I16" s="6" t="s">
        <v>14</v>
      </c>
      <c r="J16" s="11">
        <v>41972</v>
      </c>
      <c r="K16" s="11">
        <v>33851</v>
      </c>
      <c r="L16" s="10">
        <f ca="1">DATEDIF(J16, TODAY(),"Y")</f>
        <v>7</v>
      </c>
      <c r="M16" s="10">
        <f ca="1">DATEDIF(K16, TODAY(),"Y")</f>
        <v>30</v>
      </c>
      <c r="N16" s="10" t="str">
        <f>LOOKUP(F16,Справочники!$F$2:$F$10,Справочники!$H$2:$H$10)</f>
        <v>+7(8332)64-32-01</v>
      </c>
    </row>
    <row r="17" spans="1:14" ht="15" hidden="1" outlineLevel="2" x14ac:dyDescent="0.25">
      <c r="A17" s="10">
        <v>131</v>
      </c>
      <c r="B17" s="12" t="s">
        <v>140</v>
      </c>
      <c r="C17" s="12" t="s">
        <v>141</v>
      </c>
      <c r="D17" s="12" t="s">
        <v>142</v>
      </c>
      <c r="E17" s="10" t="s">
        <v>17</v>
      </c>
      <c r="F17" s="10" t="str">
        <f>LOOKUP(G17,Справочники!$B$2:$B$35,Справочники!$A$2:$A$35)</f>
        <v>Рекламный отдел</v>
      </c>
      <c r="G17" s="6" t="s">
        <v>27</v>
      </c>
      <c r="H17" s="16">
        <f>LOOKUP(G17,Справочники!$B$2:$B$35,Справочники!$C$2:$C$35)</f>
        <v>22000</v>
      </c>
      <c r="I17" s="6" t="s">
        <v>14</v>
      </c>
      <c r="J17" s="11">
        <v>39459</v>
      </c>
      <c r="K17" s="11">
        <v>27953</v>
      </c>
      <c r="L17" s="10">
        <f ca="1">DATEDIF(J17, TODAY(),"Y")</f>
        <v>14</v>
      </c>
      <c r="M17" s="10">
        <f ca="1">DATEDIF(K17, TODAY(),"Y")</f>
        <v>46</v>
      </c>
      <c r="N17" s="10" t="str">
        <f>LOOKUP(F17,Справочники!$F$2:$F$10,Справочники!$H$2:$H$10)</f>
        <v>+7(8332)64-32-01</v>
      </c>
    </row>
    <row r="18" spans="1:14" ht="15" hidden="1" outlineLevel="2" x14ac:dyDescent="0.25">
      <c r="A18" s="10">
        <v>133</v>
      </c>
      <c r="B18" s="12" t="s">
        <v>144</v>
      </c>
      <c r="C18" s="12" t="s">
        <v>84</v>
      </c>
      <c r="D18" s="12" t="s">
        <v>145</v>
      </c>
      <c r="E18" s="10" t="s">
        <v>17</v>
      </c>
      <c r="F18" s="10" t="str">
        <f>LOOKUP(G18,Справочники!$B$2:$B$35,Справочники!$A$2:$A$35)</f>
        <v>Рекламный отдел</v>
      </c>
      <c r="G18" s="6" t="s">
        <v>40</v>
      </c>
      <c r="H18" s="16">
        <f>LOOKUP(G18,Справочники!$B$2:$B$35,Справочники!$C$2:$C$35)</f>
        <v>15000</v>
      </c>
      <c r="I18" s="6" t="s">
        <v>14</v>
      </c>
      <c r="J18" s="11">
        <v>41782</v>
      </c>
      <c r="K18" s="11">
        <v>33871</v>
      </c>
      <c r="L18" s="10">
        <f ca="1">DATEDIF(J18, TODAY(),"Y")</f>
        <v>8</v>
      </c>
      <c r="M18" s="10">
        <f ca="1">DATEDIF(K18, TODAY(),"Y")</f>
        <v>30</v>
      </c>
      <c r="N18" s="10" t="str">
        <f>LOOKUP(F18,Справочники!$F$2:$F$10,Справочники!$H$2:$H$10)</f>
        <v>+7(8332)64-32-01</v>
      </c>
    </row>
    <row r="19" spans="1:14" ht="15" hidden="1" outlineLevel="2" x14ac:dyDescent="0.25">
      <c r="A19" s="10">
        <v>134</v>
      </c>
      <c r="B19" s="12" t="s">
        <v>146</v>
      </c>
      <c r="C19" s="12" t="s">
        <v>147</v>
      </c>
      <c r="D19" s="12" t="s">
        <v>148</v>
      </c>
      <c r="E19" s="10" t="s">
        <v>9</v>
      </c>
      <c r="F19" s="10" t="str">
        <f>LOOKUP(G19,Справочники!$B$2:$B$35,Справочники!$A$2:$A$35)</f>
        <v>Технологический отдел</v>
      </c>
      <c r="G19" s="6" t="s">
        <v>38</v>
      </c>
      <c r="H19" s="16">
        <f>LOOKUP(G19,Справочники!$B$2:$B$35,Справочники!$C$2:$C$35)</f>
        <v>20000</v>
      </c>
      <c r="I19" s="6" t="s">
        <v>14</v>
      </c>
      <c r="J19" s="11">
        <v>35208</v>
      </c>
      <c r="K19" s="11">
        <v>25186</v>
      </c>
      <c r="L19" s="10">
        <f ca="1">DATEDIF(J19, TODAY(),"Y")</f>
        <v>26</v>
      </c>
      <c r="M19" s="10">
        <f ca="1">DATEDIF(K19, TODAY(),"Y")</f>
        <v>53</v>
      </c>
      <c r="N19" s="10" t="str">
        <f>LOOKUP(F19,Справочники!$F$2:$F$10,Справочники!$H$2:$H$10)</f>
        <v>+7(8332)64-32-18</v>
      </c>
    </row>
    <row r="20" spans="1:14" ht="15" hidden="1" outlineLevel="2" x14ac:dyDescent="0.25">
      <c r="A20" s="10">
        <v>138</v>
      </c>
      <c r="B20" s="12" t="s">
        <v>155</v>
      </c>
      <c r="C20" s="12" t="s">
        <v>108</v>
      </c>
      <c r="D20" s="12" t="s">
        <v>156</v>
      </c>
      <c r="E20" s="10" t="s">
        <v>9</v>
      </c>
      <c r="F20" s="10" t="str">
        <f>LOOKUP(G20,Справочники!$B$2:$B$35,Справочники!$A$2:$A$35)</f>
        <v>Отдел худ. оформления</v>
      </c>
      <c r="G20" s="6" t="s">
        <v>44</v>
      </c>
      <c r="H20" s="16">
        <f>LOOKUP(G20,Справочники!$B$2:$B$35,Справочники!$C$2:$C$35)</f>
        <v>18000</v>
      </c>
      <c r="I20" s="6" t="s">
        <v>14</v>
      </c>
      <c r="J20" s="11">
        <v>34380</v>
      </c>
      <c r="K20" s="11">
        <v>23757</v>
      </c>
      <c r="L20" s="10">
        <f ca="1">DATEDIF(J20, TODAY(),"Y")</f>
        <v>28</v>
      </c>
      <c r="M20" s="10">
        <f ca="1">DATEDIF(K20, TODAY(),"Y")</f>
        <v>57</v>
      </c>
      <c r="N20" s="10" t="str">
        <f>LOOKUP(F20,Справочники!$F$2:$F$10,Справочники!$H$2:$H$10)</f>
        <v>+7(8332)64-32-01</v>
      </c>
    </row>
    <row r="21" spans="1:14" ht="15" hidden="1" outlineLevel="2" x14ac:dyDescent="0.25">
      <c r="A21" s="10">
        <v>141</v>
      </c>
      <c r="B21" s="12" t="s">
        <v>163</v>
      </c>
      <c r="C21" s="12" t="s">
        <v>164</v>
      </c>
      <c r="D21" s="12" t="s">
        <v>93</v>
      </c>
      <c r="E21" s="10" t="s">
        <v>17</v>
      </c>
      <c r="F21" s="10" t="str">
        <f>LOOKUP(G21,Справочники!$B$2:$B$35,Справочники!$A$2:$A$35)</f>
        <v>Отдел худ. оформления</v>
      </c>
      <c r="G21" s="6" t="s">
        <v>44</v>
      </c>
      <c r="H21" s="16">
        <f>LOOKUP(G21,Справочники!$B$2:$B$35,Справочники!$C$2:$C$35)</f>
        <v>18000</v>
      </c>
      <c r="I21" s="6" t="s">
        <v>14</v>
      </c>
      <c r="J21" s="11">
        <v>35290</v>
      </c>
      <c r="K21" s="11">
        <v>27405</v>
      </c>
      <c r="L21" s="10">
        <f ca="1">DATEDIF(J21, TODAY(),"Y")</f>
        <v>26</v>
      </c>
      <c r="M21" s="10">
        <f ca="1">DATEDIF(K21, TODAY(),"Y")</f>
        <v>47</v>
      </c>
      <c r="N21" s="10" t="str">
        <f>LOOKUP(F21,Справочники!$F$2:$F$10,Справочники!$H$2:$H$10)</f>
        <v>+7(8332)64-32-01</v>
      </c>
    </row>
    <row r="22" spans="1:14" ht="15" hidden="1" outlineLevel="2" x14ac:dyDescent="0.25">
      <c r="A22" s="10">
        <v>148</v>
      </c>
      <c r="B22" s="12" t="s">
        <v>178</v>
      </c>
      <c r="C22" s="12" t="s">
        <v>179</v>
      </c>
      <c r="D22" s="12" t="s">
        <v>101</v>
      </c>
      <c r="E22" s="10" t="s">
        <v>17</v>
      </c>
      <c r="F22" s="10" t="str">
        <f>LOOKUP(G22,Справочники!$B$2:$B$35,Справочники!$A$2:$A$35)</f>
        <v>Рекламный отдел</v>
      </c>
      <c r="G22" s="6" t="s">
        <v>27</v>
      </c>
      <c r="H22" s="16">
        <f>LOOKUP(G22,Справочники!$B$2:$B$35,Справочники!$C$2:$C$35)</f>
        <v>22000</v>
      </c>
      <c r="I22" s="6" t="s">
        <v>14</v>
      </c>
      <c r="J22" s="11">
        <v>43539</v>
      </c>
      <c r="K22" s="11">
        <v>27737</v>
      </c>
      <c r="L22" s="10">
        <f ca="1">DATEDIF(J22, TODAY(),"Y")</f>
        <v>3</v>
      </c>
      <c r="M22" s="10">
        <f ca="1">DATEDIF(K22, TODAY(),"Y")</f>
        <v>46</v>
      </c>
      <c r="N22" s="10" t="str">
        <f>LOOKUP(F22,Справочники!$F$2:$F$10,Справочники!$H$2:$H$10)</f>
        <v>+7(8332)64-32-01</v>
      </c>
    </row>
    <row r="23" spans="1:14" ht="15" hidden="1" outlineLevel="2" x14ac:dyDescent="0.25">
      <c r="A23" s="10">
        <v>150</v>
      </c>
      <c r="B23" s="12" t="s">
        <v>182</v>
      </c>
      <c r="C23" s="12" t="s">
        <v>75</v>
      </c>
      <c r="D23" s="12" t="s">
        <v>76</v>
      </c>
      <c r="E23" s="10" t="s">
        <v>9</v>
      </c>
      <c r="F23" s="10" t="str">
        <f>LOOKUP(G23,Справочники!$B$2:$B$35,Справочники!$A$2:$A$35)</f>
        <v>Редакторский отдел</v>
      </c>
      <c r="G23" s="6" t="s">
        <v>52</v>
      </c>
      <c r="H23" s="16">
        <f>LOOKUP(G23,Справочники!$B$2:$B$35,Справочники!$C$2:$C$35)</f>
        <v>16000</v>
      </c>
      <c r="I23" s="6" t="s">
        <v>14</v>
      </c>
      <c r="J23" s="11">
        <v>34714</v>
      </c>
      <c r="K23" s="11">
        <v>22250</v>
      </c>
      <c r="L23" s="10">
        <f ca="1">DATEDIF(J23, TODAY(),"Y")</f>
        <v>27</v>
      </c>
      <c r="M23" s="10">
        <f ca="1">DATEDIF(K23, TODAY(),"Y")</f>
        <v>61</v>
      </c>
      <c r="N23" s="10" t="str">
        <f>LOOKUP(F23,Справочники!$F$2:$F$10,Справочники!$H$2:$H$10)</f>
        <v>+7(8332)64-32-01</v>
      </c>
    </row>
    <row r="24" spans="1:14" ht="15" hidden="1" outlineLevel="2" x14ac:dyDescent="0.25">
      <c r="A24" s="10">
        <v>153</v>
      </c>
      <c r="B24" s="12" t="s">
        <v>187</v>
      </c>
      <c r="C24" s="12" t="s">
        <v>158</v>
      </c>
      <c r="D24" s="12" t="s">
        <v>111</v>
      </c>
      <c r="E24" s="10" t="s">
        <v>9</v>
      </c>
      <c r="F24" s="10" t="str">
        <f>LOOKUP(G24,Справочники!$B$2:$B$35,Справочники!$A$2:$A$35)</f>
        <v>Редакторский отдел</v>
      </c>
      <c r="G24" s="6" t="s">
        <v>52</v>
      </c>
      <c r="H24" s="16">
        <f>LOOKUP(G24,Справочники!$B$2:$B$35,Справочники!$C$2:$C$35)</f>
        <v>16000</v>
      </c>
      <c r="I24" s="6" t="s">
        <v>14</v>
      </c>
      <c r="J24" s="11">
        <v>36220</v>
      </c>
      <c r="K24" s="11">
        <v>26580</v>
      </c>
      <c r="L24" s="10">
        <f ca="1">DATEDIF(J24, TODAY(),"Y")</f>
        <v>23</v>
      </c>
      <c r="M24" s="10">
        <f ca="1">DATEDIF(K24, TODAY(),"Y")</f>
        <v>50</v>
      </c>
      <c r="N24" s="10" t="str">
        <f>LOOKUP(F24,Справочники!$F$2:$F$10,Справочники!$H$2:$H$10)</f>
        <v>+7(8332)64-32-01</v>
      </c>
    </row>
    <row r="25" spans="1:14" ht="15" hidden="1" outlineLevel="2" x14ac:dyDescent="0.25">
      <c r="A25" s="10">
        <v>154</v>
      </c>
      <c r="B25" s="12" t="s">
        <v>188</v>
      </c>
      <c r="C25" s="12" t="s">
        <v>189</v>
      </c>
      <c r="D25" s="12" t="s">
        <v>162</v>
      </c>
      <c r="E25" s="10" t="s">
        <v>9</v>
      </c>
      <c r="F25" s="10" t="str">
        <f>LOOKUP(G25,Справочники!$B$2:$B$35,Справочники!$A$2:$A$35)</f>
        <v>Редакторский отдел</v>
      </c>
      <c r="G25" s="7" t="s">
        <v>54</v>
      </c>
      <c r="H25" s="16">
        <f>LOOKUP(G25,Справочники!$B$2:$B$35,Справочники!$C$2:$C$35)</f>
        <v>14000</v>
      </c>
      <c r="I25" s="6" t="s">
        <v>14</v>
      </c>
      <c r="J25" s="11">
        <v>35258</v>
      </c>
      <c r="K25" s="11">
        <v>21600</v>
      </c>
      <c r="L25" s="10">
        <f ca="1">DATEDIF(J25, TODAY(),"Y")</f>
        <v>26</v>
      </c>
      <c r="M25" s="10">
        <f ca="1">DATEDIF(K25, TODAY(),"Y")</f>
        <v>63</v>
      </c>
      <c r="N25" s="10" t="str">
        <f>LOOKUP(F25,Справочники!$F$2:$F$10,Справочники!$H$2:$H$10)</f>
        <v>+7(8332)64-32-01</v>
      </c>
    </row>
    <row r="26" spans="1:14" ht="15" hidden="1" outlineLevel="2" x14ac:dyDescent="0.25">
      <c r="A26" s="10">
        <v>155</v>
      </c>
      <c r="B26" s="12" t="s">
        <v>190</v>
      </c>
      <c r="C26" s="12" t="s">
        <v>191</v>
      </c>
      <c r="D26" s="12" t="s">
        <v>192</v>
      </c>
      <c r="E26" s="10" t="s">
        <v>9</v>
      </c>
      <c r="F26" s="10" t="str">
        <f>LOOKUP(G26,Справочники!$B$2:$B$35,Справочники!$A$2:$A$35)</f>
        <v>Редакторский отдел</v>
      </c>
      <c r="G26" s="7" t="s">
        <v>55</v>
      </c>
      <c r="H26" s="16">
        <f>LOOKUP(G26,Справочники!$B$2:$B$35,Справочники!$C$2:$C$35)</f>
        <v>14000</v>
      </c>
      <c r="I26" s="6" t="s">
        <v>14</v>
      </c>
      <c r="J26" s="11">
        <v>35442</v>
      </c>
      <c r="K26" s="11">
        <v>24134</v>
      </c>
      <c r="L26" s="10">
        <f ca="1">DATEDIF(J26, TODAY(),"Y")</f>
        <v>25</v>
      </c>
      <c r="M26" s="10">
        <f ca="1">DATEDIF(K26, TODAY(),"Y")</f>
        <v>56</v>
      </c>
      <c r="N26" s="10" t="str">
        <f>LOOKUP(F26,Справочники!$F$2:$F$10,Справочники!$H$2:$H$10)</f>
        <v>+7(8332)64-32-01</v>
      </c>
    </row>
    <row r="27" spans="1:14" ht="15" hidden="1" outlineLevel="2" x14ac:dyDescent="0.25">
      <c r="A27" s="10">
        <v>158</v>
      </c>
      <c r="B27" s="12" t="s">
        <v>198</v>
      </c>
      <c r="C27" s="12" t="s">
        <v>199</v>
      </c>
      <c r="D27" s="12" t="s">
        <v>159</v>
      </c>
      <c r="E27" s="10" t="s">
        <v>9</v>
      </c>
      <c r="F27" s="10" t="str">
        <f>LOOKUP(G27,Справочники!$B$2:$B$35,Справочники!$A$2:$A$35)</f>
        <v>Редакторский отдел</v>
      </c>
      <c r="G27" s="7" t="s">
        <v>54</v>
      </c>
      <c r="H27" s="16">
        <f>LOOKUP(G27,Справочники!$B$2:$B$35,Справочники!$C$2:$C$35)</f>
        <v>14000</v>
      </c>
      <c r="I27" s="6" t="s">
        <v>14</v>
      </c>
      <c r="J27" s="11">
        <v>35122</v>
      </c>
      <c r="K27" s="11">
        <v>23253</v>
      </c>
      <c r="L27" s="10">
        <f ca="1">DATEDIF(J27, TODAY(),"Y")</f>
        <v>26</v>
      </c>
      <c r="M27" s="10">
        <f ca="1">DATEDIF(K27, TODAY(),"Y")</f>
        <v>59</v>
      </c>
      <c r="N27" s="10" t="str">
        <f>LOOKUP(F27,Справочники!$F$2:$F$10,Справочники!$H$2:$H$10)</f>
        <v>+7(8332)64-32-01</v>
      </c>
    </row>
    <row r="28" spans="1:14" ht="15" hidden="1" outlineLevel="2" x14ac:dyDescent="0.25">
      <c r="A28" s="10">
        <v>159</v>
      </c>
      <c r="B28" s="12" t="s">
        <v>200</v>
      </c>
      <c r="C28" s="12" t="s">
        <v>158</v>
      </c>
      <c r="D28" s="12" t="s">
        <v>201</v>
      </c>
      <c r="E28" s="10" t="s">
        <v>9</v>
      </c>
      <c r="F28" s="10" t="str">
        <f>LOOKUP(G28,Справочники!$B$2:$B$35,Справочники!$A$2:$A$35)</f>
        <v>Редакторский отдел</v>
      </c>
      <c r="G28" s="7" t="s">
        <v>55</v>
      </c>
      <c r="H28" s="16">
        <f>LOOKUP(G28,Справочники!$B$2:$B$35,Справочники!$C$2:$C$35)</f>
        <v>14000</v>
      </c>
      <c r="I28" s="6" t="s">
        <v>14</v>
      </c>
      <c r="J28" s="11">
        <v>35032</v>
      </c>
      <c r="K28" s="11">
        <v>22065</v>
      </c>
      <c r="L28" s="10">
        <f ca="1">DATEDIF(J28, TODAY(),"Y")</f>
        <v>26</v>
      </c>
      <c r="M28" s="10">
        <f ca="1">DATEDIF(K28, TODAY(),"Y")</f>
        <v>62</v>
      </c>
      <c r="N28" s="10" t="str">
        <f>LOOKUP(F28,Справочники!$F$2:$F$10,Справочники!$H$2:$H$10)</f>
        <v>+7(8332)64-32-01</v>
      </c>
    </row>
    <row r="29" spans="1:14" ht="15" hidden="1" outlineLevel="2" x14ac:dyDescent="0.25">
      <c r="A29" s="10">
        <v>160</v>
      </c>
      <c r="B29" s="12" t="s">
        <v>202</v>
      </c>
      <c r="C29" s="12" t="s">
        <v>203</v>
      </c>
      <c r="D29" s="12" t="s">
        <v>127</v>
      </c>
      <c r="E29" s="10" t="s">
        <v>9</v>
      </c>
      <c r="F29" s="10" t="str">
        <f>LOOKUP(G29,Справочники!$B$2:$B$35,Справочники!$A$2:$A$35)</f>
        <v>Редакторский отдел</v>
      </c>
      <c r="G29" s="7" t="s">
        <v>55</v>
      </c>
      <c r="H29" s="16">
        <f>LOOKUP(G29,Справочники!$B$2:$B$35,Справочники!$C$2:$C$35)</f>
        <v>14000</v>
      </c>
      <c r="I29" s="6" t="s">
        <v>14</v>
      </c>
      <c r="J29" s="11">
        <v>42991</v>
      </c>
      <c r="K29" s="11">
        <v>32936</v>
      </c>
      <c r="L29" s="10">
        <f ca="1">DATEDIF(J29, TODAY(),"Y")</f>
        <v>5</v>
      </c>
      <c r="M29" s="10">
        <f ca="1">DATEDIF(K29, TODAY(),"Y")</f>
        <v>32</v>
      </c>
      <c r="N29" s="10" t="str">
        <f>LOOKUP(F29,Справочники!$F$2:$F$10,Справочники!$H$2:$H$10)</f>
        <v>+7(8332)64-32-01</v>
      </c>
    </row>
    <row r="30" spans="1:14" ht="15" hidden="1" outlineLevel="2" x14ac:dyDescent="0.25">
      <c r="A30" s="10">
        <v>163</v>
      </c>
      <c r="B30" s="12" t="s">
        <v>208</v>
      </c>
      <c r="C30" s="12" t="s">
        <v>209</v>
      </c>
      <c r="D30" s="12" t="s">
        <v>93</v>
      </c>
      <c r="E30" s="10" t="s">
        <v>17</v>
      </c>
      <c r="F30" s="10" t="str">
        <f>LOOKUP(G30,Справочники!$B$2:$B$35,Справочники!$A$2:$A$35)</f>
        <v>Редакторский отдел</v>
      </c>
      <c r="G30" s="7" t="s">
        <v>56</v>
      </c>
      <c r="H30" s="16">
        <f>LOOKUP(G30,Справочники!$B$2:$B$35,Справочники!$C$2:$C$35)</f>
        <v>20000</v>
      </c>
      <c r="I30" s="6" t="s">
        <v>14</v>
      </c>
      <c r="J30" s="11">
        <v>35153</v>
      </c>
      <c r="K30" s="11">
        <v>24814</v>
      </c>
      <c r="L30" s="10">
        <f ca="1">DATEDIF(J30, TODAY(),"Y")</f>
        <v>26</v>
      </c>
      <c r="M30" s="10">
        <f ca="1">DATEDIF(K30, TODAY(),"Y")</f>
        <v>54</v>
      </c>
      <c r="N30" s="10" t="str">
        <f>LOOKUP(F30,Справочники!$F$2:$F$10,Справочники!$H$2:$H$10)</f>
        <v>+7(8332)64-32-01</v>
      </c>
    </row>
    <row r="31" spans="1:14" ht="15" outlineLevel="1" collapsed="1" x14ac:dyDescent="0.25">
      <c r="A31" s="10"/>
      <c r="B31" s="12"/>
      <c r="C31" s="12"/>
      <c r="D31" s="12"/>
      <c r="E31" s="10"/>
      <c r="F31" s="10"/>
      <c r="G31" s="7"/>
      <c r="H31" s="62">
        <f>SUBTOTAL(1,H2:H30)</f>
        <v>18689.655172413793</v>
      </c>
      <c r="I31" s="60" t="s">
        <v>268</v>
      </c>
      <c r="J31" s="11"/>
      <c r="K31" s="11"/>
      <c r="L31" s="10"/>
      <c r="M31" s="10"/>
      <c r="N31" s="10"/>
    </row>
    <row r="32" spans="1:14" ht="15" hidden="1" outlineLevel="2" x14ac:dyDescent="0.25">
      <c r="A32" s="10">
        <v>106</v>
      </c>
      <c r="B32" s="12" t="s">
        <v>83</v>
      </c>
      <c r="C32" s="12" t="s">
        <v>84</v>
      </c>
      <c r="D32" s="12" t="s">
        <v>85</v>
      </c>
      <c r="E32" s="10" t="s">
        <v>17</v>
      </c>
      <c r="F32" s="10" t="str">
        <f>LOOKUP(G32,Справочники!$B$2:$B$35,Справочники!$A$2:$A$35)</f>
        <v>Бухгалтерия</v>
      </c>
      <c r="G32" s="6" t="s">
        <v>11</v>
      </c>
      <c r="H32" s="62">
        <f>LOOKUP(G32,Справочники!$B$2:$B$35,Справочники!$C$2:$C$35)</f>
        <v>12000</v>
      </c>
      <c r="I32" s="61" t="s">
        <v>25</v>
      </c>
      <c r="J32" s="11">
        <v>42626</v>
      </c>
      <c r="K32" s="11">
        <v>31062</v>
      </c>
      <c r="L32" s="10">
        <f ca="1">DATEDIF(J32, TODAY(),"Y")</f>
        <v>6</v>
      </c>
      <c r="M32" s="10">
        <f ca="1">DATEDIF(K32, TODAY(),"Y")</f>
        <v>37</v>
      </c>
      <c r="N32" s="10" t="str">
        <f>LOOKUP(F32,Справочники!$F$2:$F$10,Справочники!$H$2:$H$10)</f>
        <v>+7(8332)64-32-01</v>
      </c>
    </row>
    <row r="33" spans="1:14" ht="15" hidden="1" outlineLevel="2" x14ac:dyDescent="0.25">
      <c r="A33" s="10">
        <v>111</v>
      </c>
      <c r="B33" s="12" t="s">
        <v>97</v>
      </c>
      <c r="C33" s="12" t="s">
        <v>98</v>
      </c>
      <c r="D33" s="12" t="s">
        <v>76</v>
      </c>
      <c r="E33" s="10" t="s">
        <v>9</v>
      </c>
      <c r="F33" s="10" t="str">
        <f>LOOKUP(G33,Справочники!$B$2:$B$35,Справочники!$A$2:$A$35)</f>
        <v>Управление</v>
      </c>
      <c r="G33" s="6" t="s">
        <v>24</v>
      </c>
      <c r="H33" s="62">
        <f>LOOKUP(G33,Справочники!$B$2:$B$35,Справочники!$C$2:$C$35)</f>
        <v>15000</v>
      </c>
      <c r="I33" s="61" t="s">
        <v>25</v>
      </c>
      <c r="J33" s="11">
        <v>42960</v>
      </c>
      <c r="K33" s="11">
        <v>33207</v>
      </c>
      <c r="L33" s="10">
        <f ca="1">DATEDIF(J33, TODAY(),"Y")</f>
        <v>5</v>
      </c>
      <c r="M33" s="10">
        <f ca="1">DATEDIF(K33, TODAY(),"Y")</f>
        <v>31</v>
      </c>
      <c r="N33" s="10" t="str">
        <f>LOOKUP(F33,Справочники!$F$2:$F$10,Справочники!$H$2:$H$10)</f>
        <v>+7(8332)64-32-18</v>
      </c>
    </row>
    <row r="34" spans="1:14" ht="15" hidden="1" outlineLevel="2" x14ac:dyDescent="0.25">
      <c r="A34" s="10">
        <v>130</v>
      </c>
      <c r="B34" s="12" t="s">
        <v>137</v>
      </c>
      <c r="C34" s="12" t="s">
        <v>138</v>
      </c>
      <c r="D34" s="12" t="s">
        <v>139</v>
      </c>
      <c r="E34" s="10" t="s">
        <v>9</v>
      </c>
      <c r="F34" s="10" t="str">
        <f>LOOKUP(G34,Справочники!$B$2:$B$35,Справочники!$A$2:$A$35)</f>
        <v>Управление</v>
      </c>
      <c r="G34" s="6" t="s">
        <v>20</v>
      </c>
      <c r="H34" s="62">
        <f>LOOKUP(G34,Справочники!$B$2:$B$35,Справочники!$C$2:$C$35)</f>
        <v>15000</v>
      </c>
      <c r="I34" s="61" t="s">
        <v>25</v>
      </c>
      <c r="J34" s="11">
        <v>42765</v>
      </c>
      <c r="K34" s="11">
        <v>34714</v>
      </c>
      <c r="L34" s="10">
        <f ca="1">DATEDIF(J34, TODAY(),"Y")</f>
        <v>5</v>
      </c>
      <c r="M34" s="10">
        <f ca="1">DATEDIF(K34, TODAY(),"Y")</f>
        <v>27</v>
      </c>
      <c r="N34" s="10" t="str">
        <f>LOOKUP(F34,Справочники!$F$2:$F$10,Справочники!$H$2:$H$10)</f>
        <v>+7(8332)64-32-18</v>
      </c>
    </row>
    <row r="35" spans="1:14" ht="15" hidden="1" outlineLevel="2" x14ac:dyDescent="0.25">
      <c r="A35" s="10">
        <v>135</v>
      </c>
      <c r="B35" s="12" t="s">
        <v>149</v>
      </c>
      <c r="C35" s="12" t="s">
        <v>75</v>
      </c>
      <c r="D35" s="12" t="s">
        <v>96</v>
      </c>
      <c r="E35" s="10" t="s">
        <v>9</v>
      </c>
      <c r="F35" s="10" t="str">
        <f>LOOKUP(G35,Справочники!$B$2:$B$35,Справочники!$A$2:$A$35)</f>
        <v>Технологический отдел</v>
      </c>
      <c r="G35" s="6" t="s">
        <v>38</v>
      </c>
      <c r="H35" s="62">
        <f>LOOKUP(G35,Справочники!$B$2:$B$35,Справочники!$C$2:$C$35)</f>
        <v>20000</v>
      </c>
      <c r="I35" s="61" t="s">
        <v>25</v>
      </c>
      <c r="J35" s="11">
        <v>35290</v>
      </c>
      <c r="K35" s="11">
        <v>23891</v>
      </c>
      <c r="L35" s="10">
        <f ca="1">DATEDIF(J35, TODAY(),"Y")</f>
        <v>26</v>
      </c>
      <c r="M35" s="10">
        <f ca="1">DATEDIF(K35, TODAY(),"Y")</f>
        <v>57</v>
      </c>
      <c r="N35" s="10" t="str">
        <f>LOOKUP(F35,Справочники!$F$2:$F$10,Справочники!$H$2:$H$10)</f>
        <v>+7(8332)64-32-18</v>
      </c>
    </row>
    <row r="36" spans="1:14" ht="15" hidden="1" outlineLevel="2" x14ac:dyDescent="0.25">
      <c r="A36" s="10">
        <v>136</v>
      </c>
      <c r="B36" s="12" t="s">
        <v>150</v>
      </c>
      <c r="C36" s="12" t="s">
        <v>151</v>
      </c>
      <c r="D36" s="12" t="s">
        <v>152</v>
      </c>
      <c r="E36" s="10" t="s">
        <v>9</v>
      </c>
      <c r="F36" s="10" t="str">
        <f>LOOKUP(G36,Справочники!$B$2:$B$35,Справочники!$A$2:$A$35)</f>
        <v>Рекламный отдел</v>
      </c>
      <c r="G36" s="6" t="s">
        <v>27</v>
      </c>
      <c r="H36" s="62">
        <f>LOOKUP(G36,Справочники!$B$2:$B$35,Справочники!$C$2:$C$35)</f>
        <v>22000</v>
      </c>
      <c r="I36" s="61" t="s">
        <v>25</v>
      </c>
      <c r="J36" s="11">
        <v>39479</v>
      </c>
      <c r="K36" s="11">
        <v>27737</v>
      </c>
      <c r="L36" s="10">
        <f ca="1">DATEDIF(J36, TODAY(),"Y")</f>
        <v>14</v>
      </c>
      <c r="M36" s="10">
        <f ca="1">DATEDIF(K36, TODAY(),"Y")</f>
        <v>46</v>
      </c>
      <c r="N36" s="10" t="str">
        <f>LOOKUP(F36,Справочники!$F$2:$F$10,Справочники!$H$2:$H$10)</f>
        <v>+7(8332)64-32-01</v>
      </c>
    </row>
    <row r="37" spans="1:14" ht="15" hidden="1" outlineLevel="2" x14ac:dyDescent="0.25">
      <c r="A37" s="10">
        <v>137</v>
      </c>
      <c r="B37" s="12" t="s">
        <v>153</v>
      </c>
      <c r="C37" s="12" t="s">
        <v>114</v>
      </c>
      <c r="D37" s="12" t="s">
        <v>154</v>
      </c>
      <c r="E37" s="10" t="s">
        <v>9</v>
      </c>
      <c r="F37" s="10" t="str">
        <f>LOOKUP(G37,Справочники!$B$2:$B$35,Справочники!$A$2:$A$35)</f>
        <v>Управление</v>
      </c>
      <c r="G37" s="6" t="s">
        <v>20</v>
      </c>
      <c r="H37" s="62">
        <f>LOOKUP(G37,Справочники!$B$2:$B$35,Справочники!$C$2:$C$35)</f>
        <v>15000</v>
      </c>
      <c r="I37" s="61" t="s">
        <v>25</v>
      </c>
      <c r="J37" s="11">
        <v>42271</v>
      </c>
      <c r="K37" s="11">
        <v>33851</v>
      </c>
      <c r="L37" s="10">
        <f ca="1">DATEDIF(J37, TODAY(),"Y")</f>
        <v>7</v>
      </c>
      <c r="M37" s="10">
        <f ca="1">DATEDIF(K37, TODAY(),"Y")</f>
        <v>30</v>
      </c>
      <c r="N37" s="10" t="str">
        <f>LOOKUP(F37,Справочники!$F$2:$F$10,Справочники!$H$2:$H$10)</f>
        <v>+7(8332)64-32-18</v>
      </c>
    </row>
    <row r="38" spans="1:14" ht="15" hidden="1" outlineLevel="2" x14ac:dyDescent="0.25">
      <c r="A38" s="10">
        <v>140</v>
      </c>
      <c r="B38" s="12" t="s">
        <v>160</v>
      </c>
      <c r="C38" s="12" t="s">
        <v>161</v>
      </c>
      <c r="D38" s="12" t="s">
        <v>162</v>
      </c>
      <c r="E38" s="10" t="s">
        <v>9</v>
      </c>
      <c r="F38" s="10" t="str">
        <f>LOOKUP(G38,Справочники!$B$2:$B$35,Справочники!$A$2:$A$35)</f>
        <v>Рекламный отдел</v>
      </c>
      <c r="G38" s="6" t="s">
        <v>40</v>
      </c>
      <c r="H38" s="62">
        <f>LOOKUP(G38,Справочники!$B$2:$B$35,Справочники!$C$2:$C$35)</f>
        <v>15000</v>
      </c>
      <c r="I38" s="61" t="s">
        <v>25</v>
      </c>
      <c r="J38" s="11">
        <v>39641</v>
      </c>
      <c r="K38" s="11">
        <v>29284</v>
      </c>
      <c r="L38" s="10">
        <f ca="1">DATEDIF(J38, TODAY(),"Y")</f>
        <v>14</v>
      </c>
      <c r="M38" s="10">
        <f ca="1">DATEDIF(K38, TODAY(),"Y")</f>
        <v>42</v>
      </c>
      <c r="N38" s="10" t="str">
        <f>LOOKUP(F38,Справочники!$F$2:$F$10,Справочники!$H$2:$H$10)</f>
        <v>+7(8332)64-32-01</v>
      </c>
    </row>
    <row r="39" spans="1:14" ht="15" hidden="1" outlineLevel="2" x14ac:dyDescent="0.25">
      <c r="A39" s="10">
        <v>145</v>
      </c>
      <c r="B39" s="12" t="s">
        <v>172</v>
      </c>
      <c r="C39" s="12" t="s">
        <v>131</v>
      </c>
      <c r="D39" s="12" t="s">
        <v>145</v>
      </c>
      <c r="E39" s="10" t="s">
        <v>17</v>
      </c>
      <c r="F39" s="10" t="str">
        <f>LOOKUP(G39,Справочники!$B$2:$B$35,Справочники!$A$2:$A$35)</f>
        <v>Склад</v>
      </c>
      <c r="G39" s="6" t="s">
        <v>48</v>
      </c>
      <c r="H39" s="62">
        <f>LOOKUP(G39,Справочники!$B$2:$B$35,Справочники!$C$2:$C$35)</f>
        <v>22000</v>
      </c>
      <c r="I39" s="61" t="s">
        <v>25</v>
      </c>
      <c r="J39" s="11">
        <v>34788</v>
      </c>
      <c r="K39" s="11">
        <v>25204</v>
      </c>
      <c r="L39" s="10">
        <f ca="1">DATEDIF(J39, TODAY(),"Y")</f>
        <v>27</v>
      </c>
      <c r="M39" s="10">
        <f ca="1">DATEDIF(K39, TODAY(),"Y")</f>
        <v>53</v>
      </c>
      <c r="N39" s="10" t="str">
        <f>LOOKUP(F39,Справочники!$F$2:$F$10,Справочники!$H$2:$H$10)</f>
        <v>+7(8332)64-32-23</v>
      </c>
    </row>
    <row r="40" spans="1:14" ht="15" hidden="1" outlineLevel="2" x14ac:dyDescent="0.25">
      <c r="A40" s="10">
        <v>151</v>
      </c>
      <c r="B40" s="12" t="s">
        <v>183</v>
      </c>
      <c r="C40" s="12" t="s">
        <v>161</v>
      </c>
      <c r="D40" s="12" t="s">
        <v>184</v>
      </c>
      <c r="E40" s="10" t="s">
        <v>9</v>
      </c>
      <c r="F40" s="10" t="str">
        <f>LOOKUP(G40,Справочники!$B$2:$B$35,Справочники!$A$2:$A$35)</f>
        <v>Редакторский отдел</v>
      </c>
      <c r="G40" s="7" t="s">
        <v>53</v>
      </c>
      <c r="H40" s="62">
        <f>LOOKUP(G40,Справочники!$B$2:$B$35,Справочники!$C$2:$C$35)</f>
        <v>19000</v>
      </c>
      <c r="I40" s="61" t="s">
        <v>25</v>
      </c>
      <c r="J40" s="11">
        <v>35445</v>
      </c>
      <c r="K40" s="11">
        <v>26821</v>
      </c>
      <c r="L40" s="10">
        <f ca="1">DATEDIF(J40, TODAY(),"Y")</f>
        <v>25</v>
      </c>
      <c r="M40" s="10">
        <f ca="1">DATEDIF(K40, TODAY(),"Y")</f>
        <v>49</v>
      </c>
      <c r="N40" s="10" t="str">
        <f>LOOKUP(F40,Справочники!$F$2:$F$10,Справочники!$H$2:$H$10)</f>
        <v>+7(8332)64-32-01</v>
      </c>
    </row>
    <row r="41" spans="1:14" ht="15" hidden="1" outlineLevel="2" x14ac:dyDescent="0.25">
      <c r="A41" s="10">
        <v>152</v>
      </c>
      <c r="B41" s="12" t="s">
        <v>185</v>
      </c>
      <c r="C41" s="12" t="s">
        <v>186</v>
      </c>
      <c r="D41" s="12" t="s">
        <v>76</v>
      </c>
      <c r="E41" s="10" t="s">
        <v>9</v>
      </c>
      <c r="F41" s="10" t="str">
        <f>LOOKUP(G41,Справочники!$B$2:$B$35,Справочники!$A$2:$A$35)</f>
        <v>Редакторский отдел</v>
      </c>
      <c r="G41" s="7" t="s">
        <v>54</v>
      </c>
      <c r="H41" s="62">
        <f>LOOKUP(G41,Справочники!$B$2:$B$35,Справочники!$C$2:$C$35)</f>
        <v>14000</v>
      </c>
      <c r="I41" s="61" t="s">
        <v>25</v>
      </c>
      <c r="J41" s="11">
        <v>40998</v>
      </c>
      <c r="K41" s="11">
        <v>30213</v>
      </c>
      <c r="L41" s="10">
        <f ca="1">DATEDIF(J41, TODAY(),"Y")</f>
        <v>10</v>
      </c>
      <c r="M41" s="10">
        <f ca="1">DATEDIF(K41, TODAY(),"Y")</f>
        <v>40</v>
      </c>
      <c r="N41" s="10" t="str">
        <f>LOOKUP(F41,Справочники!$F$2:$F$10,Справочники!$H$2:$H$10)</f>
        <v>+7(8332)64-32-01</v>
      </c>
    </row>
    <row r="42" spans="1:14" ht="15" hidden="1" outlineLevel="2" x14ac:dyDescent="0.25">
      <c r="A42" s="10">
        <v>156</v>
      </c>
      <c r="B42" s="12" t="s">
        <v>193</v>
      </c>
      <c r="C42" s="12" t="s">
        <v>108</v>
      </c>
      <c r="D42" s="12" t="s">
        <v>194</v>
      </c>
      <c r="E42" s="10" t="s">
        <v>9</v>
      </c>
      <c r="F42" s="10" t="str">
        <f>LOOKUP(G42,Справочники!$B$2:$B$35,Справочники!$A$2:$A$35)</f>
        <v>Редакторский отдел</v>
      </c>
      <c r="G42" s="7" t="s">
        <v>55</v>
      </c>
      <c r="H42" s="62">
        <f>LOOKUP(G42,Справочники!$B$2:$B$35,Справочники!$C$2:$C$35)</f>
        <v>14000</v>
      </c>
      <c r="I42" s="61" t="s">
        <v>25</v>
      </c>
      <c r="J42" s="11">
        <v>35460</v>
      </c>
      <c r="K42" s="11">
        <v>21194</v>
      </c>
      <c r="L42" s="10">
        <f ca="1">DATEDIF(J42, TODAY(),"Y")</f>
        <v>25</v>
      </c>
      <c r="M42" s="10">
        <f ca="1">DATEDIF(K42, TODAY(),"Y")</f>
        <v>64</v>
      </c>
      <c r="N42" s="10" t="str">
        <f>LOOKUP(F42,Справочники!$F$2:$F$10,Справочники!$H$2:$H$10)</f>
        <v>+7(8332)64-32-01</v>
      </c>
    </row>
    <row r="43" spans="1:14" ht="15" outlineLevel="1" collapsed="1" x14ac:dyDescent="0.25">
      <c r="A43" s="10"/>
      <c r="B43" s="12"/>
      <c r="C43" s="12"/>
      <c r="D43" s="12"/>
      <c r="E43" s="10"/>
      <c r="F43" s="10"/>
      <c r="G43" s="7"/>
      <c r="H43" s="62">
        <f>SUBTOTAL(1,H32:H42)</f>
        <v>16636.363636363636</v>
      </c>
      <c r="I43" s="60" t="s">
        <v>269</v>
      </c>
      <c r="J43" s="11"/>
      <c r="K43" s="11"/>
      <c r="L43" s="10"/>
      <c r="M43" s="10"/>
      <c r="N43" s="10"/>
    </row>
    <row r="44" spans="1:14" ht="15" hidden="1" outlineLevel="2" x14ac:dyDescent="0.25">
      <c r="A44" s="10">
        <v>117</v>
      </c>
      <c r="B44" s="12" t="s">
        <v>112</v>
      </c>
      <c r="C44" s="12" t="s">
        <v>72</v>
      </c>
      <c r="D44" s="12" t="s">
        <v>88</v>
      </c>
      <c r="E44" s="10" t="s">
        <v>9</v>
      </c>
      <c r="F44" s="10" t="str">
        <f>LOOKUP(G44,Справочники!$B$2:$B$35,Справочники!$A$2:$A$35)</f>
        <v>Технологический отдел</v>
      </c>
      <c r="G44" s="6" t="s">
        <v>31</v>
      </c>
      <c r="H44" s="62">
        <f>LOOKUP(G44,Справочники!$B$2:$B$35,Справочники!$C$2:$C$35)</f>
        <v>12000</v>
      </c>
      <c r="I44" s="61" t="s">
        <v>33</v>
      </c>
      <c r="J44" s="11">
        <v>35445</v>
      </c>
      <c r="K44" s="11">
        <v>26821</v>
      </c>
      <c r="L44" s="10">
        <f ca="1">DATEDIF(J44, TODAY(),"Y")</f>
        <v>25</v>
      </c>
      <c r="M44" s="10">
        <f ca="1">DATEDIF(K44, TODAY(),"Y")</f>
        <v>49</v>
      </c>
      <c r="N44" s="10" t="str">
        <f>LOOKUP(F44,Справочники!$F$2:$F$10,Справочники!$H$2:$H$10)</f>
        <v>+7(8332)64-32-18</v>
      </c>
    </row>
    <row r="45" spans="1:14" ht="15" hidden="1" outlineLevel="2" x14ac:dyDescent="0.25">
      <c r="A45" s="10">
        <v>124</v>
      </c>
      <c r="B45" s="12" t="s">
        <v>124</v>
      </c>
      <c r="C45" s="12" t="s">
        <v>125</v>
      </c>
      <c r="D45" s="12" t="s">
        <v>96</v>
      </c>
      <c r="E45" s="10" t="s">
        <v>9</v>
      </c>
      <c r="F45" s="10" t="str">
        <f>LOOKUP(G45,Справочники!$B$2:$B$35,Справочники!$A$2:$A$35)</f>
        <v>Технологический отдел</v>
      </c>
      <c r="G45" s="6" t="s">
        <v>32</v>
      </c>
      <c r="H45" s="62">
        <f>LOOKUP(G45,Справочники!$B$2:$B$35,Справочники!$C$2:$C$35)</f>
        <v>15000</v>
      </c>
      <c r="I45" s="61" t="s">
        <v>33</v>
      </c>
      <c r="J45" s="11">
        <v>35451</v>
      </c>
      <c r="K45" s="11">
        <v>27551</v>
      </c>
      <c r="L45" s="10">
        <f ca="1">DATEDIF(J45, TODAY(),"Y")</f>
        <v>25</v>
      </c>
      <c r="M45" s="10">
        <f ca="1">DATEDIF(K45, TODAY(),"Y")</f>
        <v>47</v>
      </c>
      <c r="N45" s="10" t="str">
        <f>LOOKUP(F45,Справочники!$F$2:$F$10,Справочники!$H$2:$H$10)</f>
        <v>+7(8332)64-32-18</v>
      </c>
    </row>
    <row r="46" spans="1:14" ht="15" hidden="1" outlineLevel="2" x14ac:dyDescent="0.25">
      <c r="A46" s="10">
        <v>125</v>
      </c>
      <c r="B46" s="12" t="s">
        <v>126</v>
      </c>
      <c r="C46" s="12" t="s">
        <v>98</v>
      </c>
      <c r="D46" s="12" t="s">
        <v>127</v>
      </c>
      <c r="E46" s="10" t="s">
        <v>9</v>
      </c>
      <c r="F46" s="10" t="str">
        <f>LOOKUP(G46,Справочники!$B$2:$B$35,Справочники!$A$2:$A$35)</f>
        <v>Технологический отдел</v>
      </c>
      <c r="G46" s="6" t="s">
        <v>34</v>
      </c>
      <c r="H46" s="62">
        <f>LOOKUP(G46,Справочники!$B$2:$B$35,Справочники!$C$2:$C$35)</f>
        <v>12000</v>
      </c>
      <c r="I46" s="61" t="s">
        <v>33</v>
      </c>
      <c r="J46" s="11">
        <v>35290</v>
      </c>
      <c r="K46" s="11">
        <v>22065</v>
      </c>
      <c r="L46" s="10">
        <f ca="1">DATEDIF(J46, TODAY(),"Y")</f>
        <v>26</v>
      </c>
      <c r="M46" s="10">
        <f ca="1">DATEDIF(K46, TODAY(),"Y")</f>
        <v>62</v>
      </c>
      <c r="N46" s="10" t="str">
        <f>LOOKUP(F46,Справочники!$F$2:$F$10,Справочники!$H$2:$H$10)</f>
        <v>+7(8332)64-32-18</v>
      </c>
    </row>
    <row r="47" spans="1:14" ht="15" hidden="1" outlineLevel="2" x14ac:dyDescent="0.25">
      <c r="A47" s="10">
        <v>142</v>
      </c>
      <c r="B47" s="12" t="s">
        <v>165</v>
      </c>
      <c r="C47" s="12" t="s">
        <v>166</v>
      </c>
      <c r="D47" s="12" t="s">
        <v>127</v>
      </c>
      <c r="E47" s="10" t="s">
        <v>9</v>
      </c>
      <c r="F47" s="10" t="str">
        <f>LOOKUP(G47,Справочники!$B$2:$B$35,Справочники!$A$2:$A$35)</f>
        <v>Склад</v>
      </c>
      <c r="G47" s="6" t="s">
        <v>46</v>
      </c>
      <c r="H47" s="62">
        <f>LOOKUP(G47,Справочники!$B$2:$B$35,Справочники!$C$2:$C$35)</f>
        <v>15000</v>
      </c>
      <c r="I47" s="61" t="s">
        <v>33</v>
      </c>
      <c r="J47" s="11">
        <v>34955</v>
      </c>
      <c r="K47" s="11">
        <v>24134</v>
      </c>
      <c r="L47" s="10">
        <f ca="1">DATEDIF(J47, TODAY(),"Y")</f>
        <v>27</v>
      </c>
      <c r="M47" s="10">
        <f ca="1">DATEDIF(K47, TODAY(),"Y")</f>
        <v>56</v>
      </c>
      <c r="N47" s="10" t="str">
        <f>LOOKUP(F47,Справочники!$F$2:$F$10,Справочники!$H$2:$H$10)</f>
        <v>+7(8332)64-32-23</v>
      </c>
    </row>
    <row r="48" spans="1:14" ht="15" hidden="1" outlineLevel="2" x14ac:dyDescent="0.25">
      <c r="A48" s="10">
        <v>143</v>
      </c>
      <c r="B48" s="12" t="s">
        <v>167</v>
      </c>
      <c r="C48" s="12" t="s">
        <v>168</v>
      </c>
      <c r="D48" s="12" t="s">
        <v>169</v>
      </c>
      <c r="E48" s="10" t="s">
        <v>17</v>
      </c>
      <c r="F48" s="10" t="str">
        <f>LOOKUP(G48,Справочники!$B$2:$B$35,Справочники!$A$2:$A$35)</f>
        <v>Склад</v>
      </c>
      <c r="G48" s="6" t="s">
        <v>47</v>
      </c>
      <c r="H48" s="62">
        <f>LOOKUP(G48,Справочники!$B$2:$B$35,Справочники!$C$2:$C$35)</f>
        <v>11000</v>
      </c>
      <c r="I48" s="61" t="s">
        <v>33</v>
      </c>
      <c r="J48" s="11">
        <v>42016</v>
      </c>
      <c r="K48" s="11">
        <v>30232</v>
      </c>
      <c r="L48" s="10">
        <f ca="1">DATEDIF(J48, TODAY(),"Y")</f>
        <v>7</v>
      </c>
      <c r="M48" s="10">
        <f ca="1">DATEDIF(K48, TODAY(),"Y")</f>
        <v>40</v>
      </c>
      <c r="N48" s="10" t="str">
        <f>LOOKUP(F48,Справочники!$F$2:$F$10,Справочники!$H$2:$H$10)</f>
        <v>+7(8332)64-32-23</v>
      </c>
    </row>
    <row r="49" spans="1:14" ht="15" hidden="1" outlineLevel="2" x14ac:dyDescent="0.25">
      <c r="A49" s="10">
        <v>144</v>
      </c>
      <c r="B49" s="12" t="s">
        <v>170</v>
      </c>
      <c r="C49" s="12" t="s">
        <v>164</v>
      </c>
      <c r="D49" s="12" t="s">
        <v>171</v>
      </c>
      <c r="E49" s="10" t="s">
        <v>17</v>
      </c>
      <c r="F49" s="10" t="str">
        <f>LOOKUP(G49,Справочники!$B$2:$B$35,Справочники!$A$2:$A$35)</f>
        <v>Склад</v>
      </c>
      <c r="G49" s="6" t="s">
        <v>47</v>
      </c>
      <c r="H49" s="62">
        <f>LOOKUP(G49,Справочники!$B$2:$B$35,Справочники!$C$2:$C$35)</f>
        <v>11000</v>
      </c>
      <c r="I49" s="61" t="s">
        <v>33</v>
      </c>
      <c r="J49" s="11">
        <v>43115</v>
      </c>
      <c r="K49" s="11">
        <v>33207</v>
      </c>
      <c r="L49" s="10">
        <f ca="1">DATEDIF(J49, TODAY(),"Y")</f>
        <v>4</v>
      </c>
      <c r="M49" s="10">
        <f ca="1">DATEDIF(K49, TODAY(),"Y")</f>
        <v>31</v>
      </c>
      <c r="N49" s="10" t="str">
        <f>LOOKUP(F49,Справочники!$F$2:$F$10,Справочники!$H$2:$H$10)</f>
        <v>+7(8332)64-32-23</v>
      </c>
    </row>
    <row r="50" spans="1:14" ht="15" hidden="1" outlineLevel="2" x14ac:dyDescent="0.25">
      <c r="A50" s="10">
        <v>146</v>
      </c>
      <c r="B50" s="12" t="s">
        <v>173</v>
      </c>
      <c r="C50" s="12" t="s">
        <v>129</v>
      </c>
      <c r="D50" s="12" t="s">
        <v>174</v>
      </c>
      <c r="E50" s="10" t="s">
        <v>17</v>
      </c>
      <c r="F50" s="10" t="str">
        <f>LOOKUP(G50,Справочники!$B$2:$B$35,Справочники!$A$2:$A$35)</f>
        <v>Склад</v>
      </c>
      <c r="G50" s="6" t="s">
        <v>46</v>
      </c>
      <c r="H50" s="62">
        <f>LOOKUP(G50,Справочники!$B$2:$B$35,Справочники!$C$2:$C$35)</f>
        <v>15000</v>
      </c>
      <c r="I50" s="61" t="s">
        <v>33</v>
      </c>
      <c r="J50" s="11">
        <v>35032</v>
      </c>
      <c r="K50" s="11">
        <v>26821</v>
      </c>
      <c r="L50" s="10">
        <f ca="1">DATEDIF(J50, TODAY(),"Y")</f>
        <v>26</v>
      </c>
      <c r="M50" s="10">
        <f ca="1">DATEDIF(K50, TODAY(),"Y")</f>
        <v>49</v>
      </c>
      <c r="N50" s="10" t="str">
        <f>LOOKUP(F50,Справочники!$F$2:$F$10,Справочники!$H$2:$H$10)</f>
        <v>+7(8332)64-32-23</v>
      </c>
    </row>
    <row r="51" spans="1:14" ht="15" hidden="1" outlineLevel="2" x14ac:dyDescent="0.25">
      <c r="A51" s="10">
        <v>147</v>
      </c>
      <c r="B51" s="12" t="s">
        <v>175</v>
      </c>
      <c r="C51" s="12" t="s">
        <v>176</v>
      </c>
      <c r="D51" s="12" t="s">
        <v>177</v>
      </c>
      <c r="E51" s="10" t="s">
        <v>17</v>
      </c>
      <c r="F51" s="10" t="str">
        <f>LOOKUP(G51,Справочники!$B$2:$B$35,Справочники!$A$2:$A$35)</f>
        <v>Склад</v>
      </c>
      <c r="G51" s="6" t="s">
        <v>47</v>
      </c>
      <c r="H51" s="62">
        <f>LOOKUP(G51,Справочники!$B$2:$B$35,Справочники!$C$2:$C$35)</f>
        <v>11000</v>
      </c>
      <c r="I51" s="61" t="s">
        <v>33</v>
      </c>
      <c r="J51" s="11">
        <v>42399</v>
      </c>
      <c r="K51" s="11">
        <v>33858</v>
      </c>
      <c r="L51" s="10">
        <f ca="1">DATEDIF(J51, TODAY(),"Y")</f>
        <v>6</v>
      </c>
      <c r="M51" s="10">
        <f ca="1">DATEDIF(K51, TODAY(),"Y")</f>
        <v>30</v>
      </c>
      <c r="N51" s="10" t="str">
        <f>LOOKUP(F51,Справочники!$F$2:$F$10,Справочники!$H$2:$H$10)</f>
        <v>+7(8332)64-32-23</v>
      </c>
    </row>
    <row r="52" spans="1:14" ht="15" hidden="1" outlineLevel="2" x14ac:dyDescent="0.25">
      <c r="A52" s="10">
        <v>149</v>
      </c>
      <c r="B52" s="12" t="s">
        <v>180</v>
      </c>
      <c r="C52" s="12" t="s">
        <v>181</v>
      </c>
      <c r="D52" s="12" t="s">
        <v>132</v>
      </c>
      <c r="E52" s="10" t="s">
        <v>17</v>
      </c>
      <c r="F52" s="10" t="str">
        <f>LOOKUP(G52,Справочники!$B$2:$B$35,Справочники!$A$2:$A$35)</f>
        <v>Транспортный отдел</v>
      </c>
      <c r="G52" s="6" t="s">
        <v>50</v>
      </c>
      <c r="H52" s="62">
        <f>LOOKUP(G52,Справочники!$B$2:$B$35,Справочники!$C$2:$C$35)</f>
        <v>12000</v>
      </c>
      <c r="I52" s="61" t="s">
        <v>33</v>
      </c>
      <c r="J52" s="11">
        <v>34759</v>
      </c>
      <c r="K52" s="11">
        <v>25186</v>
      </c>
      <c r="L52" s="10">
        <f ca="1">DATEDIF(J52, TODAY(),"Y")</f>
        <v>27</v>
      </c>
      <c r="M52" s="10">
        <f ca="1">DATEDIF(K52, TODAY(),"Y")</f>
        <v>53</v>
      </c>
      <c r="N52" s="10" t="str">
        <f>LOOKUP(F52,Справочники!$F$2:$F$10,Справочники!$H$2:$H$10)</f>
        <v>+7(8332)64-32-18</v>
      </c>
    </row>
    <row r="53" spans="1:14" ht="15" hidden="1" outlineLevel="2" x14ac:dyDescent="0.25">
      <c r="A53" s="10">
        <v>164</v>
      </c>
      <c r="B53" s="12" t="s">
        <v>210</v>
      </c>
      <c r="C53" s="12" t="s">
        <v>211</v>
      </c>
      <c r="D53" s="12" t="s">
        <v>148</v>
      </c>
      <c r="E53" s="10" t="s">
        <v>9</v>
      </c>
      <c r="F53" s="10" t="str">
        <f>LOOKUP(G53,Справочники!$B$2:$B$35,Справочники!$A$2:$A$35)</f>
        <v>Транспортный отдел</v>
      </c>
      <c r="G53" s="6" t="s">
        <v>57</v>
      </c>
      <c r="H53" s="62">
        <f>LOOKUP(G53,Справочники!$B$2:$B$35,Справочники!$C$2:$C$35)</f>
        <v>12000</v>
      </c>
      <c r="I53" s="61" t="s">
        <v>33</v>
      </c>
      <c r="J53" s="11">
        <v>43438</v>
      </c>
      <c r="K53" s="11">
        <v>34714</v>
      </c>
      <c r="L53" s="10">
        <f ca="1">DATEDIF(J53, TODAY(),"Y")</f>
        <v>3</v>
      </c>
      <c r="M53" s="10">
        <f ca="1">DATEDIF(K53, TODAY(),"Y")</f>
        <v>27</v>
      </c>
      <c r="N53" s="10" t="str">
        <f>LOOKUP(F53,Справочники!$F$2:$F$10,Справочники!$H$2:$H$10)</f>
        <v>+7(8332)64-32-18</v>
      </c>
    </row>
    <row r="54" spans="1:14" ht="15" outlineLevel="1" collapsed="1" x14ac:dyDescent="0.25">
      <c r="A54" s="10"/>
      <c r="B54" s="12"/>
      <c r="C54" s="12"/>
      <c r="D54" s="12"/>
      <c r="E54" s="10"/>
      <c r="F54" s="10"/>
      <c r="G54" s="6"/>
      <c r="H54" s="62">
        <f>SUBTOTAL(1,H44:H53)</f>
        <v>12600</v>
      </c>
      <c r="I54" s="60" t="s">
        <v>270</v>
      </c>
      <c r="J54" s="11"/>
      <c r="K54" s="11"/>
      <c r="L54" s="10"/>
      <c r="M54" s="10"/>
      <c r="N54" s="10"/>
    </row>
    <row r="55" spans="1:14" ht="15" hidden="1" outlineLevel="2" x14ac:dyDescent="0.25">
      <c r="A55" s="10">
        <v>103</v>
      </c>
      <c r="B55" s="12" t="s">
        <v>74</v>
      </c>
      <c r="C55" s="12" t="s">
        <v>75</v>
      </c>
      <c r="D55" s="12" t="s">
        <v>76</v>
      </c>
      <c r="E55" s="10" t="s">
        <v>9</v>
      </c>
      <c r="F55" s="10" t="str">
        <f>LOOKUP(G55,Справочники!$B$2:$B$35,Справочники!$A$2:$A$35)</f>
        <v>Бухгалтерия</v>
      </c>
      <c r="G55" s="6" t="s">
        <v>15</v>
      </c>
      <c r="H55" s="62">
        <f>LOOKUP(G55,Справочники!$B$2:$B$35,Справочники!$C$2:$C$35)</f>
        <v>12000</v>
      </c>
      <c r="I55" s="61" t="s">
        <v>12</v>
      </c>
      <c r="J55" s="11">
        <v>42962</v>
      </c>
      <c r="K55" s="11">
        <v>34762</v>
      </c>
      <c r="L55" s="10">
        <f ca="1">DATEDIF(J55, TODAY(),"Y")</f>
        <v>5</v>
      </c>
      <c r="M55" s="10">
        <f ca="1">DATEDIF(K55, TODAY(),"Y")</f>
        <v>27</v>
      </c>
      <c r="N55" s="10" t="str">
        <f>LOOKUP(F55,Справочники!$F$2:$F$10,Справочники!$H$2:$H$10)</f>
        <v>+7(8332)64-32-01</v>
      </c>
    </row>
    <row r="56" spans="1:14" ht="15" hidden="1" outlineLevel="2" x14ac:dyDescent="0.25">
      <c r="A56" s="10">
        <v>107</v>
      </c>
      <c r="B56" s="12" t="s">
        <v>86</v>
      </c>
      <c r="C56" s="12" t="s">
        <v>87</v>
      </c>
      <c r="D56" s="12" t="s">
        <v>88</v>
      </c>
      <c r="E56" s="10" t="s">
        <v>9</v>
      </c>
      <c r="F56" s="10" t="str">
        <f>LOOKUP(G56,Справочники!$B$2:$B$35,Справочники!$A$2:$A$35)</f>
        <v>Управление</v>
      </c>
      <c r="G56" s="6" t="s">
        <v>20</v>
      </c>
      <c r="H56" s="62">
        <f>LOOKUP(G56,Справочники!$B$2:$B$35,Справочники!$C$2:$C$35)</f>
        <v>15000</v>
      </c>
      <c r="I56" s="61" t="s">
        <v>12</v>
      </c>
      <c r="J56" s="11">
        <v>39956</v>
      </c>
      <c r="K56" s="11">
        <v>30254</v>
      </c>
      <c r="L56" s="10">
        <f ca="1">DATEDIF(J56, TODAY(),"Y")</f>
        <v>13</v>
      </c>
      <c r="M56" s="10">
        <f ca="1">DATEDIF(K56, TODAY(),"Y")</f>
        <v>40</v>
      </c>
      <c r="N56" s="10" t="str">
        <f>LOOKUP(F56,Справочники!$F$2:$F$10,Справочники!$H$2:$H$10)</f>
        <v>+7(8332)64-32-18</v>
      </c>
    </row>
    <row r="57" spans="1:14" ht="15" hidden="1" outlineLevel="2" x14ac:dyDescent="0.25">
      <c r="A57" s="10">
        <v>115</v>
      </c>
      <c r="B57" s="12" t="s">
        <v>107</v>
      </c>
      <c r="C57" s="12" t="s">
        <v>108</v>
      </c>
      <c r="D57" s="12" t="s">
        <v>76</v>
      </c>
      <c r="E57" s="10" t="s">
        <v>9</v>
      </c>
      <c r="F57" s="10" t="str">
        <f>LOOKUP(G57,Справочники!$B$2:$B$35,Справочники!$A$2:$A$35)</f>
        <v>Технологический отдел</v>
      </c>
      <c r="G57" s="6" t="s">
        <v>31</v>
      </c>
      <c r="H57" s="62">
        <f>LOOKUP(G57,Справочники!$B$2:$B$35,Справочники!$C$2:$C$35)</f>
        <v>12000</v>
      </c>
      <c r="I57" s="61" t="s">
        <v>12</v>
      </c>
      <c r="J57" s="11">
        <v>35096</v>
      </c>
      <c r="K57" s="11">
        <v>26553</v>
      </c>
      <c r="L57" s="10">
        <f ca="1">DATEDIF(J57, TODAY(),"Y")</f>
        <v>26</v>
      </c>
      <c r="M57" s="10">
        <f ca="1">DATEDIF(K57, TODAY(),"Y")</f>
        <v>50</v>
      </c>
      <c r="N57" s="10" t="str">
        <f>LOOKUP(F57,Справочники!$F$2:$F$10,Справочники!$H$2:$H$10)</f>
        <v>+7(8332)64-32-18</v>
      </c>
    </row>
    <row r="58" spans="1:14" ht="15" hidden="1" outlineLevel="2" x14ac:dyDescent="0.25">
      <c r="A58" s="10">
        <v>116</v>
      </c>
      <c r="B58" s="12" t="s">
        <v>109</v>
      </c>
      <c r="C58" s="12" t="s">
        <v>110</v>
      </c>
      <c r="D58" s="12" t="s">
        <v>111</v>
      </c>
      <c r="E58" s="10" t="s">
        <v>9</v>
      </c>
      <c r="F58" s="10" t="str">
        <f>LOOKUP(G58,Справочники!$B$2:$B$35,Справочники!$A$2:$A$35)</f>
        <v>Технологический отдел</v>
      </c>
      <c r="G58" s="6" t="s">
        <v>32</v>
      </c>
      <c r="H58" s="62">
        <f>LOOKUP(G58,Справочники!$B$2:$B$35,Справочники!$C$2:$C$35)</f>
        <v>15000</v>
      </c>
      <c r="I58" s="61" t="s">
        <v>12</v>
      </c>
      <c r="J58" s="11">
        <v>35292</v>
      </c>
      <c r="K58" s="11">
        <v>25810</v>
      </c>
      <c r="L58" s="10">
        <f ca="1">DATEDIF(J58, TODAY(),"Y")</f>
        <v>26</v>
      </c>
      <c r="M58" s="10">
        <f ca="1">DATEDIF(K58, TODAY(),"Y")</f>
        <v>52</v>
      </c>
      <c r="N58" s="10" t="str">
        <f>LOOKUP(F58,Справочники!$F$2:$F$10,Справочники!$H$2:$H$10)</f>
        <v>+7(8332)64-32-18</v>
      </c>
    </row>
    <row r="59" spans="1:14" ht="15" hidden="1" outlineLevel="2" x14ac:dyDescent="0.25">
      <c r="A59" s="10">
        <v>118</v>
      </c>
      <c r="B59" s="12" t="s">
        <v>113</v>
      </c>
      <c r="C59" s="12" t="s">
        <v>114</v>
      </c>
      <c r="D59" s="12" t="s">
        <v>115</v>
      </c>
      <c r="E59" s="10" t="s">
        <v>9</v>
      </c>
      <c r="F59" s="10" t="str">
        <f>LOOKUP(G59,Справочники!$B$2:$B$35,Справочники!$A$2:$A$35)</f>
        <v>Технологический отдел</v>
      </c>
      <c r="G59" s="6" t="s">
        <v>34</v>
      </c>
      <c r="H59" s="62">
        <f>LOOKUP(G59,Справочники!$B$2:$B$35,Справочники!$C$2:$C$35)</f>
        <v>12000</v>
      </c>
      <c r="I59" s="61" t="s">
        <v>12</v>
      </c>
      <c r="J59" s="11">
        <v>36303</v>
      </c>
      <c r="K59" s="11">
        <v>25641</v>
      </c>
      <c r="L59" s="10">
        <f ca="1">DATEDIF(J59, TODAY(),"Y")</f>
        <v>23</v>
      </c>
      <c r="M59" s="10">
        <f ca="1">DATEDIF(K59, TODAY(),"Y")</f>
        <v>52</v>
      </c>
      <c r="N59" s="10" t="str">
        <f>LOOKUP(F59,Справочники!$F$2:$F$10,Справочники!$H$2:$H$10)</f>
        <v>+7(8332)64-32-18</v>
      </c>
    </row>
    <row r="60" spans="1:14" ht="15" hidden="1" outlineLevel="2" x14ac:dyDescent="0.25">
      <c r="A60" s="10">
        <v>120</v>
      </c>
      <c r="B60" s="12" t="s">
        <v>118</v>
      </c>
      <c r="C60" s="12" t="s">
        <v>98</v>
      </c>
      <c r="D60" s="12" t="s">
        <v>119</v>
      </c>
      <c r="E60" s="10" t="s">
        <v>9</v>
      </c>
      <c r="F60" s="10" t="str">
        <f>LOOKUP(G60,Справочники!$B$2:$B$35,Справочники!$A$2:$A$35)</f>
        <v>Технологический отдел</v>
      </c>
      <c r="G60" s="6" t="s">
        <v>36</v>
      </c>
      <c r="H60" s="62">
        <f>LOOKUP(G60,Справочники!$B$2:$B$35,Справочники!$C$2:$C$35)</f>
        <v>14000</v>
      </c>
      <c r="I60" s="61" t="s">
        <v>12</v>
      </c>
      <c r="J60" s="11">
        <v>35442</v>
      </c>
      <c r="K60" s="11">
        <v>24134</v>
      </c>
      <c r="L60" s="10">
        <f ca="1">DATEDIF(J60, TODAY(),"Y")</f>
        <v>25</v>
      </c>
      <c r="M60" s="10">
        <f ca="1">DATEDIF(K60, TODAY(),"Y")</f>
        <v>56</v>
      </c>
      <c r="N60" s="10" t="str">
        <f>LOOKUP(F60,Справочники!$F$2:$F$10,Справочники!$H$2:$H$10)</f>
        <v>+7(8332)64-32-18</v>
      </c>
    </row>
    <row r="61" spans="1:14" ht="15" hidden="1" outlineLevel="2" x14ac:dyDescent="0.25">
      <c r="A61" s="10">
        <v>121</v>
      </c>
      <c r="B61" s="12" t="s">
        <v>120</v>
      </c>
      <c r="C61" s="12" t="s">
        <v>75</v>
      </c>
      <c r="D61" s="12" t="s">
        <v>79</v>
      </c>
      <c r="E61" s="10" t="s">
        <v>9</v>
      </c>
      <c r="F61" s="10" t="str">
        <f>LOOKUP(G61,Справочники!$B$2:$B$35,Справочники!$A$2:$A$35)</f>
        <v>Технологический отдел</v>
      </c>
      <c r="G61" s="6" t="s">
        <v>36</v>
      </c>
      <c r="H61" s="62">
        <f>LOOKUP(G61,Справочники!$B$2:$B$35,Справочники!$C$2:$C$35)</f>
        <v>14000</v>
      </c>
      <c r="I61" s="61" t="s">
        <v>12</v>
      </c>
      <c r="J61" s="11">
        <v>39845</v>
      </c>
      <c r="K61" s="11">
        <v>31391</v>
      </c>
      <c r="L61" s="10">
        <f ca="1">DATEDIF(J61, TODAY(),"Y")</f>
        <v>13</v>
      </c>
      <c r="M61" s="10">
        <f ca="1">DATEDIF(K61, TODAY(),"Y")</f>
        <v>36</v>
      </c>
      <c r="N61" s="10" t="str">
        <f>LOOKUP(F61,Справочники!$F$2:$F$10,Справочники!$H$2:$H$10)</f>
        <v>+7(8332)64-32-18</v>
      </c>
    </row>
    <row r="62" spans="1:14" ht="15" hidden="1" outlineLevel="2" x14ac:dyDescent="0.25">
      <c r="A62" s="10">
        <v>122</v>
      </c>
      <c r="B62" s="12" t="s">
        <v>121</v>
      </c>
      <c r="C62" s="12" t="s">
        <v>122</v>
      </c>
      <c r="D62" s="12" t="s">
        <v>96</v>
      </c>
      <c r="E62" s="10" t="s">
        <v>9</v>
      </c>
      <c r="F62" s="10" t="str">
        <f>LOOKUP(G62,Справочники!$B$2:$B$35,Справочники!$A$2:$A$35)</f>
        <v>Технологический отдел</v>
      </c>
      <c r="G62" s="6" t="s">
        <v>37</v>
      </c>
      <c r="H62" s="62">
        <f>LOOKUP(G62,Справочники!$B$2:$B$35,Справочники!$C$2:$C$35)</f>
        <v>14000</v>
      </c>
      <c r="I62" s="61" t="s">
        <v>12</v>
      </c>
      <c r="J62" s="11">
        <v>36427</v>
      </c>
      <c r="K62" s="11">
        <v>24846</v>
      </c>
      <c r="L62" s="10">
        <f ca="1">DATEDIF(J62, TODAY(),"Y")</f>
        <v>23</v>
      </c>
      <c r="M62" s="10">
        <f ca="1">DATEDIF(K62, TODAY(),"Y")</f>
        <v>54</v>
      </c>
      <c r="N62" s="10" t="str">
        <f>LOOKUP(F62,Справочники!$F$2:$F$10,Справочники!$H$2:$H$10)</f>
        <v>+7(8332)64-32-18</v>
      </c>
    </row>
    <row r="63" spans="1:14" ht="15" hidden="1" outlineLevel="2" x14ac:dyDescent="0.25">
      <c r="A63" s="10">
        <v>128</v>
      </c>
      <c r="B63" s="12" t="s">
        <v>133</v>
      </c>
      <c r="C63" s="12" t="s">
        <v>90</v>
      </c>
      <c r="D63" s="12" t="s">
        <v>132</v>
      </c>
      <c r="E63" s="10" t="s">
        <v>17</v>
      </c>
      <c r="F63" s="10" t="str">
        <f>LOOKUP(G63,Справочники!$B$2:$B$35,Справочники!$A$2:$A$35)</f>
        <v>Рекламный отдел</v>
      </c>
      <c r="G63" s="6" t="s">
        <v>39</v>
      </c>
      <c r="H63" s="62">
        <f>LOOKUP(G63,Справочники!$B$2:$B$35,Справочники!$C$2:$C$35)</f>
        <v>18000</v>
      </c>
      <c r="I63" s="61" t="s">
        <v>12</v>
      </c>
      <c r="J63" s="11">
        <v>42260</v>
      </c>
      <c r="K63" s="11">
        <v>32292</v>
      </c>
      <c r="L63" s="10">
        <f ca="1">DATEDIF(J63, TODAY(),"Y")</f>
        <v>7</v>
      </c>
      <c r="M63" s="10">
        <f ca="1">DATEDIF(K63, TODAY(),"Y")</f>
        <v>34</v>
      </c>
      <c r="N63" s="10" t="str">
        <f>LOOKUP(F63,Справочники!$F$2:$F$10,Справочники!$H$2:$H$10)</f>
        <v>+7(8332)64-32-01</v>
      </c>
    </row>
    <row r="64" spans="1:14" ht="15" hidden="1" outlineLevel="2" x14ac:dyDescent="0.25">
      <c r="A64" s="10">
        <v>132</v>
      </c>
      <c r="B64" s="12" t="s">
        <v>143</v>
      </c>
      <c r="C64" s="12" t="s">
        <v>141</v>
      </c>
      <c r="D64" s="12" t="s">
        <v>85</v>
      </c>
      <c r="E64" s="10" t="s">
        <v>17</v>
      </c>
      <c r="F64" s="10" t="str">
        <f>LOOKUP(G64,Справочники!$B$2:$B$35,Справочники!$A$2:$A$35)</f>
        <v>Отдел продаж</v>
      </c>
      <c r="G64" s="6" t="s">
        <v>42</v>
      </c>
      <c r="H64" s="62">
        <f>LOOKUP(G64,Справочники!$B$2:$B$35,Справочники!$C$2:$C$35)</f>
        <v>15000</v>
      </c>
      <c r="I64" s="61" t="s">
        <v>12</v>
      </c>
      <c r="J64" s="11">
        <v>41306</v>
      </c>
      <c r="K64" s="11">
        <v>33115</v>
      </c>
      <c r="L64" s="10">
        <f ca="1">DATEDIF(J64, TODAY(),"Y")</f>
        <v>9</v>
      </c>
      <c r="M64" s="10">
        <f ca="1">DATEDIF(K64, TODAY(),"Y")</f>
        <v>32</v>
      </c>
      <c r="N64" s="10" t="str">
        <f>LOOKUP(F64,Справочники!$F$2:$F$10,Справочники!$H$2:$H$10)</f>
        <v>+7(8332)64-32-01</v>
      </c>
    </row>
    <row r="65" spans="1:14" ht="15" hidden="1" outlineLevel="2" x14ac:dyDescent="0.25">
      <c r="A65" s="10">
        <v>139</v>
      </c>
      <c r="B65" s="12" t="s">
        <v>157</v>
      </c>
      <c r="C65" s="12" t="s">
        <v>158</v>
      </c>
      <c r="D65" s="12" t="s">
        <v>159</v>
      </c>
      <c r="E65" s="10" t="s">
        <v>9</v>
      </c>
      <c r="F65" s="10" t="str">
        <f>LOOKUP(G65,Справочники!$B$2:$B$35,Справочники!$A$2:$A$35)</f>
        <v>Управление</v>
      </c>
      <c r="G65" s="6" t="s">
        <v>20</v>
      </c>
      <c r="H65" s="62">
        <f>LOOKUP(G65,Справочники!$B$2:$B$35,Справочники!$C$2:$C$35)</f>
        <v>15000</v>
      </c>
      <c r="I65" s="61" t="s">
        <v>12</v>
      </c>
      <c r="J65" s="11">
        <v>41697</v>
      </c>
      <c r="K65" s="11">
        <v>33022</v>
      </c>
      <c r="L65" s="10">
        <f ca="1">DATEDIF(J65, TODAY(),"Y")</f>
        <v>8</v>
      </c>
      <c r="M65" s="10">
        <f ca="1">DATEDIF(K65, TODAY(),"Y")</f>
        <v>32</v>
      </c>
      <c r="N65" s="10" t="str">
        <f>LOOKUP(F65,Справочники!$F$2:$F$10,Справочники!$H$2:$H$10)</f>
        <v>+7(8332)64-32-18</v>
      </c>
    </row>
    <row r="66" spans="1:14" ht="15" hidden="1" outlineLevel="2" x14ac:dyDescent="0.25">
      <c r="A66" s="10">
        <v>157</v>
      </c>
      <c r="B66" s="12" t="s">
        <v>195</v>
      </c>
      <c r="C66" s="12" t="s">
        <v>196</v>
      </c>
      <c r="D66" s="12" t="s">
        <v>197</v>
      </c>
      <c r="E66" s="10" t="s">
        <v>9</v>
      </c>
      <c r="F66" s="10" t="str">
        <f>LOOKUP(G66,Справочники!$B$2:$B$35,Справочники!$A$2:$A$35)</f>
        <v>Технологический отдел</v>
      </c>
      <c r="G66" s="6" t="s">
        <v>31</v>
      </c>
      <c r="H66" s="62">
        <f>LOOKUP(G66,Справочники!$B$2:$B$35,Справочники!$C$2:$C$35)</f>
        <v>12000</v>
      </c>
      <c r="I66" s="61" t="s">
        <v>12</v>
      </c>
      <c r="J66" s="11">
        <v>39887</v>
      </c>
      <c r="K66" s="11">
        <v>30205</v>
      </c>
      <c r="L66" s="10">
        <f ca="1">DATEDIF(J66, TODAY(),"Y")</f>
        <v>13</v>
      </c>
      <c r="M66" s="10">
        <f ca="1">DATEDIF(K66, TODAY(),"Y")</f>
        <v>40</v>
      </c>
      <c r="N66" s="10" t="str">
        <f>LOOKUP(F66,Справочники!$F$2:$F$10,Справочники!$H$2:$H$10)</f>
        <v>+7(8332)64-32-18</v>
      </c>
    </row>
    <row r="67" spans="1:14" ht="15" hidden="1" outlineLevel="2" x14ac:dyDescent="0.25">
      <c r="A67" s="10">
        <v>161</v>
      </c>
      <c r="B67" s="12" t="s">
        <v>204</v>
      </c>
      <c r="C67" s="12" t="s">
        <v>205</v>
      </c>
      <c r="D67" s="12" t="s">
        <v>145</v>
      </c>
      <c r="E67" s="10" t="s">
        <v>17</v>
      </c>
      <c r="F67" s="10" t="str">
        <f>LOOKUP(G67,Справочники!$B$2:$B$35,Справочники!$A$2:$A$35)</f>
        <v>Транспортный отдел</v>
      </c>
      <c r="G67" s="6" t="s">
        <v>50</v>
      </c>
      <c r="H67" s="62">
        <f>LOOKUP(G67,Справочники!$B$2:$B$35,Справочники!$C$2:$C$35)</f>
        <v>12000</v>
      </c>
      <c r="I67" s="61" t="s">
        <v>12</v>
      </c>
      <c r="J67" s="11">
        <v>31108</v>
      </c>
      <c r="K67" s="11">
        <v>23891</v>
      </c>
      <c r="L67" s="10">
        <f ca="1">DATEDIF(J67, TODAY(),"Y")</f>
        <v>37</v>
      </c>
      <c r="M67" s="10">
        <f ca="1">DATEDIF(K67, TODAY(),"Y")</f>
        <v>57</v>
      </c>
      <c r="N67" s="10" t="str">
        <f>LOOKUP(F67,Справочники!$F$2:$F$10,Справочники!$H$2:$H$10)</f>
        <v>+7(8332)64-32-18</v>
      </c>
    </row>
    <row r="68" spans="1:14" ht="15" hidden="1" outlineLevel="2" x14ac:dyDescent="0.25">
      <c r="A68" s="10">
        <v>162</v>
      </c>
      <c r="B68" s="12" t="s">
        <v>206</v>
      </c>
      <c r="C68" s="12" t="s">
        <v>100</v>
      </c>
      <c r="D68" s="12" t="s">
        <v>207</v>
      </c>
      <c r="E68" s="10" t="s">
        <v>17</v>
      </c>
      <c r="F68" s="10" t="str">
        <f>LOOKUP(G68,Справочники!$B$2:$B$35,Справочники!$A$2:$A$35)</f>
        <v>Транспортный отдел</v>
      </c>
      <c r="G68" s="6" t="s">
        <v>50</v>
      </c>
      <c r="H68" s="62">
        <f>LOOKUP(G68,Справочники!$B$2:$B$35,Справочники!$C$2:$C$35)</f>
        <v>12000</v>
      </c>
      <c r="I68" s="61" t="s">
        <v>12</v>
      </c>
      <c r="J68" s="11">
        <v>32023</v>
      </c>
      <c r="K68" s="11">
        <v>22893</v>
      </c>
      <c r="L68" s="10">
        <f ca="1">DATEDIF(J68, TODAY(),"Y")</f>
        <v>35</v>
      </c>
      <c r="M68" s="10">
        <f ca="1">DATEDIF(K68, TODAY(),"Y")</f>
        <v>60</v>
      </c>
      <c r="N68" s="10" t="str">
        <f>LOOKUP(F68,Справочники!$F$2:$F$10,Справочники!$H$2:$H$10)</f>
        <v>+7(8332)64-32-18</v>
      </c>
    </row>
    <row r="69" spans="1:14" ht="15" outlineLevel="1" collapsed="1" x14ac:dyDescent="0.25">
      <c r="A69" s="10"/>
      <c r="B69" s="12"/>
      <c r="C69" s="12"/>
      <c r="D69" s="12"/>
      <c r="E69" s="10"/>
      <c r="F69" s="10"/>
      <c r="G69" s="6"/>
      <c r="H69" s="62">
        <f>SUBTOTAL(1,H55:H68)</f>
        <v>13714.285714285714</v>
      </c>
      <c r="I69" s="60" t="s">
        <v>271</v>
      </c>
      <c r="J69" s="11"/>
      <c r="K69" s="11"/>
      <c r="L69" s="10"/>
      <c r="M69" s="10"/>
      <c r="N69" s="10"/>
    </row>
    <row r="70" spans="1:14" ht="15" x14ac:dyDescent="0.25">
      <c r="A70" s="10"/>
      <c r="B70" s="12"/>
      <c r="C70" s="12"/>
      <c r="D70" s="12"/>
      <c r="E70" s="10"/>
      <c r="F70" s="10"/>
      <c r="G70" s="6"/>
      <c r="H70" s="62">
        <f>SUBTOTAL(1,H2:H68)</f>
        <v>16296.875</v>
      </c>
      <c r="I70" s="60" t="s">
        <v>267</v>
      </c>
      <c r="J70" s="11"/>
      <c r="K70" s="11"/>
      <c r="L70" s="10"/>
      <c r="M70" s="10"/>
      <c r="N70" s="10"/>
    </row>
    <row r="73" spans="1:14" x14ac:dyDescent="0.2">
      <c r="G73" s="63" t="s">
        <v>272</v>
      </c>
    </row>
  </sheetData>
  <sortState xmlns:xlrd2="http://schemas.microsoft.com/office/spreadsheetml/2017/richdata2" ref="A2:N68">
    <sortCondition ref="I2:I68"/>
  </sortState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73A2-6927-4961-AE23-B728086CECCD}">
  <dimension ref="A3:D14"/>
  <sheetViews>
    <sheetView workbookViewId="0">
      <selection activeCell="A3" sqref="A3"/>
    </sheetView>
  </sheetViews>
  <sheetFormatPr defaultRowHeight="15" x14ac:dyDescent="0.25"/>
  <cols>
    <col min="1" max="1" width="38" bestFit="1" customWidth="1"/>
    <col min="2" max="2" width="20.85546875" bestFit="1" customWidth="1"/>
    <col min="3" max="3" width="5.140625" bestFit="1" customWidth="1"/>
    <col min="4" max="4" width="11.85546875" bestFit="1" customWidth="1"/>
  </cols>
  <sheetData>
    <row r="3" spans="1:4" x14ac:dyDescent="0.25">
      <c r="A3" s="65" t="s">
        <v>275</v>
      </c>
      <c r="B3" s="65" t="s">
        <v>273</v>
      </c>
    </row>
    <row r="4" spans="1:4" x14ac:dyDescent="0.25">
      <c r="A4" s="65" t="s">
        <v>274</v>
      </c>
      <c r="B4" t="s">
        <v>9</v>
      </c>
      <c r="C4" t="s">
        <v>17</v>
      </c>
      <c r="D4" t="s">
        <v>256</v>
      </c>
    </row>
    <row r="5" spans="1:4" x14ac:dyDescent="0.25">
      <c r="A5" s="33" t="s">
        <v>10</v>
      </c>
      <c r="B5" s="64">
        <v>4</v>
      </c>
      <c r="C5" s="64">
        <v>2</v>
      </c>
      <c r="D5" s="64">
        <v>6</v>
      </c>
    </row>
    <row r="6" spans="1:4" x14ac:dyDescent="0.25">
      <c r="A6" s="33" t="s">
        <v>41</v>
      </c>
      <c r="B6" s="64"/>
      <c r="C6" s="64">
        <v>1</v>
      </c>
      <c r="D6" s="64">
        <v>1</v>
      </c>
    </row>
    <row r="7" spans="1:4" x14ac:dyDescent="0.25">
      <c r="A7" s="33" t="s">
        <v>43</v>
      </c>
      <c r="B7" s="64">
        <v>1</v>
      </c>
      <c r="C7" s="64">
        <v>1</v>
      </c>
      <c r="D7" s="64">
        <v>2</v>
      </c>
    </row>
    <row r="8" spans="1:4" x14ac:dyDescent="0.25">
      <c r="A8" s="33" t="s">
        <v>51</v>
      </c>
      <c r="B8" s="64">
        <v>10</v>
      </c>
      <c r="C8" s="64">
        <v>1</v>
      </c>
      <c r="D8" s="64">
        <v>11</v>
      </c>
    </row>
    <row r="9" spans="1:4" x14ac:dyDescent="0.25">
      <c r="A9" s="33" t="s">
        <v>26</v>
      </c>
      <c r="B9" s="64">
        <v>3</v>
      </c>
      <c r="C9" s="64">
        <v>7</v>
      </c>
      <c r="D9" s="64">
        <v>10</v>
      </c>
    </row>
    <row r="10" spans="1:4" x14ac:dyDescent="0.25">
      <c r="A10" s="33" t="s">
        <v>45</v>
      </c>
      <c r="B10" s="64">
        <v>1</v>
      </c>
      <c r="C10" s="64">
        <v>5</v>
      </c>
      <c r="D10" s="64">
        <v>6</v>
      </c>
    </row>
    <row r="11" spans="1:4" x14ac:dyDescent="0.25">
      <c r="A11" s="33" t="s">
        <v>29</v>
      </c>
      <c r="B11" s="64">
        <v>15</v>
      </c>
      <c r="C11" s="64">
        <v>1</v>
      </c>
      <c r="D11" s="64">
        <v>16</v>
      </c>
    </row>
    <row r="12" spans="1:4" x14ac:dyDescent="0.25">
      <c r="A12" s="33" t="s">
        <v>49</v>
      </c>
      <c r="B12" s="64">
        <v>1</v>
      </c>
      <c r="C12" s="64">
        <v>3</v>
      </c>
      <c r="D12" s="64">
        <v>4</v>
      </c>
    </row>
    <row r="13" spans="1:4" x14ac:dyDescent="0.25">
      <c r="A13" s="33" t="s">
        <v>19</v>
      </c>
      <c r="B13" s="64">
        <v>6</v>
      </c>
      <c r="C13" s="64">
        <v>2</v>
      </c>
      <c r="D13" s="64">
        <v>8</v>
      </c>
    </row>
    <row r="14" spans="1:4" x14ac:dyDescent="0.25">
      <c r="A14" s="33" t="s">
        <v>256</v>
      </c>
      <c r="B14" s="64">
        <v>41</v>
      </c>
      <c r="C14" s="64">
        <v>23</v>
      </c>
      <c r="D14" s="64">
        <v>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F07D-6747-4EFC-B22D-578048D274F2}">
  <dimension ref="A3:D9"/>
  <sheetViews>
    <sheetView workbookViewId="0">
      <selection activeCell="E12" sqref="E12"/>
    </sheetView>
  </sheetViews>
  <sheetFormatPr defaultRowHeight="15" x14ac:dyDescent="0.25"/>
  <cols>
    <col min="1" max="1" width="24" bestFit="1" customWidth="1"/>
    <col min="2" max="2" width="20.85546875" bestFit="1" customWidth="1"/>
    <col min="3" max="4" width="12" bestFit="1" customWidth="1"/>
    <col min="5" max="5" width="33.42578125" bestFit="1" customWidth="1"/>
    <col min="6" max="6" width="28.7109375" bestFit="1" customWidth="1"/>
    <col min="7" max="7" width="38.28515625" bestFit="1" customWidth="1"/>
  </cols>
  <sheetData>
    <row r="3" spans="1:4" x14ac:dyDescent="0.25">
      <c r="A3" s="65" t="s">
        <v>276</v>
      </c>
      <c r="B3" s="65" t="s">
        <v>277</v>
      </c>
    </row>
    <row r="4" spans="1:4" x14ac:dyDescent="0.25">
      <c r="A4" s="65" t="s">
        <v>5</v>
      </c>
      <c r="B4" t="s">
        <v>9</v>
      </c>
      <c r="C4" t="s">
        <v>17</v>
      </c>
      <c r="D4" t="s">
        <v>256</v>
      </c>
    </row>
    <row r="5" spans="1:4" x14ac:dyDescent="0.25">
      <c r="A5" s="33" t="s">
        <v>14</v>
      </c>
      <c r="B5" s="17">
        <v>16823.529411764706</v>
      </c>
      <c r="C5" s="17">
        <v>21333.333333333332</v>
      </c>
      <c r="D5" s="17">
        <v>18689.655172413793</v>
      </c>
    </row>
    <row r="6" spans="1:4" x14ac:dyDescent="0.25">
      <c r="A6" s="33" t="s">
        <v>25</v>
      </c>
      <c r="B6" s="17">
        <v>16555.555555555555</v>
      </c>
      <c r="C6" s="17">
        <v>17000</v>
      </c>
      <c r="D6" s="17">
        <v>16636.363636363636</v>
      </c>
    </row>
    <row r="7" spans="1:4" x14ac:dyDescent="0.25">
      <c r="A7" s="33" t="s">
        <v>33</v>
      </c>
      <c r="B7" s="17">
        <v>13200</v>
      </c>
      <c r="C7" s="17">
        <v>12000</v>
      </c>
      <c r="D7" s="17">
        <v>12600</v>
      </c>
    </row>
    <row r="8" spans="1:4" x14ac:dyDescent="0.25">
      <c r="A8" s="33" t="s">
        <v>12</v>
      </c>
      <c r="B8" s="17">
        <v>13500</v>
      </c>
      <c r="C8" s="17">
        <v>14250</v>
      </c>
      <c r="D8" s="17">
        <v>13714.285714285714</v>
      </c>
    </row>
    <row r="9" spans="1:4" x14ac:dyDescent="0.25">
      <c r="A9" s="33" t="s">
        <v>256</v>
      </c>
      <c r="B9" s="17">
        <v>15512.195121951219</v>
      </c>
      <c r="C9" s="17">
        <v>17695.652173913044</v>
      </c>
      <c r="D9" s="17">
        <v>16296.875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930C-B9EA-4146-8E9D-DF7D54584C12}">
  <dimension ref="A3:B13"/>
  <sheetViews>
    <sheetView zoomScaleNormal="100" workbookViewId="0">
      <selection activeCell="B16" sqref="B16"/>
    </sheetView>
  </sheetViews>
  <sheetFormatPr defaultRowHeight="15" x14ac:dyDescent="0.25"/>
  <cols>
    <col min="1" max="1" width="23.42578125" bestFit="1" customWidth="1"/>
    <col min="2" max="2" width="23.5703125" bestFit="1" customWidth="1"/>
  </cols>
  <sheetData>
    <row r="3" spans="1:2" x14ac:dyDescent="0.25">
      <c r="A3" s="65" t="s">
        <v>3</v>
      </c>
      <c r="B3" t="s">
        <v>278</v>
      </c>
    </row>
    <row r="4" spans="1:2" x14ac:dyDescent="0.25">
      <c r="A4" s="33" t="s">
        <v>10</v>
      </c>
      <c r="B4" s="17">
        <v>8800</v>
      </c>
    </row>
    <row r="5" spans="1:2" x14ac:dyDescent="0.25">
      <c r="A5" s="33" t="s">
        <v>41</v>
      </c>
      <c r="B5" s="17">
        <v>1500</v>
      </c>
    </row>
    <row r="6" spans="1:2" x14ac:dyDescent="0.25">
      <c r="A6" s="33" t="s">
        <v>43</v>
      </c>
      <c r="B6" s="17">
        <v>3600</v>
      </c>
    </row>
    <row r="7" spans="1:2" x14ac:dyDescent="0.25">
      <c r="A7" s="33" t="s">
        <v>51</v>
      </c>
      <c r="B7" s="17">
        <v>16900</v>
      </c>
    </row>
    <row r="8" spans="1:2" x14ac:dyDescent="0.25">
      <c r="A8" s="33" t="s">
        <v>26</v>
      </c>
      <c r="B8" s="17">
        <v>16900</v>
      </c>
    </row>
    <row r="9" spans="1:2" x14ac:dyDescent="0.25">
      <c r="A9" s="33" t="s">
        <v>45</v>
      </c>
      <c r="B9" s="17">
        <v>7400</v>
      </c>
    </row>
    <row r="10" spans="1:2" x14ac:dyDescent="0.25">
      <c r="A10" s="33" t="s">
        <v>29</v>
      </c>
      <c r="B10" s="17">
        <v>22100</v>
      </c>
    </row>
    <row r="11" spans="1:2" x14ac:dyDescent="0.25">
      <c r="A11" s="33" t="s">
        <v>49</v>
      </c>
      <c r="B11" s="17">
        <v>3600</v>
      </c>
    </row>
    <row r="12" spans="1:2" x14ac:dyDescent="0.25">
      <c r="A12" s="33" t="s">
        <v>19</v>
      </c>
      <c r="B12" s="17">
        <v>16800</v>
      </c>
    </row>
    <row r="13" spans="1:2" x14ac:dyDescent="0.25">
      <c r="A13" s="33" t="s">
        <v>256</v>
      </c>
      <c r="B13" s="17">
        <v>97600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282C-50BD-47CC-8ADA-BC508EA5ED4B}">
  <dimension ref="A3:G8"/>
  <sheetViews>
    <sheetView workbookViewId="0">
      <selection activeCell="B12" sqref="B11:B12"/>
    </sheetView>
  </sheetViews>
  <sheetFormatPr defaultRowHeight="15" x14ac:dyDescent="0.25"/>
  <cols>
    <col min="1" max="1" width="17.7109375" bestFit="1" customWidth="1"/>
    <col min="2" max="2" width="20.85546875" bestFit="1" customWidth="1"/>
    <col min="3" max="3" width="16.140625" bestFit="1" customWidth="1"/>
    <col min="4" max="4" width="18.7109375" bestFit="1" customWidth="1"/>
    <col min="5" max="5" width="16.140625" bestFit="1" customWidth="1"/>
    <col min="6" max="6" width="23.42578125" bestFit="1" customWidth="1"/>
    <col min="7" max="7" width="20.85546875" bestFit="1" customWidth="1"/>
  </cols>
  <sheetData>
    <row r="3" spans="1:7" x14ac:dyDescent="0.25">
      <c r="B3" s="65" t="s">
        <v>277</v>
      </c>
    </row>
    <row r="4" spans="1:7" x14ac:dyDescent="0.25">
      <c r="B4" t="s">
        <v>9</v>
      </c>
      <c r="D4" t="s">
        <v>17</v>
      </c>
      <c r="F4" t="s">
        <v>281</v>
      </c>
      <c r="G4" t="s">
        <v>279</v>
      </c>
    </row>
    <row r="5" spans="1:7" x14ac:dyDescent="0.25">
      <c r="A5" s="65" t="s">
        <v>3</v>
      </c>
      <c r="B5" t="s">
        <v>282</v>
      </c>
      <c r="C5" t="s">
        <v>280</v>
      </c>
      <c r="D5" t="s">
        <v>282</v>
      </c>
      <c r="E5" t="s">
        <v>280</v>
      </c>
    </row>
    <row r="6" spans="1:7" x14ac:dyDescent="0.25">
      <c r="A6" s="33" t="s">
        <v>26</v>
      </c>
      <c r="B6" s="64">
        <v>53</v>
      </c>
      <c r="C6" s="64">
        <v>27</v>
      </c>
      <c r="D6" s="64">
        <v>46</v>
      </c>
      <c r="E6" s="64">
        <v>14</v>
      </c>
      <c r="F6" s="64">
        <v>53</v>
      </c>
      <c r="G6" s="64">
        <v>27</v>
      </c>
    </row>
    <row r="7" spans="1:7" x14ac:dyDescent="0.25">
      <c r="A7" s="33" t="s">
        <v>19</v>
      </c>
      <c r="B7" s="64">
        <v>49</v>
      </c>
      <c r="C7" s="64">
        <v>28</v>
      </c>
      <c r="D7" s="64">
        <v>46</v>
      </c>
      <c r="E7" s="64">
        <v>17</v>
      </c>
      <c r="F7" s="64">
        <v>49</v>
      </c>
      <c r="G7" s="64">
        <v>28</v>
      </c>
    </row>
    <row r="8" spans="1:7" x14ac:dyDescent="0.25">
      <c r="A8" s="33" t="s">
        <v>256</v>
      </c>
      <c r="B8" s="64">
        <v>53</v>
      </c>
      <c r="C8" s="64">
        <v>28</v>
      </c>
      <c r="D8" s="64">
        <v>46</v>
      </c>
      <c r="E8" s="64">
        <v>17</v>
      </c>
      <c r="F8" s="64">
        <v>53</v>
      </c>
      <c r="G8" s="64">
        <v>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3C75-C8C6-44A2-934E-A12A85DED7BD}">
  <dimension ref="A1:L75"/>
  <sheetViews>
    <sheetView workbookViewId="0">
      <selection activeCell="A8" sqref="A8"/>
    </sheetView>
  </sheetViews>
  <sheetFormatPr defaultRowHeight="15" outlineLevelRow="2" x14ac:dyDescent="0.25"/>
  <cols>
    <col min="1" max="1" width="41.7109375" customWidth="1"/>
    <col min="2" max="2" width="14.42578125" customWidth="1"/>
    <col min="3" max="3" width="19.42578125" customWidth="1"/>
    <col min="4" max="4" width="18.5703125" customWidth="1"/>
    <col min="5" max="5" width="15.85546875" customWidth="1"/>
    <col min="6" max="6" width="16.7109375" customWidth="1"/>
    <col min="7" max="7" width="15.85546875" customWidth="1"/>
    <col min="8" max="12" width="0" hidden="1" customWidth="1"/>
  </cols>
  <sheetData>
    <row r="1" spans="1:12" ht="38.25" x14ac:dyDescent="0.25">
      <c r="A1" s="2" t="s">
        <v>3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9" t="s">
        <v>1</v>
      </c>
      <c r="I1" s="1" t="s">
        <v>212</v>
      </c>
      <c r="J1" s="1" t="s">
        <v>213</v>
      </c>
      <c r="K1" s="1" t="s">
        <v>214</v>
      </c>
      <c r="L1" s="2" t="s">
        <v>4</v>
      </c>
    </row>
    <row r="2" spans="1:12" hidden="1" outlineLevel="2" x14ac:dyDescent="0.25">
      <c r="A2" s="12" t="str">
        <f>LOOKUP(L2,Справочники!$B$2:$B$35,Справочники!$A$2:$A$35)</f>
        <v>Бухгалтерия</v>
      </c>
      <c r="B2" s="31">
        <f>Октябрь!E4+Ноябрь!E4+Декабрь!E4</f>
        <v>36000</v>
      </c>
      <c r="C2" s="31">
        <f ca="1">Октябрь!F4+Ноябрь!F4+Декабрь!F4</f>
        <v>9451.0811192764268</v>
      </c>
      <c r="D2" s="31">
        <f>Октябрь!G4+Ноябрь!G4+Декабрь!G4</f>
        <v>5400</v>
      </c>
      <c r="E2" s="31">
        <f t="shared" ref="E2:E7" ca="1" si="0">B2+C2+D2</f>
        <v>50851.081119276423</v>
      </c>
      <c r="F2" s="31">
        <f ca="1">Октябрь!I4+Ноябрь!I4+Декабрь!I4</f>
        <v>6610.6405455059357</v>
      </c>
      <c r="G2" s="31">
        <f t="shared" ref="G2:G7" ca="1" si="1">E2-F2</f>
        <v>44240.440573770487</v>
      </c>
      <c r="H2" s="32"/>
      <c r="I2" s="12"/>
      <c r="J2" s="12"/>
      <c r="K2" s="12"/>
      <c r="L2" s="12" t="s">
        <v>11</v>
      </c>
    </row>
    <row r="3" spans="1:12" hidden="1" outlineLevel="2" x14ac:dyDescent="0.25">
      <c r="A3" s="12" t="str">
        <f>LOOKUP(L3,Справочники!$B$2:$B$35,Справочники!$A$2:$A$35)</f>
        <v>Бухгалтерия</v>
      </c>
      <c r="B3" s="31">
        <f>Октябрь!E5+Ноябрь!E5+Декабрь!E5</f>
        <v>51000</v>
      </c>
      <c r="C3" s="31">
        <f ca="1">Октябрь!F5+Ноябрь!F5+Декабрь!F5</f>
        <v>13389.031585641604</v>
      </c>
      <c r="D3" s="31">
        <f>Октябрь!G5+Ноябрь!G5+Декабрь!G5</f>
        <v>7650</v>
      </c>
      <c r="E3" s="31">
        <f t="shared" ca="1" si="0"/>
        <v>72039.031585641613</v>
      </c>
      <c r="F3" s="31">
        <f ca="1">Октябрь!I5+Ноябрь!I5+Декабрь!I5</f>
        <v>9365.0741061334083</v>
      </c>
      <c r="G3" s="31">
        <f t="shared" ca="1" si="1"/>
        <v>62673.957479508201</v>
      </c>
      <c r="H3" s="32"/>
      <c r="I3" s="12"/>
      <c r="J3" s="12"/>
      <c r="K3" s="12"/>
      <c r="L3" s="12" t="s">
        <v>18</v>
      </c>
    </row>
    <row r="4" spans="1:12" hidden="1" outlineLevel="2" x14ac:dyDescent="0.25">
      <c r="A4" s="12" t="str">
        <f>LOOKUP(L4,Справочники!$B$2:$B$35,Справочники!$A$2:$A$35)</f>
        <v>Бухгалтерия</v>
      </c>
      <c r="B4" s="31">
        <f>Октябрь!E11+Ноябрь!E11+Декабрь!E11</f>
        <v>60000</v>
      </c>
      <c r="C4" s="31">
        <f ca="1">Октябрь!F11+Ноябрь!F11+Декабрь!F11</f>
        <v>15751.801865460711</v>
      </c>
      <c r="D4" s="31">
        <f>Октябрь!G11+Ноябрь!G11+Декабрь!G11</f>
        <v>9000</v>
      </c>
      <c r="E4" s="31">
        <f t="shared" ca="1" si="0"/>
        <v>84751.801865460715</v>
      </c>
      <c r="F4" s="31">
        <f ca="1">Октябрь!I11+Ноябрь!I11+Декабрь!I11</f>
        <v>11017.734242509894</v>
      </c>
      <c r="G4" s="31">
        <f t="shared" ca="1" si="1"/>
        <v>73734.067622950824</v>
      </c>
      <c r="H4" s="32"/>
      <c r="I4" s="12"/>
      <c r="J4" s="12"/>
      <c r="K4" s="12"/>
      <c r="L4" s="12" t="s">
        <v>13</v>
      </c>
    </row>
    <row r="5" spans="1:12" hidden="1" outlineLevel="2" x14ac:dyDescent="0.25">
      <c r="A5" s="12" t="str">
        <f>LOOKUP(L5,Справочники!$B$2:$B$35,Справочники!$A$2:$A$35)</f>
        <v>Бухгалтерия</v>
      </c>
      <c r="B5" s="31">
        <f>Октябрь!E17+Ноябрь!E17+Декабрь!E17</f>
        <v>36000</v>
      </c>
      <c r="C5" s="31">
        <f ca="1">Октябрь!F17+Ноябрь!F17+Декабрь!F17</f>
        <v>9451.0811192764268</v>
      </c>
      <c r="D5" s="31">
        <f>Октябрь!G17+Ноябрь!G17+Декабрь!G17</f>
        <v>5400</v>
      </c>
      <c r="E5" s="31">
        <f t="shared" ca="1" si="0"/>
        <v>50851.081119276423</v>
      </c>
      <c r="F5" s="31">
        <f ca="1">Октябрь!I17+Ноябрь!I17+Декабрь!I17</f>
        <v>6610.6405455059357</v>
      </c>
      <c r="G5" s="31">
        <f t="shared" ca="1" si="1"/>
        <v>44240.440573770487</v>
      </c>
      <c r="H5" s="32"/>
      <c r="I5" s="12"/>
      <c r="J5" s="12"/>
      <c r="K5" s="12"/>
      <c r="L5" s="12" t="s">
        <v>15</v>
      </c>
    </row>
    <row r="6" spans="1:12" hidden="1" outlineLevel="2" x14ac:dyDescent="0.25">
      <c r="A6" s="12" t="str">
        <f>LOOKUP(L6,Справочники!$B$2:$B$35,Справочники!$A$2:$A$35)</f>
        <v>Бухгалтерия</v>
      </c>
      <c r="B6" s="31">
        <f>Октябрь!E31+Ноябрь!E31+Декабрь!E31</f>
        <v>36000</v>
      </c>
      <c r="C6" s="31">
        <f ca="1">Октябрь!F31+Ноябрь!F31+Декабрь!F31</f>
        <v>9451.0811192764268</v>
      </c>
      <c r="D6" s="31">
        <f>Октябрь!G31+Ноябрь!G31+Декабрь!G31</f>
        <v>5400</v>
      </c>
      <c r="E6" s="31">
        <f t="shared" ca="1" si="0"/>
        <v>50851.081119276423</v>
      </c>
      <c r="F6" s="31">
        <f ca="1">Октябрь!I31+Ноябрь!I31+Декабрь!I31</f>
        <v>6610.6405455059357</v>
      </c>
      <c r="G6" s="31">
        <f t="shared" ca="1" si="1"/>
        <v>44240.440573770487</v>
      </c>
      <c r="H6" s="32"/>
      <c r="I6" s="12"/>
      <c r="J6" s="12"/>
      <c r="K6" s="12"/>
      <c r="L6" s="12" t="s">
        <v>11</v>
      </c>
    </row>
    <row r="7" spans="1:12" hidden="1" outlineLevel="2" x14ac:dyDescent="0.25">
      <c r="A7" s="12" t="str">
        <f>LOOKUP(L7,Справочники!$B$2:$B$35,Справочники!$A$2:$A$35)</f>
        <v>Бухгалтерия</v>
      </c>
      <c r="B7" s="31">
        <f>Октябрь!E32+Ноябрь!E32+Декабрь!E32</f>
        <v>45000</v>
      </c>
      <c r="C7" s="31">
        <f ca="1">Октябрь!F32+Ноябрь!F32+Декабрь!F32</f>
        <v>11813.851399095533</v>
      </c>
      <c r="D7" s="31">
        <f>Октябрь!G32+Ноябрь!G32+Декабрь!G32</f>
        <v>6750</v>
      </c>
      <c r="E7" s="31">
        <f t="shared" ca="1" si="0"/>
        <v>63563.851399095533</v>
      </c>
      <c r="F7" s="31">
        <f ca="1">Октябрь!I32+Ноябрь!I32+Декабрь!I32</f>
        <v>8263.3006818824197</v>
      </c>
      <c r="G7" s="31">
        <f t="shared" ca="1" si="1"/>
        <v>55300.550717213111</v>
      </c>
      <c r="H7" s="32"/>
      <c r="I7" s="12"/>
      <c r="J7" s="12"/>
      <c r="K7" s="12"/>
      <c r="L7" s="12" t="s">
        <v>16</v>
      </c>
    </row>
    <row r="8" spans="1:12" outlineLevel="1" collapsed="1" x14ac:dyDescent="0.25">
      <c r="A8" s="9" t="s">
        <v>247</v>
      </c>
      <c r="B8" s="31">
        <f t="shared" ref="B8:G8" si="2">SUBTOTAL(9,B2:B7)</f>
        <v>264000</v>
      </c>
      <c r="C8" s="31">
        <f t="shared" ca="1" si="2"/>
        <v>69307.928208027122</v>
      </c>
      <c r="D8" s="31">
        <f t="shared" si="2"/>
        <v>39600</v>
      </c>
      <c r="E8" s="31">
        <f t="shared" ca="1" si="2"/>
        <v>372907.92820802715</v>
      </c>
      <c r="F8" s="31">
        <f t="shared" ca="1" si="2"/>
        <v>48478.030667043531</v>
      </c>
      <c r="G8" s="31">
        <f t="shared" ca="1" si="2"/>
        <v>324429.89754098363</v>
      </c>
      <c r="H8" s="32"/>
      <c r="I8" s="12"/>
      <c r="J8" s="12"/>
      <c r="K8" s="12"/>
      <c r="L8" s="12"/>
    </row>
    <row r="9" spans="1:12" hidden="1" outlineLevel="2" x14ac:dyDescent="0.25">
      <c r="A9" s="12" t="str">
        <f>LOOKUP(L9,Справочники!$B$2:$B$35,Справочники!$A$2:$A$35)</f>
        <v>Отдел продаж</v>
      </c>
      <c r="B9" s="31">
        <f>Октябрь!E19+Ноябрь!E19+Декабрь!E19</f>
        <v>45000</v>
      </c>
      <c r="C9" s="31">
        <f ca="1">Октябрь!F19+Ноябрь!F19+Декабрь!F19</f>
        <v>11813.851399095533</v>
      </c>
      <c r="D9" s="31">
        <f>Октябрь!G19+Ноябрь!G19+Декабрь!G19</f>
        <v>6750</v>
      </c>
      <c r="E9" s="31">
        <f ca="1">B9+C9+D9</f>
        <v>63563.851399095533</v>
      </c>
      <c r="F9" s="31">
        <f ca="1">Октябрь!I19+Ноябрь!I19+Декабрь!I19</f>
        <v>8263.3006818824197</v>
      </c>
      <c r="G9" s="31">
        <f ca="1">E9-F9</f>
        <v>55300.550717213111</v>
      </c>
      <c r="H9" s="32"/>
      <c r="I9" s="12"/>
      <c r="J9" s="12"/>
      <c r="K9" s="12"/>
      <c r="L9" s="12" t="s">
        <v>42</v>
      </c>
    </row>
    <row r="10" spans="1:12" outlineLevel="1" collapsed="1" x14ac:dyDescent="0.25">
      <c r="A10" s="9" t="s">
        <v>248</v>
      </c>
      <c r="B10" s="31">
        <f t="shared" ref="B10:G10" si="3">SUBTOTAL(9,B9:B9)</f>
        <v>45000</v>
      </c>
      <c r="C10" s="31">
        <f t="shared" ca="1" si="3"/>
        <v>11813.851399095533</v>
      </c>
      <c r="D10" s="31">
        <f t="shared" si="3"/>
        <v>6750</v>
      </c>
      <c r="E10" s="31">
        <f t="shared" ca="1" si="3"/>
        <v>63563.851399095533</v>
      </c>
      <c r="F10" s="31">
        <f t="shared" ca="1" si="3"/>
        <v>8263.3006818824197</v>
      </c>
      <c r="G10" s="31">
        <f t="shared" ca="1" si="3"/>
        <v>55300.550717213111</v>
      </c>
      <c r="H10" s="32"/>
      <c r="I10" s="12"/>
      <c r="J10" s="12"/>
      <c r="K10" s="12"/>
      <c r="L10" s="12"/>
    </row>
    <row r="11" spans="1:12" hidden="1" outlineLevel="2" x14ac:dyDescent="0.25">
      <c r="A11" s="12" t="str">
        <f>LOOKUP(L11,Справочники!$B$2:$B$35,Справочники!$A$2:$A$35)</f>
        <v>Отдел худ. оформления</v>
      </c>
      <c r="B11" s="31">
        <f>Октябрь!E24+Ноябрь!E24+Декабрь!E24</f>
        <v>54000</v>
      </c>
      <c r="C11" s="31">
        <f ca="1">Октябрь!F24+Ноябрь!F24+Декабрь!F24</f>
        <v>14176.62167891464</v>
      </c>
      <c r="D11" s="31">
        <f>Октябрь!G24+Ноябрь!G24+Декабрь!G24</f>
        <v>8100</v>
      </c>
      <c r="E11" s="31">
        <f ca="1">B11+C11+D11</f>
        <v>76276.621678914642</v>
      </c>
      <c r="F11" s="31">
        <f ca="1">Октябрь!I24+Ноябрь!I24+Декабрь!I24</f>
        <v>9915.9608182589036</v>
      </c>
      <c r="G11" s="31">
        <f ca="1">E11-F11</f>
        <v>66360.660860655742</v>
      </c>
      <c r="H11" s="32"/>
      <c r="I11" s="12"/>
      <c r="J11" s="12"/>
      <c r="K11" s="12"/>
      <c r="L11" s="12" t="s">
        <v>44</v>
      </c>
    </row>
    <row r="12" spans="1:12" hidden="1" outlineLevel="2" x14ac:dyDescent="0.25">
      <c r="A12" s="12" t="str">
        <f>LOOKUP(L12,Справочники!$B$2:$B$35,Справочники!$A$2:$A$35)</f>
        <v>Отдел худ. оформления</v>
      </c>
      <c r="B12" s="31">
        <f>Октябрь!E64+Ноябрь!E64+Декабрь!E64</f>
        <v>54000</v>
      </c>
      <c r="C12" s="31">
        <f ca="1">Октябрь!F64+Ноябрь!F64+Декабрь!F64</f>
        <v>14176.62167891464</v>
      </c>
      <c r="D12" s="31">
        <f>Октябрь!G64+Ноябрь!G64+Декабрь!G64</f>
        <v>8100</v>
      </c>
      <c r="E12" s="31">
        <f ca="1">B12+C12+D12</f>
        <v>76276.621678914642</v>
      </c>
      <c r="F12" s="31">
        <f ca="1">Октябрь!I64+Ноябрь!I64+Декабрь!I64</f>
        <v>9915.9608182589036</v>
      </c>
      <c r="G12" s="31">
        <f ca="1">E12-F12</f>
        <v>66360.660860655742</v>
      </c>
      <c r="H12" s="32"/>
      <c r="I12" s="12"/>
      <c r="J12" s="12"/>
      <c r="K12" s="12"/>
      <c r="L12" s="12" t="s">
        <v>44</v>
      </c>
    </row>
    <row r="13" spans="1:12" outlineLevel="1" collapsed="1" x14ac:dyDescent="0.25">
      <c r="A13" s="9" t="s">
        <v>249</v>
      </c>
      <c r="B13" s="31">
        <f t="shared" ref="B13:G13" si="4">SUBTOTAL(9,B11:B12)</f>
        <v>108000</v>
      </c>
      <c r="C13" s="31">
        <f t="shared" ca="1" si="4"/>
        <v>28353.24335782928</v>
      </c>
      <c r="D13" s="31">
        <f t="shared" si="4"/>
        <v>16200</v>
      </c>
      <c r="E13" s="31">
        <f t="shared" ca="1" si="4"/>
        <v>152553.24335782928</v>
      </c>
      <c r="F13" s="31">
        <f t="shared" ca="1" si="4"/>
        <v>19831.921636517807</v>
      </c>
      <c r="G13" s="31">
        <f t="shared" ca="1" si="4"/>
        <v>132721.32172131148</v>
      </c>
      <c r="H13" s="32"/>
      <c r="I13" s="12"/>
      <c r="J13" s="12"/>
      <c r="K13" s="12"/>
      <c r="L13" s="12"/>
    </row>
    <row r="14" spans="1:12" hidden="1" outlineLevel="2" x14ac:dyDescent="0.25">
      <c r="A14" s="12" t="str">
        <f>LOOKUP(L14,Справочники!$B$2:$B$35,Справочники!$A$2:$A$35)</f>
        <v>Редакторский отдел</v>
      </c>
      <c r="B14" s="31">
        <f>Октябрь!E9+Ноябрь!E9+Декабрь!E9</f>
        <v>48000</v>
      </c>
      <c r="C14" s="31">
        <f ca="1">Октябрь!F9+Ноябрь!F9+Декабрь!F9</f>
        <v>12601.441492368569</v>
      </c>
      <c r="D14" s="31">
        <f>Октябрь!G9+Ноябрь!G9+Декабрь!G9</f>
        <v>7200</v>
      </c>
      <c r="E14" s="31">
        <f t="shared" ref="E14:E24" ca="1" si="5">B14+C14+D14</f>
        <v>67801.441492368569</v>
      </c>
      <c r="F14" s="31">
        <f ca="1">Октябрь!I9+Ноябрь!I9+Декабрь!I9</f>
        <v>8814.1873940079131</v>
      </c>
      <c r="G14" s="31">
        <f t="shared" ref="G14:G24" ca="1" si="6">E14-F14</f>
        <v>58987.25409836066</v>
      </c>
      <c r="H14" s="32"/>
      <c r="I14" s="12"/>
      <c r="J14" s="12"/>
      <c r="K14" s="12"/>
      <c r="L14" s="12" t="s">
        <v>52</v>
      </c>
    </row>
    <row r="15" spans="1:12" hidden="1" outlineLevel="2" x14ac:dyDescent="0.25">
      <c r="A15" s="12" t="str">
        <f>LOOKUP(L15,Справочники!$B$2:$B$35,Справочники!$A$2:$A$35)</f>
        <v>Редакторский отдел</v>
      </c>
      <c r="B15" s="31">
        <f>Октябрь!E20+Ноябрь!E20+Декабрь!E20</f>
        <v>57000</v>
      </c>
      <c r="C15" s="31">
        <f ca="1">Октябрь!F20+Ноябрь!F20+Декабрь!F20</f>
        <v>14964.211772187675</v>
      </c>
      <c r="D15" s="31">
        <f>Октябрь!G20+Ноябрь!G20+Декабрь!G20</f>
        <v>8550</v>
      </c>
      <c r="E15" s="31">
        <f t="shared" ca="1" si="5"/>
        <v>80514.211772187671</v>
      </c>
      <c r="F15" s="31">
        <f ca="1">Октябрь!I20+Ноябрь!I20+Декабрь!I20</f>
        <v>10466.847530384399</v>
      </c>
      <c r="G15" s="31">
        <f t="shared" ca="1" si="6"/>
        <v>70047.364241803269</v>
      </c>
      <c r="H15" s="32"/>
      <c r="I15" s="12"/>
      <c r="J15" s="12"/>
      <c r="K15" s="12"/>
      <c r="L15" s="12" t="s">
        <v>53</v>
      </c>
    </row>
    <row r="16" spans="1:12" hidden="1" outlineLevel="2" x14ac:dyDescent="0.25">
      <c r="A16" s="12" t="str">
        <f>LOOKUP(L16,Справочники!$B$2:$B$35,Справочники!$A$2:$A$35)</f>
        <v>Редакторский отдел</v>
      </c>
      <c r="B16" s="31">
        <f>Октябрь!E22+Ноябрь!E22+Декабрь!E22</f>
        <v>42000</v>
      </c>
      <c r="C16" s="31">
        <f ca="1">Октябрь!F22+Ноябрь!F22+Декабрь!F22</f>
        <v>11026.261305822496</v>
      </c>
      <c r="D16" s="31">
        <f>Октябрь!G22+Ноябрь!G22+Декабрь!G22</f>
        <v>6300</v>
      </c>
      <c r="E16" s="31">
        <f t="shared" ca="1" si="5"/>
        <v>59326.261305822496</v>
      </c>
      <c r="F16" s="31">
        <f ca="1">Октябрь!I22+Ноябрь!I22+Декабрь!I22</f>
        <v>7712.4139697569244</v>
      </c>
      <c r="G16" s="31">
        <f t="shared" ca="1" si="6"/>
        <v>51613.84733606557</v>
      </c>
      <c r="H16" s="32"/>
      <c r="I16" s="12"/>
      <c r="J16" s="12"/>
      <c r="K16" s="12"/>
      <c r="L16" s="12" t="s">
        <v>54</v>
      </c>
    </row>
    <row r="17" spans="1:12" hidden="1" outlineLevel="2" x14ac:dyDescent="0.25">
      <c r="A17" s="12" t="str">
        <f>LOOKUP(L17,Справочники!$B$2:$B$35,Справочники!$A$2:$A$35)</f>
        <v>Редакторский отдел</v>
      </c>
      <c r="B17" s="31">
        <f>Октябрь!E26+Ноябрь!E26+Декабрь!E26</f>
        <v>48000</v>
      </c>
      <c r="C17" s="31">
        <f ca="1">Октябрь!F26+Ноябрь!F26+Декабрь!F26</f>
        <v>12601.441492368569</v>
      </c>
      <c r="D17" s="31">
        <f>Октябрь!G26+Ноябрь!G26+Декабрь!G26</f>
        <v>7200</v>
      </c>
      <c r="E17" s="31">
        <f t="shared" ca="1" si="5"/>
        <v>67801.441492368569</v>
      </c>
      <c r="F17" s="31">
        <f ca="1">Октябрь!I26+Ноябрь!I26+Декабрь!I26</f>
        <v>8814.1873940079131</v>
      </c>
      <c r="G17" s="31">
        <f t="shared" ca="1" si="6"/>
        <v>58987.25409836066</v>
      </c>
      <c r="H17" s="32"/>
      <c r="I17" s="12"/>
      <c r="J17" s="12"/>
      <c r="K17" s="12"/>
      <c r="L17" s="12" t="s">
        <v>52</v>
      </c>
    </row>
    <row r="18" spans="1:12" hidden="1" outlineLevel="2" x14ac:dyDescent="0.25">
      <c r="A18" s="12" t="str">
        <f>LOOKUP(L18,Справочники!$B$2:$B$35,Справочники!$A$2:$A$35)</f>
        <v>Редакторский отдел</v>
      </c>
      <c r="B18" s="31">
        <f>Октябрь!E27+Ноябрь!E27+Декабрь!E27</f>
        <v>42000</v>
      </c>
      <c r="C18" s="31">
        <f ca="1">Октябрь!F27+Ноябрь!F27+Декабрь!F27</f>
        <v>11026.261305822496</v>
      </c>
      <c r="D18" s="31">
        <f>Октябрь!G27+Ноябрь!G27+Декабрь!G27</f>
        <v>6300</v>
      </c>
      <c r="E18" s="31">
        <f t="shared" ca="1" si="5"/>
        <v>59326.261305822496</v>
      </c>
      <c r="F18" s="31">
        <f ca="1">Октябрь!I27+Ноябрь!I27+Декабрь!I27</f>
        <v>7712.4139697569244</v>
      </c>
      <c r="G18" s="31">
        <f t="shared" ca="1" si="6"/>
        <v>51613.84733606557</v>
      </c>
      <c r="H18" s="32"/>
      <c r="I18" s="12"/>
      <c r="J18" s="12"/>
      <c r="K18" s="12"/>
      <c r="L18" s="12" t="s">
        <v>54</v>
      </c>
    </row>
    <row r="19" spans="1:12" hidden="1" outlineLevel="2" x14ac:dyDescent="0.25">
      <c r="A19" s="12" t="str">
        <f>LOOKUP(L19,Справочники!$B$2:$B$35,Справочники!$A$2:$A$35)</f>
        <v>Редакторский отдел</v>
      </c>
      <c r="B19" s="31">
        <f>Октябрь!E28+Ноябрь!E28+Декабрь!E28</f>
        <v>42000</v>
      </c>
      <c r="C19" s="31">
        <f ca="1">Октябрь!F28+Ноябрь!F28+Декабрь!F28</f>
        <v>11026.261305822496</v>
      </c>
      <c r="D19" s="31">
        <f>Октябрь!G28+Ноябрь!G28+Декабрь!G28</f>
        <v>6300</v>
      </c>
      <c r="E19" s="31">
        <f t="shared" ca="1" si="5"/>
        <v>59326.261305822496</v>
      </c>
      <c r="F19" s="31">
        <f ca="1">Октябрь!I28+Ноябрь!I28+Декабрь!I28</f>
        <v>7712.4139697569244</v>
      </c>
      <c r="G19" s="31">
        <f t="shared" ca="1" si="6"/>
        <v>51613.84733606557</v>
      </c>
      <c r="H19" s="32"/>
      <c r="I19" s="12"/>
      <c r="J19" s="12"/>
      <c r="K19" s="12"/>
      <c r="L19" s="12" t="s">
        <v>55</v>
      </c>
    </row>
    <row r="20" spans="1:12" hidden="1" outlineLevel="2" x14ac:dyDescent="0.25">
      <c r="A20" s="12" t="str">
        <f>LOOKUP(L20,Справочники!$B$2:$B$35,Справочники!$A$2:$A$35)</f>
        <v>Редакторский отдел</v>
      </c>
      <c r="B20" s="31">
        <f>Октябрь!E37+Ноябрь!E37+Декабрь!E37</f>
        <v>42000</v>
      </c>
      <c r="C20" s="31">
        <f ca="1">Октябрь!F37+Ноябрь!F37+Декабрь!F37</f>
        <v>11026.261305822496</v>
      </c>
      <c r="D20" s="31">
        <f>Октябрь!G37+Ноябрь!G37+Декабрь!G37</f>
        <v>6300</v>
      </c>
      <c r="E20" s="31">
        <f t="shared" ca="1" si="5"/>
        <v>59326.261305822496</v>
      </c>
      <c r="F20" s="31">
        <f ca="1">Октябрь!I37+Ноябрь!I37+Декабрь!I37</f>
        <v>7712.4139697569244</v>
      </c>
      <c r="G20" s="31">
        <f t="shared" ca="1" si="6"/>
        <v>51613.84733606557</v>
      </c>
      <c r="H20" s="32"/>
      <c r="I20" s="12"/>
      <c r="J20" s="12"/>
      <c r="K20" s="12"/>
      <c r="L20" s="12" t="s">
        <v>55</v>
      </c>
    </row>
    <row r="21" spans="1:12" hidden="1" outlineLevel="2" x14ac:dyDescent="0.25">
      <c r="A21" s="12" t="str">
        <f>LOOKUP(L21,Справочники!$B$2:$B$35,Справочники!$A$2:$A$35)</f>
        <v>Редакторский отдел</v>
      </c>
      <c r="B21" s="31">
        <f>Октябрь!E43+Ноябрь!E43+Декабрь!E43</f>
        <v>42000</v>
      </c>
      <c r="C21" s="31">
        <f ca="1">Октябрь!F43+Ноябрь!F43+Декабрь!F43</f>
        <v>11026.261305822496</v>
      </c>
      <c r="D21" s="31">
        <f>Октябрь!G43+Ноябрь!G43+Декабрь!G43</f>
        <v>6300</v>
      </c>
      <c r="E21" s="31">
        <f t="shared" ca="1" si="5"/>
        <v>59326.261305822496</v>
      </c>
      <c r="F21" s="31">
        <f ca="1">Октябрь!I43+Ноябрь!I43+Декабрь!I43</f>
        <v>7712.4139697569244</v>
      </c>
      <c r="G21" s="31">
        <f t="shared" ca="1" si="6"/>
        <v>51613.84733606557</v>
      </c>
      <c r="H21" s="32"/>
      <c r="I21" s="12"/>
      <c r="J21" s="12"/>
      <c r="K21" s="12"/>
      <c r="L21" s="12" t="s">
        <v>54</v>
      </c>
    </row>
    <row r="22" spans="1:12" hidden="1" outlineLevel="2" x14ac:dyDescent="0.25">
      <c r="A22" s="12" t="str">
        <f>LOOKUP(L22,Справочники!$B$2:$B$35,Справочники!$A$2:$A$35)</f>
        <v>Редакторский отдел</v>
      </c>
      <c r="B22" s="31">
        <f>Октябрь!E50+Ноябрь!E50+Декабрь!E50</f>
        <v>60000</v>
      </c>
      <c r="C22" s="31">
        <f ca="1">Октябрь!F50+Ноябрь!F50+Декабрь!F50</f>
        <v>15751.801865460711</v>
      </c>
      <c r="D22" s="31">
        <f>Октябрь!G50+Ноябрь!G50+Декабрь!G50</f>
        <v>9000</v>
      </c>
      <c r="E22" s="31">
        <f t="shared" ca="1" si="5"/>
        <v>84751.801865460715</v>
      </c>
      <c r="F22" s="31">
        <f ca="1">Октябрь!I50+Ноябрь!I50+Декабрь!I50</f>
        <v>11017.734242509894</v>
      </c>
      <c r="G22" s="31">
        <f t="shared" ca="1" si="6"/>
        <v>73734.067622950824</v>
      </c>
      <c r="H22" s="32"/>
      <c r="I22" s="12"/>
      <c r="J22" s="12"/>
      <c r="K22" s="12"/>
      <c r="L22" s="12" t="s">
        <v>56</v>
      </c>
    </row>
    <row r="23" spans="1:12" hidden="1" outlineLevel="2" x14ac:dyDescent="0.25">
      <c r="A23" s="12" t="str">
        <f>LOOKUP(L23,Справочники!$B$2:$B$35,Справочники!$A$2:$A$35)</f>
        <v>Редакторский отдел</v>
      </c>
      <c r="B23" s="31">
        <f>Октябрь!E53+Ноябрь!E53+Декабрь!E53</f>
        <v>42000</v>
      </c>
      <c r="C23" s="31">
        <f ca="1">Октябрь!F53+Ноябрь!F53+Декабрь!F53</f>
        <v>11026.261305822496</v>
      </c>
      <c r="D23" s="31">
        <f>Октябрь!G53+Ноябрь!G53+Декабрь!G53</f>
        <v>6300</v>
      </c>
      <c r="E23" s="31">
        <f t="shared" ca="1" si="5"/>
        <v>59326.261305822496</v>
      </c>
      <c r="F23" s="31">
        <f ca="1">Октябрь!I53+Ноябрь!I53+Декабрь!I53</f>
        <v>7712.4139697569244</v>
      </c>
      <c r="G23" s="31">
        <f t="shared" ca="1" si="6"/>
        <v>51613.84733606557</v>
      </c>
      <c r="H23" s="32"/>
      <c r="I23" s="12"/>
      <c r="J23" s="12"/>
      <c r="K23" s="12"/>
      <c r="L23" s="12" t="s">
        <v>55</v>
      </c>
    </row>
    <row r="24" spans="1:12" hidden="1" outlineLevel="2" x14ac:dyDescent="0.25">
      <c r="A24" s="12" t="str">
        <f>LOOKUP(L24,Справочники!$B$2:$B$35,Справочники!$A$2:$A$35)</f>
        <v>Редакторский отдел</v>
      </c>
      <c r="B24" s="31">
        <f>Октябрь!E59+Ноябрь!E59+Декабрь!E59</f>
        <v>42000</v>
      </c>
      <c r="C24" s="31">
        <f ca="1">Октябрь!F59+Ноябрь!F59+Декабрь!F59</f>
        <v>11026.261305822496</v>
      </c>
      <c r="D24" s="31">
        <f>Октябрь!G59+Ноябрь!G59+Декабрь!G59</f>
        <v>6300</v>
      </c>
      <c r="E24" s="31">
        <f t="shared" ca="1" si="5"/>
        <v>59326.261305822496</v>
      </c>
      <c r="F24" s="31">
        <f ca="1">Октябрь!I59+Ноябрь!I59+Декабрь!I59</f>
        <v>7712.4139697569244</v>
      </c>
      <c r="G24" s="31">
        <f t="shared" ca="1" si="6"/>
        <v>51613.84733606557</v>
      </c>
      <c r="H24" s="32"/>
      <c r="I24" s="12"/>
      <c r="J24" s="12"/>
      <c r="K24" s="12"/>
      <c r="L24" s="12" t="s">
        <v>55</v>
      </c>
    </row>
    <row r="25" spans="1:12" outlineLevel="1" collapsed="1" x14ac:dyDescent="0.25">
      <c r="A25" s="9" t="s">
        <v>250</v>
      </c>
      <c r="B25" s="31">
        <f t="shared" ref="B25:G25" si="7">SUBTOTAL(9,B14:B24)</f>
        <v>507000</v>
      </c>
      <c r="C25" s="31">
        <f t="shared" ca="1" si="7"/>
        <v>133102.72576314298</v>
      </c>
      <c r="D25" s="31">
        <f t="shared" si="7"/>
        <v>76050</v>
      </c>
      <c r="E25" s="31">
        <f t="shared" ca="1" si="7"/>
        <v>716152.72576314316</v>
      </c>
      <c r="F25" s="31">
        <f t="shared" ca="1" si="7"/>
        <v>93099.854349208588</v>
      </c>
      <c r="G25" s="31">
        <f t="shared" ca="1" si="7"/>
        <v>623052.87141393439</v>
      </c>
      <c r="H25" s="32"/>
      <c r="I25" s="12"/>
      <c r="J25" s="12"/>
      <c r="K25" s="12"/>
      <c r="L25" s="12"/>
    </row>
    <row r="26" spans="1:12" hidden="1" outlineLevel="2" x14ac:dyDescent="0.25">
      <c r="A26" s="12" t="str">
        <f>LOOKUP(L26,Справочники!$B$2:$B$35,Справочники!$A$2:$A$35)</f>
        <v>Рекламный отдел</v>
      </c>
      <c r="B26" s="31">
        <f>Октябрь!E25+Ноябрь!E25+Декабрь!E25</f>
        <v>66000</v>
      </c>
      <c r="C26" s="31">
        <f ca="1">Октябрь!F25+Ноябрь!F25+Декабрь!F25</f>
        <v>17326.982052006781</v>
      </c>
      <c r="D26" s="31">
        <f>Октябрь!G25+Ноябрь!G25+Декабрь!G25</f>
        <v>9900</v>
      </c>
      <c r="E26" s="31">
        <f t="shared" ref="E26:E35" ca="1" si="8">B26+C26+D26</f>
        <v>93226.982052006788</v>
      </c>
      <c r="F26" s="31">
        <f ca="1">Октябрь!I25+Ноябрь!I25+Декабрь!I25</f>
        <v>12119.507666760881</v>
      </c>
      <c r="G26" s="31">
        <f t="shared" ref="G26:G35" ca="1" si="9">E26-F26</f>
        <v>81107.474385245907</v>
      </c>
      <c r="H26" s="32"/>
      <c r="I26" s="12"/>
      <c r="J26" s="12"/>
      <c r="K26" s="12"/>
      <c r="L26" s="12" t="s">
        <v>27</v>
      </c>
    </row>
    <row r="27" spans="1:12" hidden="1" outlineLevel="2" x14ac:dyDescent="0.25">
      <c r="A27" s="12" t="str">
        <f>LOOKUP(L27,Справочники!$B$2:$B$35,Справочники!$A$2:$A$35)</f>
        <v>Рекламный отдел</v>
      </c>
      <c r="B27" s="31">
        <f>Октябрь!E30+Ноябрь!E30+Декабрь!E30</f>
        <v>54000</v>
      </c>
      <c r="C27" s="31">
        <f ca="1">Октябрь!F30+Ноябрь!F30+Декабрь!F30</f>
        <v>14176.62167891464</v>
      </c>
      <c r="D27" s="31">
        <f>Октябрь!G30+Ноябрь!G30+Декабрь!G30</f>
        <v>8100</v>
      </c>
      <c r="E27" s="31">
        <f t="shared" ca="1" si="8"/>
        <v>76276.621678914642</v>
      </c>
      <c r="F27" s="31">
        <f ca="1">Октябрь!I30+Ноябрь!I30+Декабрь!I30</f>
        <v>9915.9608182589036</v>
      </c>
      <c r="G27" s="31">
        <f t="shared" ca="1" si="9"/>
        <v>66360.660860655742</v>
      </c>
      <c r="H27" s="32"/>
      <c r="I27" s="12"/>
      <c r="J27" s="12"/>
      <c r="K27" s="12"/>
      <c r="L27" s="12" t="s">
        <v>39</v>
      </c>
    </row>
    <row r="28" spans="1:12" hidden="1" outlineLevel="2" x14ac:dyDescent="0.25">
      <c r="A28" s="12" t="str">
        <f>LOOKUP(L28,Справочники!$B$2:$B$35,Справочники!$A$2:$A$35)</f>
        <v>Рекламный отдел</v>
      </c>
      <c r="B28" s="31">
        <f>Октябрь!E34+Ноябрь!E34+Декабрь!E34</f>
        <v>66000</v>
      </c>
      <c r="C28" s="31">
        <f ca="1">Октябрь!F34+Ноябрь!F34+Декабрь!F34</f>
        <v>17326.982052006781</v>
      </c>
      <c r="D28" s="31">
        <f>Октябрь!G34+Ноябрь!G34+Декабрь!G34</f>
        <v>9900</v>
      </c>
      <c r="E28" s="31">
        <f t="shared" ca="1" si="8"/>
        <v>93226.982052006788</v>
      </c>
      <c r="F28" s="31">
        <f ca="1">Октябрь!I34+Ноябрь!I34+Декабрь!I34</f>
        <v>12119.507666760881</v>
      </c>
      <c r="G28" s="31">
        <f t="shared" ca="1" si="9"/>
        <v>81107.474385245907</v>
      </c>
      <c r="H28" s="32"/>
      <c r="I28" s="12"/>
      <c r="J28" s="12"/>
      <c r="K28" s="12"/>
      <c r="L28" s="12" t="s">
        <v>27</v>
      </c>
    </row>
    <row r="29" spans="1:12" hidden="1" outlineLevel="2" x14ac:dyDescent="0.25">
      <c r="A29" s="12" t="str">
        <f>LOOKUP(L29,Справочники!$B$2:$B$35,Справочники!$A$2:$A$35)</f>
        <v>Рекламный отдел</v>
      </c>
      <c r="B29" s="31">
        <f>Октябрь!E41+Ноябрь!E41+Декабрь!E41</f>
        <v>66000</v>
      </c>
      <c r="C29" s="31">
        <f ca="1">Октябрь!F41+Ноябрь!F41+Декабрь!F41</f>
        <v>17326.982052006781</v>
      </c>
      <c r="D29" s="31">
        <f>Октябрь!G41+Ноябрь!G41+Декабрь!G41</f>
        <v>9900</v>
      </c>
      <c r="E29" s="31">
        <f t="shared" ca="1" si="8"/>
        <v>93226.982052006788</v>
      </c>
      <c r="F29" s="31">
        <f ca="1">Октябрь!I41+Ноябрь!I41+Декабрь!I41</f>
        <v>12119.507666760881</v>
      </c>
      <c r="G29" s="31">
        <f t="shared" ca="1" si="9"/>
        <v>81107.474385245907</v>
      </c>
      <c r="H29" s="32"/>
      <c r="I29" s="12"/>
      <c r="J29" s="12"/>
      <c r="K29" s="12"/>
      <c r="L29" s="12" t="s">
        <v>27</v>
      </c>
    </row>
    <row r="30" spans="1:12" hidden="1" outlineLevel="2" x14ac:dyDescent="0.25">
      <c r="A30" s="12" t="str">
        <f>LOOKUP(L30,Справочники!$B$2:$B$35,Справочники!$A$2:$A$35)</f>
        <v>Рекламный отдел</v>
      </c>
      <c r="B30" s="31">
        <f>Октябрь!E42+Ноябрь!E42+Декабрь!E42</f>
        <v>66000</v>
      </c>
      <c r="C30" s="31">
        <f ca="1">Октябрь!F42+Ноябрь!F42+Декабрь!F42</f>
        <v>17326.982052006781</v>
      </c>
      <c r="D30" s="31">
        <f>Октябрь!G42+Ноябрь!G42+Декабрь!G42</f>
        <v>9900</v>
      </c>
      <c r="E30" s="31">
        <f t="shared" ca="1" si="8"/>
        <v>93226.982052006788</v>
      </c>
      <c r="F30" s="31">
        <f ca="1">Октябрь!I42+Ноябрь!I42+Декабрь!I42</f>
        <v>12119.507666760881</v>
      </c>
      <c r="G30" s="31">
        <f t="shared" ca="1" si="9"/>
        <v>81107.474385245907</v>
      </c>
      <c r="H30" s="32"/>
      <c r="I30" s="12"/>
      <c r="J30" s="12"/>
      <c r="K30" s="12"/>
      <c r="L30" s="12" t="s">
        <v>27</v>
      </c>
    </row>
    <row r="31" spans="1:12" hidden="1" outlineLevel="2" x14ac:dyDescent="0.25">
      <c r="A31" s="12" t="str">
        <f>LOOKUP(L31,Справочники!$B$2:$B$35,Справочники!$A$2:$A$35)</f>
        <v>Рекламный отдел</v>
      </c>
      <c r="B31" s="31">
        <f>Октябрь!E48+Ноябрь!E48+Декабрь!E48</f>
        <v>45000</v>
      </c>
      <c r="C31" s="31">
        <f ca="1">Октябрь!F48+Ноябрь!F48+Декабрь!F48</f>
        <v>11813.851399095533</v>
      </c>
      <c r="D31" s="31">
        <f>Октябрь!G48+Ноябрь!G48+Декабрь!G48</f>
        <v>6750</v>
      </c>
      <c r="E31" s="31">
        <f t="shared" ca="1" si="8"/>
        <v>63563.851399095533</v>
      </c>
      <c r="F31" s="31">
        <f ca="1">Октябрь!I48+Ноябрь!I48+Декабрь!I48</f>
        <v>8263.3006818824197</v>
      </c>
      <c r="G31" s="31">
        <f t="shared" ca="1" si="9"/>
        <v>55300.550717213111</v>
      </c>
      <c r="H31" s="32"/>
      <c r="I31" s="12"/>
      <c r="J31" s="12"/>
      <c r="K31" s="12"/>
      <c r="L31" s="12" t="s">
        <v>40</v>
      </c>
    </row>
    <row r="32" spans="1:12" hidden="1" outlineLevel="2" x14ac:dyDescent="0.25">
      <c r="A32" s="12" t="str">
        <f>LOOKUP(L32,Справочники!$B$2:$B$35,Справочники!$A$2:$A$35)</f>
        <v>Рекламный отдел</v>
      </c>
      <c r="B32" s="31">
        <f>Октябрь!E56+Ноябрь!E56+Декабрь!E56</f>
        <v>45000</v>
      </c>
      <c r="C32" s="31">
        <f ca="1">Октябрь!F56+Ноябрь!F56+Декабрь!F56</f>
        <v>11813.851399095533</v>
      </c>
      <c r="D32" s="31">
        <f>Октябрь!G56+Ноябрь!G56+Декабрь!G56</f>
        <v>6750</v>
      </c>
      <c r="E32" s="31">
        <f t="shared" ca="1" si="8"/>
        <v>63563.851399095533</v>
      </c>
      <c r="F32" s="31">
        <f ca="1">Октябрь!I56+Ноябрь!I56+Декабрь!I56</f>
        <v>8263.3006818824197</v>
      </c>
      <c r="G32" s="31">
        <f t="shared" ca="1" si="9"/>
        <v>55300.550717213111</v>
      </c>
      <c r="H32" s="32"/>
      <c r="I32" s="12"/>
      <c r="J32" s="12"/>
      <c r="K32" s="12"/>
      <c r="L32" s="12" t="s">
        <v>40</v>
      </c>
    </row>
    <row r="33" spans="1:12" hidden="1" outlineLevel="2" x14ac:dyDescent="0.25">
      <c r="A33" s="12" t="str">
        <f>LOOKUP(L33,Справочники!$B$2:$B$35,Справочники!$A$2:$A$35)</f>
        <v>Рекламный отдел</v>
      </c>
      <c r="B33" s="31">
        <f>Октябрь!E58+Ноябрь!E58+Декабрь!E58</f>
        <v>66000</v>
      </c>
      <c r="C33" s="31">
        <f ca="1">Октябрь!F58+Ноябрь!F58+Декабрь!F58</f>
        <v>0</v>
      </c>
      <c r="D33" s="31">
        <f>Октябрь!G58+Ноябрь!G58+Декабрь!G58</f>
        <v>9900</v>
      </c>
      <c r="E33" s="31">
        <f t="shared" ca="1" si="8"/>
        <v>75900</v>
      </c>
      <c r="F33" s="31">
        <f ca="1">Октябрь!I58+Ноябрь!I58+Декабрь!I58</f>
        <v>9867</v>
      </c>
      <c r="G33" s="31">
        <f t="shared" ca="1" si="9"/>
        <v>66033</v>
      </c>
      <c r="H33" s="32"/>
      <c r="I33" s="12"/>
      <c r="J33" s="12"/>
      <c r="K33" s="12"/>
      <c r="L33" s="12" t="s">
        <v>27</v>
      </c>
    </row>
    <row r="34" spans="1:12" hidden="1" outlineLevel="2" x14ac:dyDescent="0.25">
      <c r="A34" s="12" t="str">
        <f>LOOKUP(L34,Справочники!$B$2:$B$35,Справочники!$A$2:$A$35)</f>
        <v>Рекламный отдел</v>
      </c>
      <c r="B34" s="31">
        <f>Октябрь!E62+Ноябрь!E62+Декабрь!E62</f>
        <v>54000</v>
      </c>
      <c r="C34" s="31">
        <f ca="1">Октябрь!F62+Ноябрь!F62+Декабрь!F62</f>
        <v>14176.62167891464</v>
      </c>
      <c r="D34" s="31">
        <f>Октябрь!G62+Ноябрь!G62+Декабрь!G62</f>
        <v>8100</v>
      </c>
      <c r="E34" s="31">
        <f t="shared" ca="1" si="8"/>
        <v>76276.621678914642</v>
      </c>
      <c r="F34" s="31">
        <f ca="1">Октябрь!I62+Ноябрь!I62+Декабрь!I62</f>
        <v>9915.9608182589036</v>
      </c>
      <c r="G34" s="31">
        <f t="shared" ca="1" si="9"/>
        <v>66360.660860655742</v>
      </c>
      <c r="H34" s="32"/>
      <c r="I34" s="12"/>
      <c r="J34" s="12"/>
      <c r="K34" s="12"/>
      <c r="L34" s="12" t="s">
        <v>28</v>
      </c>
    </row>
    <row r="35" spans="1:12" hidden="1" outlineLevel="2" x14ac:dyDescent="0.25">
      <c r="A35" s="12" t="str">
        <f>LOOKUP(L35,Справочники!$B$2:$B$35,Справочники!$A$2:$A$35)</f>
        <v>Рекламный отдел</v>
      </c>
      <c r="B35" s="31">
        <f>Октябрь!E63+Ноябрь!E63+Декабрь!E63</f>
        <v>45000</v>
      </c>
      <c r="C35" s="31">
        <f ca="1">Октябрь!F63+Ноябрь!F63+Декабрь!F63</f>
        <v>11813.851399095533</v>
      </c>
      <c r="D35" s="31">
        <f>Октябрь!G63+Ноябрь!G63+Декабрь!G63</f>
        <v>6750</v>
      </c>
      <c r="E35" s="31">
        <f t="shared" ca="1" si="8"/>
        <v>63563.851399095533</v>
      </c>
      <c r="F35" s="31">
        <f ca="1">Октябрь!I63+Ноябрь!I63+Декабрь!I63</f>
        <v>8263.3006818824197</v>
      </c>
      <c r="G35" s="31">
        <f t="shared" ca="1" si="9"/>
        <v>55300.550717213111</v>
      </c>
      <c r="H35" s="32"/>
      <c r="I35" s="12"/>
      <c r="J35" s="12"/>
      <c r="K35" s="12"/>
      <c r="L35" s="12" t="s">
        <v>40</v>
      </c>
    </row>
    <row r="36" spans="1:12" outlineLevel="1" collapsed="1" x14ac:dyDescent="0.25">
      <c r="A36" s="9" t="s">
        <v>251</v>
      </c>
      <c r="B36" s="31">
        <f t="shared" ref="B36:G36" si="10">SUBTOTAL(9,B26:B35)</f>
        <v>573000</v>
      </c>
      <c r="C36" s="31">
        <f t="shared" ca="1" si="10"/>
        <v>133102.72576314298</v>
      </c>
      <c r="D36" s="31">
        <f t="shared" si="10"/>
        <v>85950</v>
      </c>
      <c r="E36" s="31">
        <f t="shared" ca="1" si="10"/>
        <v>792052.72576314304</v>
      </c>
      <c r="F36" s="31">
        <f t="shared" ca="1" si="10"/>
        <v>102966.85434920859</v>
      </c>
      <c r="G36" s="31">
        <f t="shared" ca="1" si="10"/>
        <v>689085.87141393439</v>
      </c>
      <c r="H36" s="32"/>
      <c r="I36" s="12"/>
      <c r="J36" s="12"/>
      <c r="K36" s="12"/>
      <c r="L36" s="12"/>
    </row>
    <row r="37" spans="1:12" hidden="1" outlineLevel="2" x14ac:dyDescent="0.25">
      <c r="A37" s="12" t="str">
        <f>LOOKUP(L37,Справочники!$B$2:$B$35,Справочники!$A$2:$A$35)</f>
        <v>Склад</v>
      </c>
      <c r="B37" s="31">
        <f>Октябрь!E12+Ноябрь!E12+Декабрь!E12</f>
        <v>33000</v>
      </c>
      <c r="C37" s="31">
        <f ca="1">Октябрь!F12+Ноябрь!F12+Декабрь!F12</f>
        <v>8663.4910260033903</v>
      </c>
      <c r="D37" s="31">
        <f>Октябрь!G12+Ноябрь!G12+Декабрь!G12</f>
        <v>4950</v>
      </c>
      <c r="E37" s="31">
        <f t="shared" ref="E37:E42" ca="1" si="11">B37+C37+D37</f>
        <v>46613.491026003394</v>
      </c>
      <c r="F37" s="31">
        <f ca="1">Октябрь!I12+Ноябрь!I12+Декабрь!I12</f>
        <v>6059.7538333804405</v>
      </c>
      <c r="G37" s="31">
        <f t="shared" ref="G37:G42" ca="1" si="12">E37-F37</f>
        <v>40553.737192622953</v>
      </c>
      <c r="H37" s="32"/>
      <c r="I37" s="12"/>
      <c r="J37" s="12"/>
      <c r="K37" s="12"/>
      <c r="L37" s="12" t="s">
        <v>47</v>
      </c>
    </row>
    <row r="38" spans="1:12" hidden="1" outlineLevel="2" x14ac:dyDescent="0.25">
      <c r="A38" s="12" t="str">
        <f>LOOKUP(L38,Справочники!$B$2:$B$35,Справочники!$A$2:$A$35)</f>
        <v>Склад</v>
      </c>
      <c r="B38" s="31">
        <f>Октябрь!E14+Ноябрь!E14+Декабрь!E14</f>
        <v>45000</v>
      </c>
      <c r="C38" s="31">
        <f ca="1">Октябрь!F14+Ноябрь!F14+Декабрь!F14</f>
        <v>11813.851399095533</v>
      </c>
      <c r="D38" s="31">
        <f>Октябрь!G14+Ноябрь!G14+Декабрь!G14</f>
        <v>6750</v>
      </c>
      <c r="E38" s="31">
        <f t="shared" ca="1" si="11"/>
        <v>63563.851399095533</v>
      </c>
      <c r="F38" s="31">
        <f ca="1">Октябрь!I14+Ноябрь!I14+Декабрь!I14</f>
        <v>8263.3006818824197</v>
      </c>
      <c r="G38" s="31">
        <f t="shared" ca="1" si="12"/>
        <v>55300.550717213111</v>
      </c>
      <c r="H38" s="32"/>
      <c r="I38" s="12"/>
      <c r="J38" s="12"/>
      <c r="K38" s="12"/>
      <c r="L38" s="12" t="s">
        <v>46</v>
      </c>
    </row>
    <row r="39" spans="1:12" hidden="1" outlineLevel="2" x14ac:dyDescent="0.25">
      <c r="A39" s="12" t="str">
        <f>LOOKUP(L39,Справочники!$B$2:$B$35,Справочники!$A$2:$A$35)</f>
        <v>Склад</v>
      </c>
      <c r="B39" s="31">
        <f>Октябрь!E18+Ноябрь!E18+Декабрь!E18</f>
        <v>33000</v>
      </c>
      <c r="C39" s="31">
        <f ca="1">Октябрь!F18+Ноябрь!F18+Декабрь!F18</f>
        <v>0</v>
      </c>
      <c r="D39" s="31">
        <f>Октябрь!G18+Ноябрь!G18+Декабрь!G18</f>
        <v>4950</v>
      </c>
      <c r="E39" s="31">
        <f t="shared" ca="1" si="11"/>
        <v>37950</v>
      </c>
      <c r="F39" s="31">
        <f ca="1">Октябрь!I18+Ноябрь!I18+Декабрь!I18</f>
        <v>4933.5</v>
      </c>
      <c r="G39" s="31">
        <f t="shared" ca="1" si="12"/>
        <v>33016.5</v>
      </c>
      <c r="H39" s="32"/>
      <c r="I39" s="12"/>
      <c r="J39" s="12"/>
      <c r="K39" s="12"/>
      <c r="L39" s="12" t="s">
        <v>47</v>
      </c>
    </row>
    <row r="40" spans="1:12" hidden="1" outlineLevel="2" x14ac:dyDescent="0.25">
      <c r="A40" s="12" t="str">
        <f>LOOKUP(L40,Справочники!$B$2:$B$35,Справочники!$A$2:$A$35)</f>
        <v>Склад</v>
      </c>
      <c r="B40" s="31">
        <f>Октябрь!E35+Ноябрь!E35+Декабрь!E35</f>
        <v>66000</v>
      </c>
      <c r="C40" s="31">
        <f ca="1">Октябрь!F35+Ноябрь!F35+Декабрь!F35</f>
        <v>17326.982052006781</v>
      </c>
      <c r="D40" s="31">
        <f>Октябрь!G35+Ноябрь!G35+Декабрь!G35</f>
        <v>9900</v>
      </c>
      <c r="E40" s="31">
        <f t="shared" ca="1" si="11"/>
        <v>93226.982052006788</v>
      </c>
      <c r="F40" s="31">
        <f ca="1">Октябрь!I35+Ноябрь!I35+Декабрь!I35</f>
        <v>12119.507666760881</v>
      </c>
      <c r="G40" s="31">
        <f t="shared" ca="1" si="12"/>
        <v>81107.474385245907</v>
      </c>
      <c r="H40" s="32"/>
      <c r="I40" s="12"/>
      <c r="J40" s="12"/>
      <c r="K40" s="12"/>
      <c r="L40" s="12" t="s">
        <v>48</v>
      </c>
    </row>
    <row r="41" spans="1:12" hidden="1" outlineLevel="2" x14ac:dyDescent="0.25">
      <c r="A41" s="12" t="str">
        <f>LOOKUP(L41,Справочники!$B$2:$B$35,Справочники!$A$2:$A$35)</f>
        <v>Склад</v>
      </c>
      <c r="B41" s="31">
        <f>Октябрь!E40+Ноябрь!E40+Декабрь!E40</f>
        <v>45000</v>
      </c>
      <c r="C41" s="31">
        <f ca="1">Октябрь!F40+Ноябрь!F40+Декабрь!F40</f>
        <v>11813.851399095533</v>
      </c>
      <c r="D41" s="31">
        <f>Октябрь!G40+Ноябрь!G40+Декабрь!G40</f>
        <v>6750</v>
      </c>
      <c r="E41" s="31">
        <f t="shared" ca="1" si="11"/>
        <v>63563.851399095533</v>
      </c>
      <c r="F41" s="31">
        <f ca="1">Октябрь!I40+Ноябрь!I40+Декабрь!I40</f>
        <v>8263.3006818824197</v>
      </c>
      <c r="G41" s="31">
        <f t="shared" ca="1" si="12"/>
        <v>55300.550717213111</v>
      </c>
      <c r="H41" s="32"/>
      <c r="I41" s="12"/>
      <c r="J41" s="12"/>
      <c r="K41" s="12"/>
      <c r="L41" s="12" t="s">
        <v>46</v>
      </c>
    </row>
    <row r="42" spans="1:12" hidden="1" outlineLevel="2" x14ac:dyDescent="0.25">
      <c r="A42" s="12" t="str">
        <f>LOOKUP(L42,Справочники!$B$2:$B$35,Справочники!$A$2:$A$35)</f>
        <v>Склад</v>
      </c>
      <c r="B42" s="31">
        <f>Октябрь!E51+Ноябрь!E51+Декабрь!E51</f>
        <v>33000</v>
      </c>
      <c r="C42" s="31">
        <f ca="1">Октябрь!F51+Ноябрь!F51+Декабрь!F51</f>
        <v>8663.4910260033903</v>
      </c>
      <c r="D42" s="31">
        <f>Октябрь!G51+Ноябрь!G51+Декабрь!G51</f>
        <v>4950</v>
      </c>
      <c r="E42" s="31">
        <f t="shared" ca="1" si="11"/>
        <v>46613.491026003394</v>
      </c>
      <c r="F42" s="31">
        <f ca="1">Октябрь!I51+Ноябрь!I51+Декабрь!I51</f>
        <v>6059.7538333804405</v>
      </c>
      <c r="G42" s="31">
        <f t="shared" ca="1" si="12"/>
        <v>40553.737192622953</v>
      </c>
      <c r="H42" s="32"/>
      <c r="I42" s="12"/>
      <c r="J42" s="12"/>
      <c r="K42" s="12"/>
      <c r="L42" s="12" t="s">
        <v>47</v>
      </c>
    </row>
    <row r="43" spans="1:12" outlineLevel="1" collapsed="1" x14ac:dyDescent="0.25">
      <c r="A43" s="9" t="s">
        <v>252</v>
      </c>
      <c r="B43" s="31">
        <f t="shared" ref="B43:G43" si="13">SUBTOTAL(9,B37:B42)</f>
        <v>255000</v>
      </c>
      <c r="C43" s="31">
        <f t="shared" ca="1" si="13"/>
        <v>58281.666902204626</v>
      </c>
      <c r="D43" s="31">
        <f t="shared" si="13"/>
        <v>38250</v>
      </c>
      <c r="E43" s="31">
        <f t="shared" ca="1" si="13"/>
        <v>351531.66690220463</v>
      </c>
      <c r="F43" s="31">
        <f t="shared" ca="1" si="13"/>
        <v>45699.116697286605</v>
      </c>
      <c r="G43" s="31">
        <f t="shared" ca="1" si="13"/>
        <v>305832.55020491808</v>
      </c>
      <c r="H43" s="32"/>
      <c r="I43" s="12"/>
      <c r="J43" s="12"/>
      <c r="K43" s="12"/>
      <c r="L43" s="12"/>
    </row>
    <row r="44" spans="1:12" hidden="1" outlineLevel="2" x14ac:dyDescent="0.25">
      <c r="A44" s="12" t="str">
        <f>LOOKUP(L44,Справочники!$B$2:$B$35,Справочники!$A$2:$A$35)</f>
        <v>Технологический отдел</v>
      </c>
      <c r="B44" s="31">
        <f>Октябрь!E13+Ноябрь!E13+Декабрь!E13</f>
        <v>60000</v>
      </c>
      <c r="C44" s="31">
        <f ca="1">Октябрь!F13+Ноябрь!F13+Декабрь!F13</f>
        <v>15751.801865460711</v>
      </c>
      <c r="D44" s="31">
        <f>Октябрь!G13+Ноябрь!G13+Декабрь!G13</f>
        <v>9000</v>
      </c>
      <c r="E44" s="31">
        <f t="shared" ref="E44:E59" ca="1" si="14">B44+C44+D44</f>
        <v>84751.801865460715</v>
      </c>
      <c r="F44" s="31">
        <f ca="1">Октябрь!I13+Ноябрь!I13+Декабрь!I13</f>
        <v>11017.734242509894</v>
      </c>
      <c r="G44" s="31">
        <f t="shared" ref="G44:G59" ca="1" si="15">E44-F44</f>
        <v>73734.067622950824</v>
      </c>
      <c r="H44" s="32"/>
      <c r="I44" s="12"/>
      <c r="J44" s="12"/>
      <c r="K44" s="12"/>
      <c r="L44" s="12" t="s">
        <v>38</v>
      </c>
    </row>
    <row r="45" spans="1:12" hidden="1" outlineLevel="2" x14ac:dyDescent="0.25">
      <c r="A45" s="12" t="str">
        <f>LOOKUP(L45,Справочники!$B$2:$B$35,Справочники!$A$2:$A$35)</f>
        <v>Технологический отдел</v>
      </c>
      <c r="B45" s="31">
        <f>Октябрь!E15+Ноябрь!E15+Декабрь!E15</f>
        <v>66000</v>
      </c>
      <c r="C45" s="31">
        <f ca="1">Октябрь!F15+Ноябрь!F15+Декабрь!F15</f>
        <v>0</v>
      </c>
      <c r="D45" s="31">
        <f>Октябрь!G15+Ноябрь!G15+Декабрь!G15</f>
        <v>9900</v>
      </c>
      <c r="E45" s="31">
        <f t="shared" ca="1" si="14"/>
        <v>75900</v>
      </c>
      <c r="F45" s="31">
        <f ca="1">Октябрь!I15+Ноябрь!I15+Декабрь!I15</f>
        <v>9867</v>
      </c>
      <c r="G45" s="31">
        <f t="shared" ca="1" si="15"/>
        <v>66033</v>
      </c>
      <c r="H45" s="32"/>
      <c r="I45" s="12"/>
      <c r="J45" s="12"/>
      <c r="K45" s="12"/>
      <c r="L45" s="12" t="s">
        <v>30</v>
      </c>
    </row>
    <row r="46" spans="1:12" hidden="1" outlineLevel="2" x14ac:dyDescent="0.25">
      <c r="A46" s="12" t="str">
        <f>LOOKUP(L46,Справочники!$B$2:$B$35,Справочники!$A$2:$A$35)</f>
        <v>Технологический отдел</v>
      </c>
      <c r="B46" s="31">
        <f>Октябрь!E23+Ноябрь!E23+Декабрь!E23</f>
        <v>36000</v>
      </c>
      <c r="C46" s="31">
        <f ca="1">Октябрь!F23+Ноябрь!F23+Декабрь!F23</f>
        <v>9451.0811192764268</v>
      </c>
      <c r="D46" s="31">
        <f>Октябрь!G23+Ноябрь!G23+Декабрь!G23</f>
        <v>5400</v>
      </c>
      <c r="E46" s="31">
        <f t="shared" ca="1" si="14"/>
        <v>50851.081119276423</v>
      </c>
      <c r="F46" s="31">
        <f ca="1">Октябрь!I23+Ноябрь!I23+Декабрь!I23</f>
        <v>6610.6405455059357</v>
      </c>
      <c r="G46" s="31">
        <f t="shared" ca="1" si="15"/>
        <v>44240.440573770487</v>
      </c>
      <c r="H46" s="32"/>
      <c r="I46" s="12"/>
      <c r="J46" s="12"/>
      <c r="K46" s="12"/>
      <c r="L46" s="12" t="s">
        <v>31</v>
      </c>
    </row>
    <row r="47" spans="1:12" hidden="1" outlineLevel="2" x14ac:dyDescent="0.25">
      <c r="A47" s="12" t="str">
        <f>LOOKUP(L47,Справочники!$B$2:$B$35,Справочники!$A$2:$A$35)</f>
        <v>Технологический отдел</v>
      </c>
      <c r="B47" s="31">
        <f>Октябрь!E29+Ноябрь!E29+Декабрь!E29</f>
        <v>60000</v>
      </c>
      <c r="C47" s="31">
        <f ca="1">Октябрь!F29+Ноябрь!F29+Декабрь!F29</f>
        <v>15751.801865460711</v>
      </c>
      <c r="D47" s="31">
        <f>Октябрь!G29+Ноябрь!G29+Декабрь!G29</f>
        <v>9000</v>
      </c>
      <c r="E47" s="31">
        <f t="shared" ca="1" si="14"/>
        <v>84751.801865460715</v>
      </c>
      <c r="F47" s="31">
        <f ca="1">Октябрь!I29+Ноябрь!I29+Декабрь!I29</f>
        <v>11017.734242509894</v>
      </c>
      <c r="G47" s="31">
        <f t="shared" ca="1" si="15"/>
        <v>73734.067622950824</v>
      </c>
      <c r="H47" s="32"/>
      <c r="I47" s="12"/>
      <c r="J47" s="12"/>
      <c r="K47" s="12"/>
      <c r="L47" s="12" t="s">
        <v>38</v>
      </c>
    </row>
    <row r="48" spans="1:12" hidden="1" outlineLevel="2" x14ac:dyDescent="0.25">
      <c r="A48" s="12" t="str">
        <f>LOOKUP(L48,Справочники!$B$2:$B$35,Справочники!$A$2:$A$35)</f>
        <v>Технологический отдел</v>
      </c>
      <c r="B48" s="31">
        <f>Октябрь!E33+Ноябрь!E33+Декабрь!E33</f>
        <v>45000</v>
      </c>
      <c r="C48" s="31">
        <f ca="1">Октябрь!F33+Ноябрь!F33+Декабрь!F33</f>
        <v>11813.851399095533</v>
      </c>
      <c r="D48" s="31">
        <f>Октябрь!G33+Ноябрь!G33+Декабрь!G33</f>
        <v>6750</v>
      </c>
      <c r="E48" s="31">
        <f t="shared" ca="1" si="14"/>
        <v>63563.851399095533</v>
      </c>
      <c r="F48" s="31">
        <f ca="1">Октябрь!I33+Ноябрь!I33+Декабрь!I33</f>
        <v>8263.3006818824197</v>
      </c>
      <c r="G48" s="31">
        <f t="shared" ca="1" si="15"/>
        <v>55300.550717213111</v>
      </c>
      <c r="H48" s="32"/>
      <c r="I48" s="12"/>
      <c r="J48" s="12"/>
      <c r="K48" s="12"/>
      <c r="L48" s="12" t="s">
        <v>32</v>
      </c>
    </row>
    <row r="49" spans="1:12" hidden="1" outlineLevel="2" x14ac:dyDescent="0.25">
      <c r="A49" s="12" t="str">
        <f>LOOKUP(L49,Справочники!$B$2:$B$35,Справочники!$A$2:$A$35)</f>
        <v>Технологический отдел</v>
      </c>
      <c r="B49" s="31">
        <f>Октябрь!E36+Ноябрь!E36+Декабрь!E36</f>
        <v>36000</v>
      </c>
      <c r="C49" s="31">
        <f ca="1">Октябрь!F36+Ноябрь!F36+Декабрь!F36</f>
        <v>9451.0811192764268</v>
      </c>
      <c r="D49" s="31">
        <f>Октябрь!G36+Ноябрь!G36+Декабрь!G36</f>
        <v>5400</v>
      </c>
      <c r="E49" s="31">
        <f t="shared" ca="1" si="14"/>
        <v>50851.081119276423</v>
      </c>
      <c r="F49" s="31">
        <f ca="1">Октябрь!I36+Ноябрь!I36+Декабрь!I36</f>
        <v>6610.6405455059357</v>
      </c>
      <c r="G49" s="31">
        <f t="shared" ca="1" si="15"/>
        <v>44240.440573770487</v>
      </c>
      <c r="H49" s="32"/>
      <c r="I49" s="12"/>
      <c r="J49" s="12"/>
      <c r="K49" s="12"/>
      <c r="L49" s="12" t="s">
        <v>31</v>
      </c>
    </row>
    <row r="50" spans="1:12" hidden="1" outlineLevel="2" x14ac:dyDescent="0.25">
      <c r="A50" s="12" t="str">
        <f>LOOKUP(L50,Справочники!$B$2:$B$35,Справочники!$A$2:$A$35)</f>
        <v>Технологический отдел</v>
      </c>
      <c r="B50" s="31">
        <f>Октябрь!E38+Ноябрь!E38+Декабрь!E38</f>
        <v>36000</v>
      </c>
      <c r="C50" s="31">
        <f ca="1">Октябрь!F38+Ноябрь!F38+Декабрь!F38</f>
        <v>9451.0811192764268</v>
      </c>
      <c r="D50" s="31">
        <f>Октябрь!G38+Ноябрь!G38+Декабрь!G38</f>
        <v>5400</v>
      </c>
      <c r="E50" s="31">
        <f t="shared" ca="1" si="14"/>
        <v>50851.081119276423</v>
      </c>
      <c r="F50" s="31">
        <f ca="1">Октябрь!I38+Ноябрь!I38+Декабрь!I38</f>
        <v>6610.6405455059357</v>
      </c>
      <c r="G50" s="31">
        <f t="shared" ca="1" si="15"/>
        <v>44240.440573770487</v>
      </c>
      <c r="H50" s="32"/>
      <c r="I50" s="12"/>
      <c r="J50" s="12"/>
      <c r="K50" s="12"/>
      <c r="L50" s="12" t="s">
        <v>34</v>
      </c>
    </row>
    <row r="51" spans="1:12" hidden="1" outlineLevel="2" x14ac:dyDescent="0.25">
      <c r="A51" s="12" t="str">
        <f>LOOKUP(L51,Справочники!$B$2:$B$35,Справочники!$A$2:$A$35)</f>
        <v>Технологический отдел</v>
      </c>
      <c r="B51" s="31">
        <f>Октябрь!E39+Ноябрь!E39+Декабрь!E39</f>
        <v>36000</v>
      </c>
      <c r="C51" s="31">
        <f ca="1">Октябрь!F39+Ноябрь!F39+Декабрь!F39</f>
        <v>9451.0811192764268</v>
      </c>
      <c r="D51" s="31">
        <f>Октябрь!G39+Ноябрь!G39+Декабрь!G39</f>
        <v>5400</v>
      </c>
      <c r="E51" s="31">
        <f t="shared" ca="1" si="14"/>
        <v>50851.081119276423</v>
      </c>
      <c r="F51" s="31">
        <f ca="1">Октябрь!I39+Ноябрь!I39+Декабрь!I39</f>
        <v>6610.6405455059357</v>
      </c>
      <c r="G51" s="31">
        <f t="shared" ca="1" si="15"/>
        <v>44240.440573770487</v>
      </c>
      <c r="H51" s="32"/>
      <c r="I51" s="12"/>
      <c r="J51" s="12"/>
      <c r="K51" s="12"/>
      <c r="L51" s="12" t="s">
        <v>31</v>
      </c>
    </row>
    <row r="52" spans="1:12" hidden="1" outlineLevel="2" x14ac:dyDescent="0.25">
      <c r="A52" s="12" t="str">
        <f>LOOKUP(L52,Справочники!$B$2:$B$35,Справочники!$A$2:$A$35)</f>
        <v>Технологический отдел</v>
      </c>
      <c r="B52" s="31">
        <f>Октябрь!E45+Ноябрь!E45+Декабрь!E45</f>
        <v>51000</v>
      </c>
      <c r="C52" s="31">
        <f ca="1">Октябрь!F45+Ноябрь!F45+Декабрь!F45</f>
        <v>13389.031585641604</v>
      </c>
      <c r="D52" s="31">
        <f>Октябрь!G45+Ноябрь!G45+Декабрь!G45</f>
        <v>7650</v>
      </c>
      <c r="E52" s="31">
        <f t="shared" ca="1" si="14"/>
        <v>72039.031585641613</v>
      </c>
      <c r="F52" s="31">
        <f ca="1">Октябрь!I45+Ноябрь!I45+Декабрь!I45</f>
        <v>9365.0741061334083</v>
      </c>
      <c r="G52" s="31">
        <f t="shared" ca="1" si="15"/>
        <v>62673.957479508201</v>
      </c>
      <c r="H52" s="32"/>
      <c r="I52" s="12"/>
      <c r="J52" s="12"/>
      <c r="K52" s="12"/>
      <c r="L52" s="12" t="s">
        <v>35</v>
      </c>
    </row>
    <row r="53" spans="1:12" hidden="1" outlineLevel="2" x14ac:dyDescent="0.25">
      <c r="A53" s="12" t="str">
        <f>LOOKUP(L53,Справочники!$B$2:$B$35,Справочники!$A$2:$A$35)</f>
        <v>Технологический отдел</v>
      </c>
      <c r="B53" s="31">
        <f>Октябрь!E47+Ноябрь!E47+Декабрь!E47</f>
        <v>42000</v>
      </c>
      <c r="C53" s="31">
        <f ca="1">Октябрь!F47+Ноябрь!F47+Декабрь!F47</f>
        <v>11026.261305822496</v>
      </c>
      <c r="D53" s="31">
        <f>Октябрь!G47+Ноябрь!G47+Декабрь!G47</f>
        <v>6300</v>
      </c>
      <c r="E53" s="31">
        <f t="shared" ca="1" si="14"/>
        <v>59326.261305822496</v>
      </c>
      <c r="F53" s="31">
        <f ca="1">Октябрь!I47+Ноябрь!I47+Декабрь!I47</f>
        <v>7712.4139697569244</v>
      </c>
      <c r="G53" s="31">
        <f t="shared" ca="1" si="15"/>
        <v>51613.84733606557</v>
      </c>
      <c r="H53" s="32"/>
      <c r="I53" s="12"/>
      <c r="J53" s="12"/>
      <c r="K53" s="12"/>
      <c r="L53" s="12" t="s">
        <v>36</v>
      </c>
    </row>
    <row r="54" spans="1:12" hidden="1" outlineLevel="2" x14ac:dyDescent="0.25">
      <c r="A54" s="12" t="str">
        <f>LOOKUP(L54,Справочники!$B$2:$B$35,Справочники!$A$2:$A$35)</f>
        <v>Технологический отдел</v>
      </c>
      <c r="B54" s="31">
        <f>Октябрь!E49+Ноябрь!E49+Декабрь!E49</f>
        <v>42000</v>
      </c>
      <c r="C54" s="31">
        <f ca="1">Октябрь!F49+Ноябрь!F49+Декабрь!F49</f>
        <v>11026.261305822496</v>
      </c>
      <c r="D54" s="31">
        <f>Октябрь!G49+Ноябрь!G49+Декабрь!G49</f>
        <v>6300</v>
      </c>
      <c r="E54" s="31">
        <f t="shared" ca="1" si="14"/>
        <v>59326.261305822496</v>
      </c>
      <c r="F54" s="31">
        <f ca="1">Октябрь!I49+Ноябрь!I49+Декабрь!I49</f>
        <v>7712.4139697569244</v>
      </c>
      <c r="G54" s="31">
        <f t="shared" ca="1" si="15"/>
        <v>51613.84733606557</v>
      </c>
      <c r="H54" s="32"/>
      <c r="I54" s="12"/>
      <c r="J54" s="12"/>
      <c r="K54" s="12"/>
      <c r="L54" s="12" t="s">
        <v>36</v>
      </c>
    </row>
    <row r="55" spans="1:12" hidden="1" outlineLevel="2" x14ac:dyDescent="0.25">
      <c r="A55" s="12" t="str">
        <f>LOOKUP(L55,Справочники!$B$2:$B$35,Справочники!$A$2:$A$35)</f>
        <v>Технологический отдел</v>
      </c>
      <c r="B55" s="31">
        <f>Октябрь!E52+Ноябрь!E52+Декабрь!E52</f>
        <v>42000</v>
      </c>
      <c r="C55" s="31">
        <f ca="1">Октябрь!F52+Ноябрь!F52+Декабрь!F52</f>
        <v>11026.261305822496</v>
      </c>
      <c r="D55" s="31">
        <f>Октябрь!G52+Ноябрь!G52+Декабрь!G52</f>
        <v>6300</v>
      </c>
      <c r="E55" s="31">
        <f t="shared" ca="1" si="14"/>
        <v>59326.261305822496</v>
      </c>
      <c r="F55" s="31">
        <f ca="1">Октябрь!I52+Ноябрь!I52+Декабрь!I52</f>
        <v>7712.4139697569244</v>
      </c>
      <c r="G55" s="31">
        <f t="shared" ca="1" si="15"/>
        <v>51613.84733606557</v>
      </c>
      <c r="H55" s="32"/>
      <c r="I55" s="12"/>
      <c r="J55" s="12"/>
      <c r="K55" s="12"/>
      <c r="L55" s="12" t="s">
        <v>37</v>
      </c>
    </row>
    <row r="56" spans="1:12" hidden="1" outlineLevel="2" x14ac:dyDescent="0.25">
      <c r="A56" s="12" t="str">
        <f>LOOKUP(L56,Справочники!$B$2:$B$35,Справочники!$A$2:$A$35)</f>
        <v>Технологический отдел</v>
      </c>
      <c r="B56" s="31">
        <f>Октябрь!E61+Ноябрь!E61+Декабрь!E61</f>
        <v>36000</v>
      </c>
      <c r="C56" s="31">
        <f ca="1">Октябрь!F61+Ноябрь!F61+Декабрь!F61</f>
        <v>9451.0811192764268</v>
      </c>
      <c r="D56" s="31">
        <f>Октябрь!G61+Ноябрь!G61+Декабрь!G61</f>
        <v>5400</v>
      </c>
      <c r="E56" s="31">
        <f t="shared" ca="1" si="14"/>
        <v>50851.081119276423</v>
      </c>
      <c r="F56" s="31">
        <f ca="1">Октябрь!I61+Ноябрь!I61+Декабрь!I61</f>
        <v>6610.6405455059357</v>
      </c>
      <c r="G56" s="31">
        <f t="shared" ca="1" si="15"/>
        <v>44240.440573770487</v>
      </c>
      <c r="H56" s="32"/>
      <c r="I56" s="12"/>
      <c r="J56" s="12"/>
      <c r="K56" s="12"/>
      <c r="L56" s="12" t="s">
        <v>34</v>
      </c>
    </row>
    <row r="57" spans="1:12" hidden="1" outlineLevel="2" x14ac:dyDescent="0.25">
      <c r="A57" s="12" t="str">
        <f>LOOKUP(L57,Справочники!$B$2:$B$35,Справочники!$A$2:$A$35)</f>
        <v>Технологический отдел</v>
      </c>
      <c r="B57" s="31">
        <f>Октябрь!E65+Ноябрь!E65+Декабрь!E65</f>
        <v>60000</v>
      </c>
      <c r="C57" s="31">
        <f ca="1">Октябрь!F65+Ноябрь!F65+Декабрь!F65</f>
        <v>15751.801865460711</v>
      </c>
      <c r="D57" s="31">
        <f>Октябрь!G65+Ноябрь!G65+Декабрь!G65</f>
        <v>9000</v>
      </c>
      <c r="E57" s="31">
        <f t="shared" ca="1" si="14"/>
        <v>84751.801865460715</v>
      </c>
      <c r="F57" s="31">
        <f ca="1">Октябрь!I65+Ноябрь!I65+Декабрь!I65</f>
        <v>11017.734242509894</v>
      </c>
      <c r="G57" s="31">
        <f t="shared" ca="1" si="15"/>
        <v>73734.067622950824</v>
      </c>
      <c r="H57" s="32"/>
      <c r="I57" s="12"/>
      <c r="J57" s="12"/>
      <c r="K57" s="12"/>
      <c r="L57" s="12" t="s">
        <v>38</v>
      </c>
    </row>
    <row r="58" spans="1:12" hidden="1" outlineLevel="2" x14ac:dyDescent="0.25">
      <c r="A58" s="12" t="str">
        <f>LOOKUP(L58,Справочники!$B$2:$B$35,Справочники!$A$2:$A$35)</f>
        <v>Технологический отдел</v>
      </c>
      <c r="B58" s="31">
        <f>Октябрь!E66+Ноябрь!E66+Декабрь!E66</f>
        <v>45000</v>
      </c>
      <c r="C58" s="31">
        <f ca="1">Октябрь!F66+Ноябрь!F66+Декабрь!F66</f>
        <v>11813.851399095533</v>
      </c>
      <c r="D58" s="31">
        <f>Октябрь!G66+Ноябрь!G66+Декабрь!G66</f>
        <v>6750</v>
      </c>
      <c r="E58" s="31">
        <f t="shared" ca="1" si="14"/>
        <v>63563.851399095533</v>
      </c>
      <c r="F58" s="31">
        <f ca="1">Октябрь!I66+Ноябрь!I66+Декабрь!I66</f>
        <v>8263.3006818824197</v>
      </c>
      <c r="G58" s="31">
        <f t="shared" ca="1" si="15"/>
        <v>55300.550717213111</v>
      </c>
      <c r="H58" s="32"/>
      <c r="I58" s="12"/>
      <c r="J58" s="12"/>
      <c r="K58" s="12"/>
      <c r="L58" s="12" t="s">
        <v>32</v>
      </c>
    </row>
    <row r="59" spans="1:12" hidden="1" outlineLevel="2" x14ac:dyDescent="0.25">
      <c r="A59" s="12" t="str">
        <f>LOOKUP(L59,Справочники!$B$2:$B$35,Справочники!$A$2:$A$35)</f>
        <v>Технологический отдел</v>
      </c>
      <c r="B59" s="31">
        <f>Октябрь!E67+Ноябрь!E67+Декабрь!E67</f>
        <v>36000</v>
      </c>
      <c r="C59" s="31">
        <f ca="1">Октябрь!F67+Ноябрь!F67+Декабрь!F67</f>
        <v>9451.0811192764268</v>
      </c>
      <c r="D59" s="31">
        <f>Октябрь!G67+Ноябрь!G67+Декабрь!G67</f>
        <v>5400</v>
      </c>
      <c r="E59" s="31">
        <f t="shared" ca="1" si="14"/>
        <v>50851.081119276423</v>
      </c>
      <c r="F59" s="31">
        <f ca="1">Октябрь!I67+Ноябрь!I67+Декабрь!I67</f>
        <v>6610.6405455059357</v>
      </c>
      <c r="G59" s="31">
        <f t="shared" ca="1" si="15"/>
        <v>44240.440573770487</v>
      </c>
      <c r="H59" s="32"/>
      <c r="I59" s="12"/>
      <c r="J59" s="12"/>
      <c r="K59" s="12"/>
      <c r="L59" s="12" t="s">
        <v>34</v>
      </c>
    </row>
    <row r="60" spans="1:12" outlineLevel="1" collapsed="1" x14ac:dyDescent="0.25">
      <c r="A60" s="9" t="s">
        <v>253</v>
      </c>
      <c r="B60" s="31">
        <f t="shared" ref="B60:G60" si="16">SUBTOTAL(9,B44:B59)</f>
        <v>729000</v>
      </c>
      <c r="C60" s="31">
        <f t="shared" ca="1" si="16"/>
        <v>174057.41061334085</v>
      </c>
      <c r="D60" s="31">
        <f t="shared" si="16"/>
        <v>109350</v>
      </c>
      <c r="E60" s="31">
        <f t="shared" ca="1" si="16"/>
        <v>1012407.4106133409</v>
      </c>
      <c r="F60" s="31">
        <f t="shared" ca="1" si="16"/>
        <v>131612.96337973428</v>
      </c>
      <c r="G60" s="31">
        <f t="shared" ca="1" si="16"/>
        <v>880794.4472336066</v>
      </c>
      <c r="H60" s="32"/>
      <c r="I60" s="12"/>
      <c r="J60" s="12"/>
      <c r="K60" s="12"/>
      <c r="L60" s="12"/>
    </row>
    <row r="61" spans="1:12" hidden="1" outlineLevel="2" x14ac:dyDescent="0.25">
      <c r="A61" s="12" t="str">
        <f>LOOKUP(L61,Справочники!$B$2:$B$35,Справочники!$A$2:$A$35)</f>
        <v>Транспортный отдел</v>
      </c>
      <c r="B61" s="31">
        <f>Октябрь!E21+Ноябрь!E21+Декабрь!E21</f>
        <v>36000</v>
      </c>
      <c r="C61" s="31">
        <f ca="1">Октябрь!F21+Ноябрь!F21+Декабрь!F21</f>
        <v>9451.0811192764268</v>
      </c>
      <c r="D61" s="31">
        <f>Октябрь!G21+Ноябрь!G21+Декабрь!G21</f>
        <v>5400</v>
      </c>
      <c r="E61" s="31">
        <f ca="1">B61+C61+D61</f>
        <v>50851.081119276423</v>
      </c>
      <c r="F61" s="31">
        <f ca="1">Октябрь!I21+Ноябрь!I21+Декабрь!I21</f>
        <v>6610.6405455059357</v>
      </c>
      <c r="G61" s="31">
        <f ca="1">E61-F61</f>
        <v>44240.440573770487</v>
      </c>
      <c r="H61" s="32"/>
      <c r="I61" s="12"/>
      <c r="J61" s="12"/>
      <c r="K61" s="12"/>
      <c r="L61" s="12" t="s">
        <v>50</v>
      </c>
    </row>
    <row r="62" spans="1:12" hidden="1" outlineLevel="2" x14ac:dyDescent="0.25">
      <c r="A62" s="12" t="str">
        <f>LOOKUP(L62,Справочники!$B$2:$B$35,Справочники!$A$2:$A$35)</f>
        <v>Транспортный отдел</v>
      </c>
      <c r="B62" s="31">
        <f>Октябрь!E46+Ноябрь!E46+Декабрь!E46</f>
        <v>36000</v>
      </c>
      <c r="C62" s="31">
        <f ca="1">Октябрь!F46+Ноябрь!F46+Декабрь!F46</f>
        <v>9451.0811192764268</v>
      </c>
      <c r="D62" s="31">
        <f>Октябрь!G46+Ноябрь!G46+Декабрь!G46</f>
        <v>5400</v>
      </c>
      <c r="E62" s="31">
        <f ca="1">B62+C62+D62</f>
        <v>50851.081119276423</v>
      </c>
      <c r="F62" s="31">
        <f ca="1">Октябрь!I46+Ноябрь!I46+Декабрь!I46</f>
        <v>6610.6405455059357</v>
      </c>
      <c r="G62" s="31">
        <f ca="1">E62-F62</f>
        <v>44240.440573770487</v>
      </c>
      <c r="H62" s="32"/>
      <c r="I62" s="12"/>
      <c r="J62" s="12"/>
      <c r="K62" s="12"/>
      <c r="L62" s="12" t="s">
        <v>50</v>
      </c>
    </row>
    <row r="63" spans="1:12" hidden="1" outlineLevel="2" x14ac:dyDescent="0.25">
      <c r="A63" s="12" t="str">
        <f>LOOKUP(L63,Справочники!$B$2:$B$35,Справочники!$A$2:$A$35)</f>
        <v>Транспортный отдел</v>
      </c>
      <c r="B63" s="31">
        <f>Октябрь!E54+Ноябрь!E54+Декабрь!E54</f>
        <v>36000</v>
      </c>
      <c r="C63" s="31">
        <f ca="1">Октябрь!F54+Ноябрь!F54+Декабрь!F54</f>
        <v>9451.0811192764268</v>
      </c>
      <c r="D63" s="31">
        <f>Октябрь!G54+Ноябрь!G54+Декабрь!G54</f>
        <v>5400</v>
      </c>
      <c r="E63" s="31">
        <f ca="1">B63+C63+D63</f>
        <v>50851.081119276423</v>
      </c>
      <c r="F63" s="31">
        <f ca="1">Октябрь!I54+Ноябрь!I54+Декабрь!I54</f>
        <v>6610.6405455059357</v>
      </c>
      <c r="G63" s="31">
        <f ca="1">E63-F63</f>
        <v>44240.440573770487</v>
      </c>
      <c r="H63" s="32"/>
      <c r="I63" s="12"/>
      <c r="J63" s="12"/>
      <c r="K63" s="12"/>
      <c r="L63" s="12" t="s">
        <v>50</v>
      </c>
    </row>
    <row r="64" spans="1:12" hidden="1" outlineLevel="2" x14ac:dyDescent="0.25">
      <c r="A64" s="12" t="str">
        <f>LOOKUP(L64,Справочники!$B$2:$B$35,Справочники!$A$2:$A$35)</f>
        <v>Транспортный отдел</v>
      </c>
      <c r="B64" s="31">
        <f>Октябрь!E55+Ноябрь!E55+Декабрь!E55</f>
        <v>36000</v>
      </c>
      <c r="C64" s="31">
        <f ca="1">Октябрь!F55+Ноябрь!F55+Декабрь!F55</f>
        <v>0</v>
      </c>
      <c r="D64" s="31">
        <f>Октябрь!G55+Ноябрь!G55+Декабрь!G55</f>
        <v>5400</v>
      </c>
      <c r="E64" s="31">
        <f ca="1">B64+C64+D64</f>
        <v>41400</v>
      </c>
      <c r="F64" s="31">
        <f ca="1">Октябрь!I55+Ноябрь!I55+Декабрь!I55</f>
        <v>5382</v>
      </c>
      <c r="G64" s="31">
        <f ca="1">E64-F64</f>
        <v>36018</v>
      </c>
      <c r="H64" s="32"/>
      <c r="I64" s="12"/>
      <c r="J64" s="12"/>
      <c r="K64" s="12"/>
      <c r="L64" s="12" t="s">
        <v>57</v>
      </c>
    </row>
    <row r="65" spans="1:12" outlineLevel="1" collapsed="1" x14ac:dyDescent="0.25">
      <c r="A65" s="9" t="s">
        <v>254</v>
      </c>
      <c r="B65" s="31">
        <f t="shared" ref="B65:G65" si="17">SUBTOTAL(9,B61:B64)</f>
        <v>144000</v>
      </c>
      <c r="C65" s="31">
        <f t="shared" ca="1" si="17"/>
        <v>28353.24335782928</v>
      </c>
      <c r="D65" s="31">
        <f t="shared" si="17"/>
        <v>21600</v>
      </c>
      <c r="E65" s="31">
        <f t="shared" ca="1" si="17"/>
        <v>193953.24335782928</v>
      </c>
      <c r="F65" s="31">
        <f t="shared" ca="1" si="17"/>
        <v>25213.921636517807</v>
      </c>
      <c r="G65" s="31">
        <f t="shared" ca="1" si="17"/>
        <v>168739.32172131145</v>
      </c>
      <c r="H65" s="32"/>
      <c r="I65" s="12"/>
      <c r="J65" s="12"/>
      <c r="K65" s="12"/>
      <c r="L65" s="12"/>
    </row>
    <row r="66" spans="1:12" hidden="1" outlineLevel="2" x14ac:dyDescent="0.25">
      <c r="A66" s="12" t="str">
        <f>LOOKUP(L66,Справочники!$B$2:$B$35,Справочники!$A$2:$A$35)</f>
        <v>Управление</v>
      </c>
      <c r="B66" s="31">
        <f>Октябрь!E6+Ноябрь!E6+Декабрь!E6</f>
        <v>45000</v>
      </c>
      <c r="C66" s="31">
        <f ca="1">Октябрь!F6+Ноябрь!F6+Декабрь!F6</f>
        <v>11813.851399095533</v>
      </c>
      <c r="D66" s="31">
        <f>Октябрь!G6+Ноябрь!G6+Декабрь!G6</f>
        <v>6750</v>
      </c>
      <c r="E66" s="31">
        <f t="shared" ref="E66:E73" ca="1" si="18">B66+C66+D66</f>
        <v>63563.851399095533</v>
      </c>
      <c r="F66" s="31">
        <f ca="1">Октябрь!I6+Ноябрь!I6+Декабрь!I6</f>
        <v>8263.3006818824197</v>
      </c>
      <c r="G66" s="31">
        <f t="shared" ref="G66:G73" ca="1" si="19">E66-F66</f>
        <v>55300.550717213111</v>
      </c>
      <c r="H66" s="32"/>
      <c r="I66" s="12"/>
      <c r="J66" s="12"/>
      <c r="K66" s="12"/>
      <c r="L66" s="12" t="s">
        <v>20</v>
      </c>
    </row>
    <row r="67" spans="1:12" hidden="1" outlineLevel="2" x14ac:dyDescent="0.25">
      <c r="A67" s="12" t="str">
        <f>LOOKUP(L67,Справочники!$B$2:$B$35,Справочники!$A$2:$A$35)</f>
        <v>Управление</v>
      </c>
      <c r="B67" s="31">
        <f>Октябрь!E7+Ноябрь!E7+Декабрь!E7</f>
        <v>45000</v>
      </c>
      <c r="C67" s="31">
        <f ca="1">Октябрь!F7+Ноябрь!F7+Декабрь!F7</f>
        <v>11813.851399095533</v>
      </c>
      <c r="D67" s="31">
        <f>Октябрь!G7+Ноябрь!G7+Декабрь!G7</f>
        <v>6750</v>
      </c>
      <c r="E67" s="31">
        <f t="shared" ca="1" si="18"/>
        <v>63563.851399095533</v>
      </c>
      <c r="F67" s="31">
        <f ca="1">Октябрь!I7+Ноябрь!I7+Декабрь!I7</f>
        <v>8263.3006818824197</v>
      </c>
      <c r="G67" s="31">
        <f t="shared" ca="1" si="19"/>
        <v>55300.550717213111</v>
      </c>
      <c r="H67" s="32"/>
      <c r="I67" s="12"/>
      <c r="J67" s="12"/>
      <c r="K67" s="12"/>
      <c r="L67" s="12" t="s">
        <v>20</v>
      </c>
    </row>
    <row r="68" spans="1:12" hidden="1" outlineLevel="2" x14ac:dyDescent="0.25">
      <c r="A68" s="12" t="str">
        <f>LOOKUP(L68,Справочники!$B$2:$B$35,Справочники!$A$2:$A$35)</f>
        <v>Управление</v>
      </c>
      <c r="B68" s="31">
        <f>Октябрь!E8+Ноябрь!E8+Декабрь!E8</f>
        <v>45000</v>
      </c>
      <c r="C68" s="31">
        <f ca="1">Октябрь!F8+Ноябрь!F8+Декабрь!F8</f>
        <v>11813.851399095533</v>
      </c>
      <c r="D68" s="31">
        <f>Октябрь!G8+Ноябрь!G8+Декабрь!G8</f>
        <v>6750</v>
      </c>
      <c r="E68" s="31">
        <f t="shared" ca="1" si="18"/>
        <v>63563.851399095533</v>
      </c>
      <c r="F68" s="31">
        <f ca="1">Октябрь!I8+Ноябрь!I8+Декабрь!I8</f>
        <v>8263.3006818824197</v>
      </c>
      <c r="G68" s="31">
        <f t="shared" ca="1" si="19"/>
        <v>55300.550717213111</v>
      </c>
      <c r="H68" s="32"/>
      <c r="I68" s="12"/>
      <c r="J68" s="12"/>
      <c r="K68" s="12"/>
      <c r="L68" s="12" t="s">
        <v>20</v>
      </c>
    </row>
    <row r="69" spans="1:12" hidden="1" outlineLevel="2" x14ac:dyDescent="0.25">
      <c r="A69" s="12" t="str">
        <f>LOOKUP(L69,Справочники!$B$2:$B$35,Справочники!$A$2:$A$35)</f>
        <v>Управление</v>
      </c>
      <c r="B69" s="31">
        <f>Октябрь!E10+Ноябрь!E10+Декабрь!E10</f>
        <v>84000</v>
      </c>
      <c r="C69" s="31">
        <f ca="1">Октябрь!F10+Ноябрь!F10+Декабрь!F10</f>
        <v>22052.522611644992</v>
      </c>
      <c r="D69" s="31">
        <f>Октябрь!G10+Ноябрь!G10+Декабрь!G10</f>
        <v>12600</v>
      </c>
      <c r="E69" s="31">
        <f t="shared" ca="1" si="18"/>
        <v>118652.52261164499</v>
      </c>
      <c r="F69" s="31">
        <f ca="1">Октябрь!I10+Ноябрь!I10+Декабрь!I10</f>
        <v>15424.827939513849</v>
      </c>
      <c r="G69" s="31">
        <f t="shared" ca="1" si="19"/>
        <v>103227.69467213114</v>
      </c>
      <c r="H69" s="32"/>
      <c r="I69" s="12"/>
      <c r="J69" s="12"/>
      <c r="K69" s="12"/>
      <c r="L69" s="12" t="s">
        <v>22</v>
      </c>
    </row>
    <row r="70" spans="1:12" hidden="1" outlineLevel="2" x14ac:dyDescent="0.25">
      <c r="A70" s="12" t="str">
        <f>LOOKUP(L70,Справочники!$B$2:$B$35,Справочники!$A$2:$A$35)</f>
        <v>Управление</v>
      </c>
      <c r="B70" s="31">
        <f>Октябрь!E16+Ноябрь!E16+Декабрь!E16</f>
        <v>105000</v>
      </c>
      <c r="C70" s="31">
        <f ca="1">Октябрь!F16+Ноябрь!F16+Декабрь!F16</f>
        <v>27565.653264556244</v>
      </c>
      <c r="D70" s="31">
        <f>Октябрь!G16+Ноябрь!G16+Декабрь!G16</f>
        <v>15750</v>
      </c>
      <c r="E70" s="31">
        <f t="shared" ca="1" si="18"/>
        <v>148315.65326455625</v>
      </c>
      <c r="F70" s="31">
        <f ca="1">Октябрь!I16+Ноябрь!I16+Декабрь!I16</f>
        <v>19281.034924392312</v>
      </c>
      <c r="G70" s="31">
        <f t="shared" ca="1" si="19"/>
        <v>129034.61834016394</v>
      </c>
      <c r="H70" s="32"/>
      <c r="I70" s="12"/>
      <c r="J70" s="12"/>
      <c r="K70" s="12"/>
      <c r="L70" s="12" t="s">
        <v>21</v>
      </c>
    </row>
    <row r="71" spans="1:12" hidden="1" outlineLevel="2" x14ac:dyDescent="0.25">
      <c r="A71" s="12" t="str">
        <f>LOOKUP(L71,Справочники!$B$2:$B$35,Справочники!$A$2:$A$35)</f>
        <v>Управление</v>
      </c>
      <c r="B71" s="31">
        <f>Октябрь!E44+Ноябрь!E44+Декабрь!E44</f>
        <v>45000</v>
      </c>
      <c r="C71" s="31">
        <f ca="1">Октябрь!F44+Ноябрь!F44+Декабрь!F44</f>
        <v>11813.851399095533</v>
      </c>
      <c r="D71" s="31">
        <f>Октябрь!G44+Ноябрь!G44+Декабрь!G44</f>
        <v>6750</v>
      </c>
      <c r="E71" s="31">
        <f t="shared" ca="1" si="18"/>
        <v>63563.851399095533</v>
      </c>
      <c r="F71" s="31">
        <f ca="1">Октябрь!I44+Ноябрь!I44+Декабрь!I44</f>
        <v>8263.3006818824197</v>
      </c>
      <c r="G71" s="31">
        <f t="shared" ca="1" si="19"/>
        <v>55300.550717213111</v>
      </c>
      <c r="H71" s="32"/>
      <c r="I71" s="12"/>
      <c r="J71" s="12"/>
      <c r="K71" s="12"/>
      <c r="L71" s="12" t="s">
        <v>24</v>
      </c>
    </row>
    <row r="72" spans="1:12" hidden="1" outlineLevel="2" x14ac:dyDescent="0.25">
      <c r="A72" s="12" t="str">
        <f>LOOKUP(L72,Справочники!$B$2:$B$35,Справочники!$A$2:$A$35)</f>
        <v>Управление</v>
      </c>
      <c r="B72" s="31">
        <f>Октябрь!E57+Ноябрь!E57+Декабрь!E57</f>
        <v>90000</v>
      </c>
      <c r="C72" s="31">
        <f ca="1">Октябрь!F57+Ноябрь!F57+Декабрь!F57</f>
        <v>23627.702798191065</v>
      </c>
      <c r="D72" s="31">
        <f>Октябрь!G57+Ноябрь!G57+Декабрь!G57</f>
        <v>13500</v>
      </c>
      <c r="E72" s="31">
        <f t="shared" ca="1" si="18"/>
        <v>127127.70279819107</v>
      </c>
      <c r="F72" s="31">
        <f ca="1">Октябрь!I57+Ноябрь!I57+Декабрь!I57</f>
        <v>16526.601363764839</v>
      </c>
      <c r="G72" s="31">
        <f t="shared" ca="1" si="19"/>
        <v>110601.10143442622</v>
      </c>
      <c r="H72" s="32"/>
      <c r="I72" s="12"/>
      <c r="J72" s="12"/>
      <c r="K72" s="12"/>
      <c r="L72" s="12" t="s">
        <v>23</v>
      </c>
    </row>
    <row r="73" spans="1:12" hidden="1" outlineLevel="2" x14ac:dyDescent="0.25">
      <c r="A73" s="12" t="str">
        <f>LOOKUP(L73,Справочники!$B$2:$B$35,Справочники!$A$2:$A$35)</f>
        <v>Управление</v>
      </c>
      <c r="B73" s="31">
        <f>Октябрь!E60+Ноябрь!E60+Декабрь!E60</f>
        <v>45000</v>
      </c>
      <c r="C73" s="31">
        <f ca="1">Октябрь!F60+Ноябрь!F60+Декабрь!F60</f>
        <v>11813.851399095533</v>
      </c>
      <c r="D73" s="31">
        <f>Октябрь!G60+Ноябрь!G60+Декабрь!G60</f>
        <v>6750</v>
      </c>
      <c r="E73" s="31">
        <f t="shared" ca="1" si="18"/>
        <v>63563.851399095533</v>
      </c>
      <c r="F73" s="31">
        <f ca="1">Октябрь!I60+Ноябрь!I60+Декабрь!I60</f>
        <v>8263.3006818824197</v>
      </c>
      <c r="G73" s="31">
        <f t="shared" ca="1" si="19"/>
        <v>55300.550717213111</v>
      </c>
      <c r="H73" s="32"/>
      <c r="I73" s="12"/>
      <c r="J73" s="12"/>
      <c r="K73" s="12"/>
      <c r="L73" s="12" t="s">
        <v>20</v>
      </c>
    </row>
    <row r="74" spans="1:12" outlineLevel="1" collapsed="1" x14ac:dyDescent="0.25">
      <c r="A74" s="9" t="s">
        <v>255</v>
      </c>
      <c r="B74" s="31">
        <f t="shared" ref="B74:G74" si="20">SUBTOTAL(9,B66:B73)</f>
        <v>504000</v>
      </c>
      <c r="C74" s="31">
        <f t="shared" ca="1" si="20"/>
        <v>132315.13566986998</v>
      </c>
      <c r="D74" s="31">
        <f t="shared" si="20"/>
        <v>75600</v>
      </c>
      <c r="E74" s="31">
        <f t="shared" ca="1" si="20"/>
        <v>711915.13566986995</v>
      </c>
      <c r="F74" s="31">
        <f t="shared" ca="1" si="20"/>
        <v>92548.9676370831</v>
      </c>
      <c r="G74" s="31">
        <f t="shared" ca="1" si="20"/>
        <v>619366.16803278693</v>
      </c>
      <c r="L74" s="13"/>
    </row>
    <row r="75" spans="1:12" x14ac:dyDescent="0.25">
      <c r="A75" s="9" t="s">
        <v>256</v>
      </c>
      <c r="B75" s="31">
        <f t="shared" ref="B75:G75" si="21">SUBTOTAL(9,B2:B73)</f>
        <v>3129000</v>
      </c>
      <c r="C75" s="31">
        <f t="shared" ca="1" si="21"/>
        <v>768687.93103448255</v>
      </c>
      <c r="D75" s="31">
        <f t="shared" si="21"/>
        <v>469350</v>
      </c>
      <c r="E75" s="31">
        <f t="shared" ca="1" si="21"/>
        <v>4367037.9310344867</v>
      </c>
      <c r="F75" s="31">
        <f t="shared" ca="1" si="21"/>
        <v>567714.93103448255</v>
      </c>
      <c r="G75" s="31">
        <f t="shared" ca="1" si="21"/>
        <v>3799323.0000000014</v>
      </c>
      <c r="L75" s="13"/>
    </row>
  </sheetData>
  <sortState xmlns:xlrd2="http://schemas.microsoft.com/office/spreadsheetml/2017/richdata2" ref="A2:G73">
    <sortCondition ref="A2:A73"/>
  </sortState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B714-78BC-4FFC-911B-9A16553D38CC}">
  <dimension ref="A1:G12"/>
  <sheetViews>
    <sheetView zoomScale="85" zoomScaleNormal="85" workbookViewId="0">
      <selection activeCell="F8" sqref="F8"/>
    </sheetView>
  </sheetViews>
  <sheetFormatPr defaultRowHeight="15" x14ac:dyDescent="0.25"/>
  <cols>
    <col min="1" max="1" width="52.28515625" customWidth="1"/>
    <col min="2" max="3" width="24.28515625" customWidth="1"/>
    <col min="4" max="4" width="30" customWidth="1"/>
    <col min="5" max="7" width="24.28515625" customWidth="1"/>
  </cols>
  <sheetData>
    <row r="1" spans="1:7" ht="30" customHeight="1" x14ac:dyDescent="0.25">
      <c r="A1" s="34" t="s">
        <v>3</v>
      </c>
      <c r="B1" s="34" t="s">
        <v>0</v>
      </c>
      <c r="C1" s="34" t="s">
        <v>217</v>
      </c>
      <c r="D1" s="34" t="s">
        <v>218</v>
      </c>
      <c r="E1" s="34" t="s">
        <v>220</v>
      </c>
      <c r="F1" s="34" t="s">
        <v>219</v>
      </c>
      <c r="G1" s="34" t="s">
        <v>221</v>
      </c>
    </row>
    <row r="2" spans="1:7" x14ac:dyDescent="0.25">
      <c r="A2" s="35" t="s">
        <v>10</v>
      </c>
      <c r="B2" s="31">
        <v>264000</v>
      </c>
      <c r="C2" s="31">
        <v>69307.928208027122</v>
      </c>
      <c r="D2" s="31">
        <v>39600</v>
      </c>
      <c r="E2" s="31">
        <v>372907.92820802715</v>
      </c>
      <c r="F2" s="31">
        <v>48478.030667043531</v>
      </c>
      <c r="G2" s="31">
        <v>324429.89754098363</v>
      </c>
    </row>
    <row r="3" spans="1:7" x14ac:dyDescent="0.25">
      <c r="A3" s="35" t="s">
        <v>41</v>
      </c>
      <c r="B3" s="31">
        <v>45000</v>
      </c>
      <c r="C3" s="31">
        <v>11813.851399095533</v>
      </c>
      <c r="D3" s="31">
        <v>6750</v>
      </c>
      <c r="E3" s="31">
        <v>63563.851399095533</v>
      </c>
      <c r="F3" s="31">
        <v>8263.3006818824197</v>
      </c>
      <c r="G3" s="31">
        <v>55300.550717213111</v>
      </c>
    </row>
    <row r="4" spans="1:7" x14ac:dyDescent="0.25">
      <c r="A4" s="35" t="s">
        <v>257</v>
      </c>
      <c r="B4" s="31">
        <v>108000</v>
      </c>
      <c r="C4" s="31">
        <v>28353.24335782928</v>
      </c>
      <c r="D4" s="31">
        <v>16200</v>
      </c>
      <c r="E4" s="31">
        <v>152553.24335782928</v>
      </c>
      <c r="F4" s="31">
        <v>19831.921636517807</v>
      </c>
      <c r="G4" s="31">
        <v>132721.32172131148</v>
      </c>
    </row>
    <row r="5" spans="1:7" x14ac:dyDescent="0.25">
      <c r="A5" s="35" t="s">
        <v>51</v>
      </c>
      <c r="B5" s="31">
        <v>507000</v>
      </c>
      <c r="C5" s="31">
        <v>133102.72576314298</v>
      </c>
      <c r="D5" s="31">
        <v>76050</v>
      </c>
      <c r="E5" s="31">
        <v>716152.72576314316</v>
      </c>
      <c r="F5" s="31">
        <v>93099.854349208588</v>
      </c>
      <c r="G5" s="31">
        <v>623052.87141393439</v>
      </c>
    </row>
    <row r="6" spans="1:7" x14ac:dyDescent="0.25">
      <c r="A6" s="35" t="s">
        <v>26</v>
      </c>
      <c r="B6" s="31">
        <v>573000</v>
      </c>
      <c r="C6" s="31">
        <v>133102.72576314298</v>
      </c>
      <c r="D6" s="31">
        <v>85950</v>
      </c>
      <c r="E6" s="31">
        <v>792052.72576314304</v>
      </c>
      <c r="F6" s="31">
        <v>102966.85434920859</v>
      </c>
      <c r="G6" s="31">
        <v>689085.87141393439</v>
      </c>
    </row>
    <row r="7" spans="1:7" x14ac:dyDescent="0.25">
      <c r="A7" s="35" t="s">
        <v>45</v>
      </c>
      <c r="B7" s="31">
        <v>255000</v>
      </c>
      <c r="C7" s="31">
        <v>58281.666902204626</v>
      </c>
      <c r="D7" s="31">
        <v>38250</v>
      </c>
      <c r="E7" s="31">
        <v>351531.66690220463</v>
      </c>
      <c r="F7" s="31">
        <v>45699.116697286605</v>
      </c>
      <c r="G7" s="31">
        <v>305832.55020491808</v>
      </c>
    </row>
    <row r="8" spans="1:7" x14ac:dyDescent="0.25">
      <c r="A8" s="35" t="s">
        <v>29</v>
      </c>
      <c r="B8" s="31">
        <v>729000</v>
      </c>
      <c r="C8" s="31">
        <v>174057.41061334085</v>
      </c>
      <c r="D8" s="31">
        <v>109350</v>
      </c>
      <c r="E8" s="31">
        <v>1012407.4106133409</v>
      </c>
      <c r="F8" s="31">
        <v>131612.96337973428</v>
      </c>
      <c r="G8" s="31">
        <v>880794.4472336066</v>
      </c>
    </row>
    <row r="9" spans="1:7" x14ac:dyDescent="0.25">
      <c r="A9" s="35" t="s">
        <v>49</v>
      </c>
      <c r="B9" s="31">
        <v>144000</v>
      </c>
      <c r="C9" s="31">
        <v>28353.24335782928</v>
      </c>
      <c r="D9" s="31">
        <v>21600</v>
      </c>
      <c r="E9" s="31">
        <v>193953.24335782928</v>
      </c>
      <c r="F9" s="31">
        <v>25213.921636517807</v>
      </c>
      <c r="G9" s="31">
        <v>168739.32172131145</v>
      </c>
    </row>
    <row r="10" spans="1:7" x14ac:dyDescent="0.25">
      <c r="A10" s="35" t="s">
        <v>19</v>
      </c>
      <c r="B10" s="31">
        <v>504000</v>
      </c>
      <c r="C10" s="31">
        <v>132315.13566986998</v>
      </c>
      <c r="D10" s="31">
        <v>75600</v>
      </c>
      <c r="E10" s="31">
        <v>711915.13566986995</v>
      </c>
      <c r="F10" s="31">
        <v>92548.9676370831</v>
      </c>
      <c r="G10" s="31">
        <v>619366.16803278693</v>
      </c>
    </row>
    <row r="11" spans="1:7" x14ac:dyDescent="0.25">
      <c r="A11" s="35" t="s">
        <v>230</v>
      </c>
      <c r="B11" s="36">
        <v>3129000</v>
      </c>
      <c r="C11" s="36">
        <v>768687.93103448255</v>
      </c>
      <c r="D11" s="36">
        <v>469350</v>
      </c>
      <c r="E11" s="36">
        <v>4367037.9310344867</v>
      </c>
      <c r="F11" s="36">
        <v>567714.93103448255</v>
      </c>
      <c r="G11" s="36">
        <v>3799323.0000000014</v>
      </c>
    </row>
    <row r="12" spans="1:7" x14ac:dyDescent="0.25">
      <c r="A12" s="33"/>
      <c r="B12" s="33"/>
      <c r="C12" s="33"/>
      <c r="D12" s="33"/>
      <c r="E12" s="33"/>
      <c r="F12" s="33"/>
      <c r="G12" s="33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D71E-248B-4894-B248-E10B4ED09DDE}">
  <dimension ref="A1"/>
  <sheetViews>
    <sheetView tabSelected="1" zoomScale="85" zoomScaleNormal="85" workbookViewId="0">
      <selection activeCell="T14" sqref="T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3</vt:i4>
      </vt:variant>
    </vt:vector>
  </HeadingPairs>
  <TitlesOfParts>
    <vt:vector size="25" baseType="lpstr">
      <vt:lpstr>Справочники</vt:lpstr>
      <vt:lpstr>База данных</vt:lpstr>
      <vt:lpstr>Октябрь</vt:lpstr>
      <vt:lpstr>Ноябрь</vt:lpstr>
      <vt:lpstr>Декабрь</vt:lpstr>
      <vt:lpstr>2.1</vt:lpstr>
      <vt:lpstr>2.2</vt:lpstr>
      <vt:lpstr>2.3</vt:lpstr>
      <vt:lpstr>2.4</vt:lpstr>
      <vt:lpstr>2.5</vt:lpstr>
      <vt:lpstr>2.6</vt:lpstr>
      <vt:lpstr>3.1</vt:lpstr>
      <vt:lpstr>3.2</vt:lpstr>
      <vt:lpstr>3.3</vt:lpstr>
      <vt:lpstr>3.4</vt:lpstr>
      <vt:lpstr>4.1</vt:lpstr>
      <vt:lpstr>4.2</vt:lpstr>
      <vt:lpstr>4.3</vt:lpstr>
      <vt:lpstr>4.4</vt:lpstr>
      <vt:lpstr>Квартал IV</vt:lpstr>
      <vt:lpstr>Диаграммы-1</vt:lpstr>
      <vt:lpstr>Диаграмма-2</vt:lpstr>
      <vt:lpstr>'2.4'!Критерии</vt:lpstr>
      <vt:lpstr>'2.5'!Критерии</vt:lpstr>
      <vt:lpstr>'2.6'!Критерии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2017-10-02T18:24:32Z</dcterms:created>
  <dcterms:modified xsi:type="dcterms:W3CDTF">2022-11-22T19:27:51Z</dcterms:modified>
</cp:coreProperties>
</file>