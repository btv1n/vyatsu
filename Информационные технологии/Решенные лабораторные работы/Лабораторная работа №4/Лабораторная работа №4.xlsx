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lib16\Students\ПМИб-3\Алекскандров Эрнест\Информационные технологии\Лаба 4 Excel\"/>
    </mc:Choice>
  </mc:AlternateContent>
  <xr:revisionPtr revIDLastSave="0" documentId="13_ncr:1_{B9463F15-6F01-4426-B8CB-4CFCE19EDC7C}" xr6:coauthVersionLast="36" xr6:coauthVersionMax="36" xr10:uidLastSave="{00000000-0000-0000-0000-000000000000}"/>
  <bookViews>
    <workbookView xWindow="0" yWindow="0" windowWidth="19905" windowHeight="12090" tabRatio="699" activeTab="12" xr2:uid="{00000000-000D-0000-FFFF-FFFF00000000}"/>
  </bookViews>
  <sheets>
    <sheet name="1" sheetId="60" r:id="rId1"/>
    <sheet name="2" sheetId="4" r:id="rId2"/>
    <sheet name="3 a" sheetId="79" r:id="rId3"/>
    <sheet name="3 b" sheetId="80" r:id="rId4"/>
    <sheet name="4а" sheetId="23" r:id="rId5"/>
    <sheet name="4b" sheetId="24" r:id="rId6"/>
    <sheet name="5" sheetId="81" r:id="rId7"/>
    <sheet name="6" sheetId="64" r:id="rId8"/>
    <sheet name="7" sheetId="84" r:id="rId9"/>
    <sheet name="8 a" sheetId="82" r:id="rId10"/>
    <sheet name="8 b" sheetId="83" r:id="rId11"/>
    <sheet name="8с" sheetId="66" r:id="rId12"/>
    <sheet name="9" sheetId="85" r:id="rId13"/>
    <sheet name="10" sheetId="87" r:id="rId14"/>
    <sheet name="11" sheetId="91" r:id="rId15"/>
    <sheet name="заготовка 11" sheetId="75" r:id="rId16"/>
  </sheets>
  <definedNames>
    <definedName name="_xlnm._FilterDatabase" localSheetId="0" hidden="1">'1'!$A$1:$Q$65</definedName>
    <definedName name="_xlnm._FilterDatabase" localSheetId="1" hidden="1">'2'!$A$5:$F$14</definedName>
    <definedName name="_xlnm._FilterDatabase" localSheetId="2" hidden="1">'3 a'!$A$5:$I$69</definedName>
    <definedName name="_xlnm._FilterDatabase" localSheetId="3" hidden="1">'3 b'!$A$5:$I$69</definedName>
    <definedName name="_xlnm._FilterDatabase" localSheetId="5" hidden="1">'4b'!$A$6:$F$15</definedName>
    <definedName name="_xlnm._FilterDatabase" localSheetId="4" hidden="1">'4а'!$A$1:$F$10</definedName>
    <definedName name="_xlnm._FilterDatabase" localSheetId="6" hidden="1">'5'!$A$1:$Q$77</definedName>
    <definedName name="_xlnm._FilterDatabase" localSheetId="7" hidden="1">'6'!$A$1:$I$75</definedName>
    <definedName name="_xlnm._FilterDatabase" localSheetId="9" hidden="1">'8 a'!$A$1:$Q$73</definedName>
    <definedName name="_xlnm._FilterDatabase" localSheetId="10" hidden="1">'8 b'!$A$1:$Q$68</definedName>
    <definedName name="_xlnm._FilterDatabase" localSheetId="11" hidden="1">'8с'!$A$1:$I$73</definedName>
    <definedName name="_xlnm._FilterDatabase" localSheetId="15" hidden="1">'заготовка 11'!$A$1:$I$72</definedName>
    <definedName name="_xlnm.Criteria" localSheetId="1">'2'!$A$1:$F$2</definedName>
    <definedName name="_xlnm.Criteria" localSheetId="2">'3 a'!$A$1:$I$3</definedName>
    <definedName name="_xlnm.Criteria" localSheetId="3">'3 b'!$A$1:$I$3</definedName>
    <definedName name="_xlnm.Criteria" localSheetId="5">'4b'!$A$1:$F$3</definedName>
    <definedName name="Условие" localSheetId="0">#REF!</definedName>
    <definedName name="Условие" localSheetId="13">#REF!</definedName>
    <definedName name="Условие" localSheetId="2">#REF!</definedName>
    <definedName name="Условие" localSheetId="3">#REF!</definedName>
    <definedName name="Условие" localSheetId="6">#REF!</definedName>
    <definedName name="Условие" localSheetId="9">#REF!</definedName>
    <definedName name="Условие" localSheetId="10">#REF!</definedName>
    <definedName name="Условие" localSheetId="11">#REF!</definedName>
    <definedName name="Условие" localSheetId="15">#REF!</definedName>
    <definedName name="Условие">#REF!</definedName>
  </definedNames>
  <calcPr calcId="191029"/>
  <pivotCaches>
    <pivotCache cacheId="0" r:id="rId17"/>
    <pivotCache cacheId="1" r:id="rId18"/>
  </pivotCaches>
</workbook>
</file>

<file path=xl/calcChain.xml><?xml version="1.0" encoding="utf-8"?>
<calcChain xmlns="http://schemas.openxmlformats.org/spreadsheetml/2006/main">
  <c r="B78" i="81" l="1"/>
  <c r="B76" i="81"/>
  <c r="B74" i="81"/>
  <c r="B71" i="81"/>
  <c r="B69" i="81"/>
  <c r="B66" i="81"/>
  <c r="B21" i="81"/>
  <c r="B15" i="81"/>
  <c r="B13" i="81"/>
  <c r="B9" i="81"/>
  <c r="B7" i="81"/>
  <c r="B5" i="81"/>
  <c r="B3" i="81"/>
  <c r="B79" i="81" l="1"/>
  <c r="D74" i="66"/>
  <c r="D54" i="66"/>
  <c r="D75" i="66" s="1"/>
  <c r="H69" i="83"/>
  <c r="H51" i="83"/>
  <c r="H42" i="83"/>
  <c r="H28" i="83"/>
  <c r="B74" i="82"/>
  <c r="B68" i="82"/>
  <c r="B62" i="82"/>
  <c r="B47" i="82"/>
  <c r="B40" i="82"/>
  <c r="B34" i="82"/>
  <c r="B21" i="82"/>
  <c r="B15" i="82"/>
  <c r="B8" i="82"/>
  <c r="H76" i="84"/>
  <c r="H61" i="84"/>
  <c r="H42" i="84"/>
  <c r="H21" i="84"/>
  <c r="H70" i="83" l="1"/>
  <c r="B75" i="82"/>
  <c r="H77" i="84"/>
  <c r="D76" i="64"/>
  <c r="D61" i="64"/>
  <c r="D42" i="64"/>
  <c r="D21" i="64"/>
  <c r="D77" i="64" l="1"/>
</calcChain>
</file>

<file path=xl/sharedStrings.xml><?xml version="1.0" encoding="utf-8"?>
<sst xmlns="http://schemas.openxmlformats.org/spreadsheetml/2006/main" count="5871" uniqueCount="627">
  <si>
    <t>Оклад</t>
  </si>
  <si>
    <t>Премия</t>
  </si>
  <si>
    <t>Аванс</t>
  </si>
  <si>
    <t>К выдаче</t>
  </si>
  <si>
    <t>В долларах</t>
  </si>
  <si>
    <t>Иванов</t>
  </si>
  <si>
    <t>Петров</t>
  </si>
  <si>
    <t>Сидоров</t>
  </si>
  <si>
    <t>Куприн</t>
  </si>
  <si>
    <t>Тютчев</t>
  </si>
  <si>
    <t>Михалков</t>
  </si>
  <si>
    <t>Оленева</t>
  </si>
  <si>
    <t>Семакин</t>
  </si>
  <si>
    <t>Петренко</t>
  </si>
  <si>
    <t>Фамилия сотрудника</t>
  </si>
  <si>
    <t>Планета</t>
  </si>
  <si>
    <r>
      <t>Период</t>
    </r>
    <r>
      <rPr>
        <sz val="13"/>
        <color theme="1"/>
        <rFont val="Times New Roman"/>
        <family val="1"/>
        <charset val="204"/>
      </rPr>
      <t>(годы)</t>
    </r>
  </si>
  <si>
    <r>
      <t>Расстояние от Солнца(</t>
    </r>
    <r>
      <rPr>
        <sz val="13"/>
        <color theme="1"/>
        <rFont val="Times New Roman"/>
        <family val="1"/>
        <charset val="204"/>
      </rPr>
      <t>млн.км)</t>
    </r>
  </si>
  <si>
    <r>
      <t>Диаметр (</t>
    </r>
    <r>
      <rPr>
        <sz val="13"/>
        <color theme="1"/>
        <rFont val="Times New Roman"/>
        <family val="1"/>
        <charset val="204"/>
      </rPr>
      <t>тыс.км)</t>
    </r>
  </si>
  <si>
    <r>
      <t>Масса(</t>
    </r>
    <r>
      <rPr>
        <sz val="13"/>
        <color theme="1"/>
        <rFont val="Times New Roman"/>
        <family val="1"/>
        <charset val="204"/>
      </rPr>
      <t>10</t>
    </r>
    <r>
      <rPr>
        <vertAlign val="superscript"/>
        <sz val="13"/>
        <color theme="1"/>
        <rFont val="Times New Roman"/>
        <family val="1"/>
        <charset val="204"/>
      </rPr>
      <t xml:space="preserve">24 </t>
    </r>
    <r>
      <rPr>
        <sz val="13"/>
        <color theme="1"/>
        <rFont val="Times New Roman"/>
        <family val="1"/>
        <charset val="204"/>
      </rPr>
      <t>кг)</t>
    </r>
  </si>
  <si>
    <t>Спутники</t>
  </si>
  <si>
    <t>Меркурий</t>
  </si>
  <si>
    <t>Венера</t>
  </si>
  <si>
    <t>Земля</t>
  </si>
  <si>
    <t>Марс</t>
  </si>
  <si>
    <t>Юпитер</t>
  </si>
  <si>
    <t>Сатурн</t>
  </si>
  <si>
    <t>Уран</t>
  </si>
  <si>
    <t>Нептун</t>
  </si>
  <si>
    <t>Плутон</t>
  </si>
  <si>
    <t>Код</t>
  </si>
  <si>
    <t>Фамилия</t>
  </si>
  <si>
    <t>Имя</t>
  </si>
  <si>
    <t>Отчество</t>
  </si>
  <si>
    <t>Пол</t>
  </si>
  <si>
    <t>Отдел</t>
  </si>
  <si>
    <t>Должность</t>
  </si>
  <si>
    <t>Образование</t>
  </si>
  <si>
    <t>Дата найма</t>
  </si>
  <si>
    <t>Дата рождения</t>
  </si>
  <si>
    <t>Адрес</t>
  </si>
  <si>
    <t>Город</t>
  </si>
  <si>
    <t>Индекс</t>
  </si>
  <si>
    <t>Домашний телефон</t>
  </si>
  <si>
    <t>Рабочий телефон</t>
  </si>
  <si>
    <t>Кабинет</t>
  </si>
  <si>
    <t>034</t>
  </si>
  <si>
    <t>Айдарпашич</t>
  </si>
  <si>
    <t>Амина</t>
  </si>
  <si>
    <t>Александровна</t>
  </si>
  <si>
    <t>жен</t>
  </si>
  <si>
    <t>Бухгалтерия</t>
  </si>
  <si>
    <t>Бухгалтер</t>
  </si>
  <si>
    <t>среднее специальное</t>
  </si>
  <si>
    <t>Снайперская ул.,дом 13,корп 1,кв 12</t>
  </si>
  <si>
    <t>Москва</t>
  </si>
  <si>
    <t>9161848</t>
  </si>
  <si>
    <t>6543201</t>
  </si>
  <si>
    <t>032</t>
  </si>
  <si>
    <t>Вербицкая</t>
  </si>
  <si>
    <t>Елена</t>
  </si>
  <si>
    <t>Вадимовна</t>
  </si>
  <si>
    <t>Главный бухгалтер</t>
  </si>
  <si>
    <t>высшее</t>
  </si>
  <si>
    <t>Спортивный пр.,дом 8,кв 61</t>
  </si>
  <si>
    <t>2447004</t>
  </si>
  <si>
    <t>036</t>
  </si>
  <si>
    <t>Иванова</t>
  </si>
  <si>
    <t>Людмила</t>
  </si>
  <si>
    <t>Петровна</t>
  </si>
  <si>
    <t>Кассир</t>
  </si>
  <si>
    <t>Славянский бульв.,дом 51</t>
  </si>
  <si>
    <t>Люберцы</t>
  </si>
  <si>
    <t>119501</t>
  </si>
  <si>
    <t/>
  </si>
  <si>
    <t>037</t>
  </si>
  <si>
    <t>Лобурец</t>
  </si>
  <si>
    <t>Диана</t>
  </si>
  <si>
    <t>Борисовна</t>
  </si>
  <si>
    <t>Экономист</t>
  </si>
  <si>
    <t>Славянский бульв.,дом 27</t>
  </si>
  <si>
    <t>141014</t>
  </si>
  <si>
    <t>1536899</t>
  </si>
  <si>
    <t>033</t>
  </si>
  <si>
    <t>Алеев</t>
  </si>
  <si>
    <t>Леонид</t>
  </si>
  <si>
    <t>Иванович</t>
  </si>
  <si>
    <t>муж</t>
  </si>
  <si>
    <t>Зам. гл. бухгалтера</t>
  </si>
  <si>
    <t>Союзный просп.,дом 20,корп 3,кв 34</t>
  </si>
  <si>
    <t>Подольск</t>
  </si>
  <si>
    <t>7123589</t>
  </si>
  <si>
    <t>035</t>
  </si>
  <si>
    <t>Левитин</t>
  </si>
  <si>
    <t>Евгений</t>
  </si>
  <si>
    <t>Валерьянович</t>
  </si>
  <si>
    <t>Снайперская ул.,дом 7,кв 247</t>
  </si>
  <si>
    <t>113093</t>
  </si>
  <si>
    <t>4536620</t>
  </si>
  <si>
    <t>042</t>
  </si>
  <si>
    <t>Богуславская</t>
  </si>
  <si>
    <t>Дарья</t>
  </si>
  <si>
    <t>Вячеславовна</t>
  </si>
  <si>
    <t>Управление</t>
  </si>
  <si>
    <t>Референт</t>
  </si>
  <si>
    <t>Свободы ул.,дом 45,кв 183</t>
  </si>
  <si>
    <t>6543210</t>
  </si>
  <si>
    <t>038</t>
  </si>
  <si>
    <t>Александр</t>
  </si>
  <si>
    <t>Геннадиевич</t>
  </si>
  <si>
    <t>Директор</t>
  </si>
  <si>
    <t>Славянский бульв.,дом 9,корп 2,кв 112</t>
  </si>
  <si>
    <t>141008</t>
  </si>
  <si>
    <t>4116185</t>
  </si>
  <si>
    <t>039</t>
  </si>
  <si>
    <t>Васильев</t>
  </si>
  <si>
    <t>Сергеевич</t>
  </si>
  <si>
    <t>Зам. директора</t>
  </si>
  <si>
    <t>Симферопольский пр.,дом 16,корп 1,кв 5</t>
  </si>
  <si>
    <t>4121721</t>
  </si>
  <si>
    <t>6543202</t>
  </si>
  <si>
    <t>040</t>
  </si>
  <si>
    <t>Федотова</t>
  </si>
  <si>
    <t>Инна</t>
  </si>
  <si>
    <t>Николаевна</t>
  </si>
  <si>
    <t>Финансовый директор</t>
  </si>
  <si>
    <t>Чугуевская 3-я ул.,дом 4,корп 409,кв 841</t>
  </si>
  <si>
    <t>Калининград</t>
  </si>
  <si>
    <t>1543370</t>
  </si>
  <si>
    <t>6543203</t>
  </si>
  <si>
    <t>043</t>
  </si>
  <si>
    <t>Прохорова</t>
  </si>
  <si>
    <t>Татьяна</t>
  </si>
  <si>
    <t>Секретарь</t>
  </si>
  <si>
    <t>неполное высшее</t>
  </si>
  <si>
    <t>Саратовский 1-й пр.,дом 4,кв 191</t>
  </si>
  <si>
    <t>Ивантеевка</t>
  </si>
  <si>
    <t>2891332</t>
  </si>
  <si>
    <t>6543211</t>
  </si>
  <si>
    <t>044</t>
  </si>
  <si>
    <t>Максимов</t>
  </si>
  <si>
    <t>Андрей</t>
  </si>
  <si>
    <t>Леонидович</t>
  </si>
  <si>
    <t>Рекламный отдел</t>
  </si>
  <si>
    <t>Начальник отдела</t>
  </si>
  <si>
    <t>Самаркандский бульв.,дом 30,корп 2,кв 82</t>
  </si>
  <si>
    <t>167610</t>
  </si>
  <si>
    <t>4724302</t>
  </si>
  <si>
    <t>6543212</t>
  </si>
  <si>
    <t>045</t>
  </si>
  <si>
    <t>Черкизова</t>
  </si>
  <si>
    <t>Владиславовна</t>
  </si>
  <si>
    <t>Специалист по маркетингу</t>
  </si>
  <si>
    <t>Салтыковская ул.,дом 19,корп 3</t>
  </si>
  <si>
    <t>Мытищи</t>
  </si>
  <si>
    <t>9783646</t>
  </si>
  <si>
    <t>6543213</t>
  </si>
  <si>
    <t>018</t>
  </si>
  <si>
    <t>Горбачева</t>
  </si>
  <si>
    <t>Клавдия</t>
  </si>
  <si>
    <t>Валериевна</t>
  </si>
  <si>
    <t>Технологический отдел</t>
  </si>
  <si>
    <t>Главный технолог</t>
  </si>
  <si>
    <t>Хохловка Верхн. ул.,дом 43,кв 2</t>
  </si>
  <si>
    <t>9232961</t>
  </si>
  <si>
    <t>6543214</t>
  </si>
  <si>
    <t>028</t>
  </si>
  <si>
    <t>Кипарисова</t>
  </si>
  <si>
    <t>Ирина</t>
  </si>
  <si>
    <t>Машинистка</t>
  </si>
  <si>
    <t>Строгинский бульв.,дом 4,корп 2,кв 318</t>
  </si>
  <si>
    <t>019</t>
  </si>
  <si>
    <t>Макарова</t>
  </si>
  <si>
    <t>Элина</t>
  </si>
  <si>
    <t>Дмитриевна</t>
  </si>
  <si>
    <t>Технолог</t>
  </si>
  <si>
    <t>Херсонская ул.,дом 33,кв 59</t>
  </si>
  <si>
    <t>4703673</t>
  </si>
  <si>
    <t>027</t>
  </si>
  <si>
    <t>Мозговая</t>
  </si>
  <si>
    <t>среднее</t>
  </si>
  <si>
    <t>Сумской пр.,дом 2,корп 6,кв 31</t>
  </si>
  <si>
    <t>2535971</t>
  </si>
  <si>
    <t>023</t>
  </si>
  <si>
    <t>Орлова</t>
  </si>
  <si>
    <t>Марина</t>
  </si>
  <si>
    <t>Геннадиевна</t>
  </si>
  <si>
    <t>Верстальщик</t>
  </si>
  <si>
    <t>Тульская Б. ул.,дом 2,кв 819</t>
  </si>
  <si>
    <t>3308334</t>
  </si>
  <si>
    <t>021</t>
  </si>
  <si>
    <t>Савицкая</t>
  </si>
  <si>
    <t>Александра</t>
  </si>
  <si>
    <t>Ведущий специалист</t>
  </si>
  <si>
    <t>Фонвизина ул.,дом 9,кв 42</t>
  </si>
  <si>
    <t>2565343</t>
  </si>
  <si>
    <t>026</t>
  </si>
  <si>
    <t>Саламатина</t>
  </si>
  <si>
    <t>Федоровна</t>
  </si>
  <si>
    <t>Технический корректор</t>
  </si>
  <si>
    <t>Тарутинская ул.,дом 50,кв 17</t>
  </si>
  <si>
    <t>2881720</t>
  </si>
  <si>
    <t>022</t>
  </si>
  <si>
    <t>Сидоренко</t>
  </si>
  <si>
    <t>Удальцова ул.,дом 35,кв 11</t>
  </si>
  <si>
    <t>2423709</t>
  </si>
  <si>
    <t>025</t>
  </si>
  <si>
    <t>Синицына</t>
  </si>
  <si>
    <t>Вера</t>
  </si>
  <si>
    <t>Технический специалист</t>
  </si>
  <si>
    <t>Теплый Стан ул.,дом 11,корп 1,кв 205</t>
  </si>
  <si>
    <t>3835539</t>
  </si>
  <si>
    <t>030</t>
  </si>
  <si>
    <t xml:space="preserve">Чаповская </t>
  </si>
  <si>
    <t>Старый Гай ул.,дом 4,корп 2,кв 139</t>
  </si>
  <si>
    <t>Одинцово</t>
  </si>
  <si>
    <t>140406</t>
  </si>
  <si>
    <t>2332109</t>
  </si>
  <si>
    <t>020</t>
  </si>
  <si>
    <t>Эль-фалах</t>
  </si>
  <si>
    <t>Наима</t>
  </si>
  <si>
    <t>Фридриха Энгельса ул.,дом 7,кв 46</t>
  </si>
  <si>
    <t>9285349</t>
  </si>
  <si>
    <t>024</t>
  </si>
  <si>
    <t>Юматова</t>
  </si>
  <si>
    <t>Сергеевна</t>
  </si>
  <si>
    <t>Тульская Б. ул.,дом 2,кв 590</t>
  </si>
  <si>
    <t>169900</t>
  </si>
  <si>
    <t>9249910</t>
  </si>
  <si>
    <t>029</t>
  </si>
  <si>
    <t>Патычук</t>
  </si>
  <si>
    <t>Валерий</t>
  </si>
  <si>
    <t>Стремянный пер.,дом 35,кв 44</t>
  </si>
  <si>
    <t>Щелково</t>
  </si>
  <si>
    <t>2368435</t>
  </si>
  <si>
    <t>031</t>
  </si>
  <si>
    <t>Шлайфер</t>
  </si>
  <si>
    <t>Сергей</t>
  </si>
  <si>
    <t>Дмитриевич</t>
  </si>
  <si>
    <t>Художник</t>
  </si>
  <si>
    <t>Сталеваров ул.,дом 18,корп 2,кв 167</t>
  </si>
  <si>
    <t>Красногорск</t>
  </si>
  <si>
    <t>9746108</t>
  </si>
  <si>
    <t>046</t>
  </si>
  <si>
    <t>Курносов</t>
  </si>
  <si>
    <t>Специалист по рекламе</t>
  </si>
  <si>
    <t>Рязанский пр.,дом 68,корп 1,кв 153</t>
  </si>
  <si>
    <t>9639029</t>
  </si>
  <si>
    <t>6543215</t>
  </si>
  <si>
    <t>047</t>
  </si>
  <si>
    <t>Урбановский</t>
  </si>
  <si>
    <t>Константин</t>
  </si>
  <si>
    <t>Владимирович</t>
  </si>
  <si>
    <t>Менеджер</t>
  </si>
  <si>
    <t>Рублевское шоссе,дом 42</t>
  </si>
  <si>
    <t>1486149</t>
  </si>
  <si>
    <t>048</t>
  </si>
  <si>
    <t>Арбузова</t>
  </si>
  <si>
    <t>Маргарита</t>
  </si>
  <si>
    <t>Ивановна</t>
  </si>
  <si>
    <t>Россошанская ул.,дом 13,корп 3,кв 6</t>
  </si>
  <si>
    <t>Химки</t>
  </si>
  <si>
    <t>144000</t>
  </si>
  <si>
    <t>6543216</t>
  </si>
  <si>
    <t>049</t>
  </si>
  <si>
    <t>Конищев</t>
  </si>
  <si>
    <t>Владимир</t>
  </si>
  <si>
    <t>Александрович</t>
  </si>
  <si>
    <t>Отдел продаж</t>
  </si>
  <si>
    <t>Рижский пр.,дом 4,кв 33</t>
  </si>
  <si>
    <t>Зеленоград</t>
  </si>
  <si>
    <t>9170475</t>
  </si>
  <si>
    <t>6543217</t>
  </si>
  <si>
    <t>050</t>
  </si>
  <si>
    <t>Ильинский</t>
  </si>
  <si>
    <t xml:space="preserve">Менеджер </t>
  </si>
  <si>
    <t>Речников ул.,дом 26,корп 2,кв 64</t>
  </si>
  <si>
    <t>150064</t>
  </si>
  <si>
    <t>1493543</t>
  </si>
  <si>
    <t>6543218</t>
  </si>
  <si>
    <t>051</t>
  </si>
  <si>
    <t>Шалашников</t>
  </si>
  <si>
    <t>Петрович</t>
  </si>
  <si>
    <t>Радужная ул.,дом 9,корп 1,кв 31</t>
  </si>
  <si>
    <t>3448979</t>
  </si>
  <si>
    <t>014</t>
  </si>
  <si>
    <t>Володина</t>
  </si>
  <si>
    <t>Валентина</t>
  </si>
  <si>
    <t>Кириловна</t>
  </si>
  <si>
    <t>Отдел худ. оформления</t>
  </si>
  <si>
    <t>Чертановская ул.,дом 48,корп 1,кв 19</t>
  </si>
  <si>
    <t>3441107</t>
  </si>
  <si>
    <t>6543219</t>
  </si>
  <si>
    <t>015</t>
  </si>
  <si>
    <t>Кулинич</t>
  </si>
  <si>
    <t>Черкизовская Б. ул.,дом 20,корп 2,кв 428</t>
  </si>
  <si>
    <t>4020925</t>
  </si>
  <si>
    <t>013</t>
  </si>
  <si>
    <t>Полхова</t>
  </si>
  <si>
    <t>Мария</t>
  </si>
  <si>
    <t>Никитична</t>
  </si>
  <si>
    <t>Чичерина ул.,дом 8,корп 2,кв 998</t>
  </si>
  <si>
    <t>3774573</t>
  </si>
  <si>
    <t>016</t>
  </si>
  <si>
    <t>Царева</t>
  </si>
  <si>
    <t>Игоревна</t>
  </si>
  <si>
    <t>Черкизовская Б. ул.,дом 20,корп 2,кв 429</t>
  </si>
  <si>
    <t>5534523</t>
  </si>
  <si>
    <t>017</t>
  </si>
  <si>
    <t>Шаталова</t>
  </si>
  <si>
    <t>Игнатьевна</t>
  </si>
  <si>
    <t>Зам. начальника отдела</t>
  </si>
  <si>
    <t>Череповецкая ул.,дом 10</t>
  </si>
  <si>
    <t>2068903</t>
  </si>
  <si>
    <t>054</t>
  </si>
  <si>
    <t>Белозерова</t>
  </si>
  <si>
    <t>Ольга</t>
  </si>
  <si>
    <t>Владимировна</t>
  </si>
  <si>
    <t>Перовская ул.,дом 25,кв 102</t>
  </si>
  <si>
    <t>Долгопрудный</t>
  </si>
  <si>
    <t>150066</t>
  </si>
  <si>
    <t>1889263</t>
  </si>
  <si>
    <t>6543220</t>
  </si>
  <si>
    <t>053</t>
  </si>
  <si>
    <t>Самсонова</t>
  </si>
  <si>
    <t>Светлана</t>
  </si>
  <si>
    <t>Андреевна</t>
  </si>
  <si>
    <t>Плещеева ул.,дом 3,кв 126</t>
  </si>
  <si>
    <t>1104872</t>
  </si>
  <si>
    <t>052</t>
  </si>
  <si>
    <t>Кожедуб</t>
  </si>
  <si>
    <t>Станислав</t>
  </si>
  <si>
    <t>Пулковская ул.,дом 3,корп 1,кв 110</t>
  </si>
  <si>
    <t>150065</t>
  </si>
  <si>
    <t>3587423</t>
  </si>
  <si>
    <t>056</t>
  </si>
  <si>
    <t>Георгиева</t>
  </si>
  <si>
    <t>Ульяна</t>
  </si>
  <si>
    <t>Склад</t>
  </si>
  <si>
    <t>Кладовщик</t>
  </si>
  <si>
    <t>Парковая 15-я ул.,дом 46,корп 9,кв 66</t>
  </si>
  <si>
    <t>150067</t>
  </si>
  <si>
    <t>6543223</t>
  </si>
  <si>
    <t>059</t>
  </si>
  <si>
    <t>Веселов</t>
  </si>
  <si>
    <t>Аркадий</t>
  </si>
  <si>
    <t>Тимофеевич</t>
  </si>
  <si>
    <t>Грузчик</t>
  </si>
  <si>
    <t>Севанская ул.,дом 52,корп 2,кв 32</t>
  </si>
  <si>
    <t>3342305</t>
  </si>
  <si>
    <t>060</t>
  </si>
  <si>
    <t>Ильин</t>
  </si>
  <si>
    <t>Алексендрович</t>
  </si>
  <si>
    <t>Открытое шоссе,дом 21,корп 7,кв 77</t>
  </si>
  <si>
    <t>150069</t>
  </si>
  <si>
    <t>1274560</t>
  </si>
  <si>
    <t>055</t>
  </si>
  <si>
    <t>Мамуладзе</t>
  </si>
  <si>
    <t>Начальник склада</t>
  </si>
  <si>
    <t>Парковая 2-я ул.,дом 9,кв 26</t>
  </si>
  <si>
    <t>1971561</t>
  </si>
  <si>
    <t>057</t>
  </si>
  <si>
    <t>Парамонов</t>
  </si>
  <si>
    <t>Виталиевич</t>
  </si>
  <si>
    <t>Палехская ул.,дом 19,корп 1,кв 90</t>
  </si>
  <si>
    <t>1194562</t>
  </si>
  <si>
    <t>058</t>
  </si>
  <si>
    <t>Сильченко</t>
  </si>
  <si>
    <t>Савелий</t>
  </si>
  <si>
    <t>Романович</t>
  </si>
  <si>
    <t>Открытое шоссе,дом 24,корп 41,кв 57</t>
  </si>
  <si>
    <t>150068</t>
  </si>
  <si>
    <t>1416100</t>
  </si>
  <si>
    <t>061</t>
  </si>
  <si>
    <t>Ферапонтов</t>
  </si>
  <si>
    <t>Илья</t>
  </si>
  <si>
    <t>Транспортный отдел</t>
  </si>
  <si>
    <t>Островитянова ул.,дом 25,кв 17</t>
  </si>
  <si>
    <t>2771388</t>
  </si>
  <si>
    <t>6543229</t>
  </si>
  <si>
    <t>062</t>
  </si>
  <si>
    <t>Старшинов</t>
  </si>
  <si>
    <t>Федор</t>
  </si>
  <si>
    <t>Водитель</t>
  </si>
  <si>
    <t>Новочеремушкинская ул.,дом 53,корп 2,кв 30</t>
  </si>
  <si>
    <t>150070</t>
  </si>
  <si>
    <t>3221990</t>
  </si>
  <si>
    <t>6543230</t>
  </si>
  <si>
    <t>012</t>
  </si>
  <si>
    <t>Бычкова</t>
  </si>
  <si>
    <t>Редакторский отдел</t>
  </si>
  <si>
    <t>Переводчик</t>
  </si>
  <si>
    <t>9783387</t>
  </si>
  <si>
    <t>6543231</t>
  </si>
  <si>
    <t>009</t>
  </si>
  <si>
    <t>Каменская</t>
  </si>
  <si>
    <t>Алексендровна</t>
  </si>
  <si>
    <t>Зам. гл. редактора</t>
  </si>
  <si>
    <t>Шипиловский пр.,дом 23,кв 193</t>
  </si>
  <si>
    <t>2028888</t>
  </si>
  <si>
    <t>004</t>
  </si>
  <si>
    <t>Карпухина</t>
  </si>
  <si>
    <t>Лилия</t>
  </si>
  <si>
    <t>Редактор</t>
  </si>
  <si>
    <t>Яблочкова ул.,дом 31,корп 3,кв 207</t>
  </si>
  <si>
    <t>2818705</t>
  </si>
  <si>
    <t>011</t>
  </si>
  <si>
    <t>Корнеева</t>
  </si>
  <si>
    <t>Чусовская ул.,дом 6,корп 1,кв 33</t>
  </si>
  <si>
    <t>9219058</t>
  </si>
  <si>
    <t>002</t>
  </si>
  <si>
    <t xml:space="preserve">Красникова </t>
  </si>
  <si>
    <t>Рита</t>
  </si>
  <si>
    <t>Ярославское шоссе,дом 18,кв 168</t>
  </si>
  <si>
    <t>008</t>
  </si>
  <si>
    <t>Крюкова</t>
  </si>
  <si>
    <t>Наталья</t>
  </si>
  <si>
    <t>Тимофеевна</t>
  </si>
  <si>
    <t>Корректор</t>
  </si>
  <si>
    <t>Шипиловский пр.,дом 71,кв 43</t>
  </si>
  <si>
    <t>4228438</t>
  </si>
  <si>
    <t>007</t>
  </si>
  <si>
    <t>Мосичева</t>
  </si>
  <si>
    <t>Романовна</t>
  </si>
  <si>
    <t>Широкая ул.,дом 25,кв 484</t>
  </si>
  <si>
    <t>Звенигород</t>
  </si>
  <si>
    <t>010</t>
  </si>
  <si>
    <t>Осокина</t>
  </si>
  <si>
    <t>Римма</t>
  </si>
  <si>
    <t>Леонидовна</t>
  </si>
  <si>
    <t>Шереметьевская ул.,дом 32</t>
  </si>
  <si>
    <t>003</t>
  </si>
  <si>
    <t>Потемкина</t>
  </si>
  <si>
    <t>Галина</t>
  </si>
  <si>
    <t>Якушкина пр.,дом 8,кв 81</t>
  </si>
  <si>
    <t>4419214</t>
  </si>
  <si>
    <t>006</t>
  </si>
  <si>
    <t>Старцева</t>
  </si>
  <si>
    <t>Виталиевна</t>
  </si>
  <si>
    <t>Шокальского пр.,дом 61,корп 2,кв 130</t>
  </si>
  <si>
    <t>2095532</t>
  </si>
  <si>
    <t>005</t>
  </si>
  <si>
    <t>Фомина</t>
  </si>
  <si>
    <t>Анна</t>
  </si>
  <si>
    <t>1902943</t>
  </si>
  <si>
    <t>063</t>
  </si>
  <si>
    <t>Канарейкин</t>
  </si>
  <si>
    <t>Степан</t>
  </si>
  <si>
    <t>Новоспасский пер.,дом 14,корп 1,кв 96</t>
  </si>
  <si>
    <t>5551232</t>
  </si>
  <si>
    <t>064</t>
  </si>
  <si>
    <t>Савченков</t>
  </si>
  <si>
    <t>Николаевич</t>
  </si>
  <si>
    <t>Новокосинская ул.,дом 15,корп 5</t>
  </si>
  <si>
    <t>150071</t>
  </si>
  <si>
    <t>3441092</t>
  </si>
  <si>
    <t>001</t>
  </si>
  <si>
    <t>Силкин</t>
  </si>
  <si>
    <t>Алексей</t>
  </si>
  <si>
    <t>Главный редактор</t>
  </si>
  <si>
    <t>Пятнадцатилетие Октября совхоз,дом 15,кв 55</t>
  </si>
  <si>
    <t>3625482</t>
  </si>
  <si>
    <t>065</t>
  </si>
  <si>
    <t>Толоконникова</t>
  </si>
  <si>
    <t>Майя</t>
  </si>
  <si>
    <t>Диспетчер</t>
  </si>
  <si>
    <t>Новозаводская ул.,дом 8</t>
  </si>
  <si>
    <t>2531208</t>
  </si>
  <si>
    <t>6543233</t>
  </si>
  <si>
    <t>Аполлинария</t>
  </si>
  <si>
    <t>Яковлева</t>
  </si>
  <si>
    <t>СДОБ2</t>
  </si>
  <si>
    <t>Анастасия</t>
  </si>
  <si>
    <t>Шкаричева</t>
  </si>
  <si>
    <t>Яна</t>
  </si>
  <si>
    <t>Широкова</t>
  </si>
  <si>
    <t xml:space="preserve">Ступникова </t>
  </si>
  <si>
    <t>Пестова</t>
  </si>
  <si>
    <t>Полина</t>
  </si>
  <si>
    <t>Мингалева</t>
  </si>
  <si>
    <t>Лиза</t>
  </si>
  <si>
    <t>Мерзлякова</t>
  </si>
  <si>
    <t>Валерия</t>
  </si>
  <si>
    <t>Ивонина</t>
  </si>
  <si>
    <t>Дрянкова</t>
  </si>
  <si>
    <t>Данилова</t>
  </si>
  <si>
    <t>Вербова</t>
  </si>
  <si>
    <t>Бушуева</t>
  </si>
  <si>
    <t xml:space="preserve">Борисенко </t>
  </si>
  <si>
    <t>Алёна</t>
  </si>
  <si>
    <t>Боброва</t>
  </si>
  <si>
    <t>Юлия</t>
  </si>
  <si>
    <t>Черепанова</t>
  </si>
  <si>
    <t>СДОБ1</t>
  </si>
  <si>
    <t>Фалалеева</t>
  </si>
  <si>
    <t>Толстогузова</t>
  </si>
  <si>
    <t>Алина</t>
  </si>
  <si>
    <t>Скрябина</t>
  </si>
  <si>
    <t>Пересторонина</t>
  </si>
  <si>
    <t>Пасынкова</t>
  </si>
  <si>
    <t>София</t>
  </si>
  <si>
    <t>Панкова</t>
  </si>
  <si>
    <t>Оглоблина</t>
  </si>
  <si>
    <t>Насафатулина</t>
  </si>
  <si>
    <t>Мясникова</t>
  </si>
  <si>
    <t>Ложкина</t>
  </si>
  <si>
    <t>Кузнецова</t>
  </si>
  <si>
    <t>Наталия</t>
  </si>
  <si>
    <t>Кострова</t>
  </si>
  <si>
    <t>Дора</t>
  </si>
  <si>
    <t>Кокорина</t>
  </si>
  <si>
    <t>Кристина</t>
  </si>
  <si>
    <t>Климова</t>
  </si>
  <si>
    <t>Кайгородова</t>
  </si>
  <si>
    <t xml:space="preserve">Вагина </t>
  </si>
  <si>
    <t>Борнякова</t>
  </si>
  <si>
    <t>Шнайдер</t>
  </si>
  <si>
    <t>ПЛБ</t>
  </si>
  <si>
    <t>Алена</t>
  </si>
  <si>
    <t>Чемоданова</t>
  </si>
  <si>
    <t>Фельцан</t>
  </si>
  <si>
    <t>Токтеева</t>
  </si>
  <si>
    <t>надежда</t>
  </si>
  <si>
    <t xml:space="preserve">тимофеева </t>
  </si>
  <si>
    <t>Виктория</t>
  </si>
  <si>
    <t>Рябова</t>
  </si>
  <si>
    <t>Повышева</t>
  </si>
  <si>
    <t>Охапкина</t>
  </si>
  <si>
    <t>Кулакова</t>
  </si>
  <si>
    <t>Елизавета</t>
  </si>
  <si>
    <t>Кривошеина</t>
  </si>
  <si>
    <t>Кокоулина</t>
  </si>
  <si>
    <t>Екатерина</t>
  </si>
  <si>
    <t>Кайсина</t>
  </si>
  <si>
    <t>Зыкова</t>
  </si>
  <si>
    <t>Дорофеева</t>
  </si>
  <si>
    <t>Доминтян</t>
  </si>
  <si>
    <t>Глушкова</t>
  </si>
  <si>
    <t xml:space="preserve">Ганькова </t>
  </si>
  <si>
    <t>Богданова</t>
  </si>
  <si>
    <t>Олег</t>
  </si>
  <si>
    <t>Ахременко</t>
  </si>
  <si>
    <t>Шуманина</t>
  </si>
  <si>
    <t>АФК</t>
  </si>
  <si>
    <t>Дмитрий</t>
  </si>
  <si>
    <t>Цылёв</t>
  </si>
  <si>
    <t>Романова</t>
  </si>
  <si>
    <t>Данил</t>
  </si>
  <si>
    <t>Раскопин</t>
  </si>
  <si>
    <t>Пушкарёва</t>
  </si>
  <si>
    <t>Натальченко</t>
  </si>
  <si>
    <t>Лавыгина</t>
  </si>
  <si>
    <t>Павел</t>
  </si>
  <si>
    <t>Култышев</t>
  </si>
  <si>
    <t>Кузовлева</t>
  </si>
  <si>
    <t>Коньков</t>
  </si>
  <si>
    <t>Кононова</t>
  </si>
  <si>
    <t xml:space="preserve">Александр </t>
  </si>
  <si>
    <t>Колупаев</t>
  </si>
  <si>
    <t>Злобина</t>
  </si>
  <si>
    <t>Никита</t>
  </si>
  <si>
    <t>Гнусов</t>
  </si>
  <si>
    <t xml:space="preserve">Григорий </t>
  </si>
  <si>
    <t>Бусоргин</t>
  </si>
  <si>
    <t>Михаил</t>
  </si>
  <si>
    <t>Ардашев</t>
  </si>
  <si>
    <t>Вероника</t>
  </si>
  <si>
    <t>Андреева</t>
  </si>
  <si>
    <t>Баллов набрано:</t>
  </si>
  <si>
    <t>Процент правильных ответов (%)</t>
  </si>
  <si>
    <t>Количество правильных ответов</t>
  </si>
  <si>
    <t>Группа</t>
  </si>
  <si>
    <t>Потрачено времени</t>
  </si>
  <si>
    <t>Дата завершения</t>
  </si>
  <si>
    <t>Оценка:</t>
  </si>
  <si>
    <t>незачтено</t>
  </si>
  <si>
    <t>зачтено</t>
  </si>
  <si>
    <t>АФК Количество</t>
  </si>
  <si>
    <t>ПЛБ Количество</t>
  </si>
  <si>
    <t>СДОБ1 Количество</t>
  </si>
  <si>
    <t>СДОБ2 Количество</t>
  </si>
  <si>
    <t>Общее количество</t>
  </si>
  <si>
    <t>&lt;2100</t>
  </si>
  <si>
    <t>&lt;=7500</t>
  </si>
  <si>
    <t>&gt;10000</t>
  </si>
  <si>
    <t>&lt;8000</t>
  </si>
  <si>
    <t>&lt;6000</t>
  </si>
  <si>
    <t>&gt;1000</t>
  </si>
  <si>
    <t>&gt;1</t>
  </si>
  <si>
    <t>&gt;150</t>
  </si>
  <si>
    <t>АФК Среднее</t>
  </si>
  <si>
    <t>ПЛБ Среднее</t>
  </si>
  <si>
    <t>СДОБ1 Среднее</t>
  </si>
  <si>
    <t>СДОБ2 Среднее</t>
  </si>
  <si>
    <t>Общее среднее</t>
  </si>
  <si>
    <t>Бухгалтерия Количество</t>
  </si>
  <si>
    <t>Отдел продаж Количество</t>
  </si>
  <si>
    <t>Отдел худ. оформления Количество</t>
  </si>
  <si>
    <t>Редакторский отдел Количество</t>
  </si>
  <si>
    <t>Рекламный отдел Количество</t>
  </si>
  <si>
    <t>Склад Количество</t>
  </si>
  <si>
    <t>Технологический отдел Количество</t>
  </si>
  <si>
    <t>Транспортный отдел Количество</t>
  </si>
  <si>
    <t>Управление Количество</t>
  </si>
  <si>
    <t>высшее Среднее</t>
  </si>
  <si>
    <t>неполное высшее Среднее</t>
  </si>
  <si>
    <t>среднее Среднее</t>
  </si>
  <si>
    <t>среднее специальное Среднее</t>
  </si>
  <si>
    <t>зачтено Количество</t>
  </si>
  <si>
    <t>незачтено Количество</t>
  </si>
  <si>
    <t>Общий итог</t>
  </si>
  <si>
    <t>Среднее по полю Оклад</t>
  </si>
  <si>
    <t>Количество по полю Фамилия</t>
  </si>
  <si>
    <t>Оценка</t>
  </si>
  <si>
    <t>Долгопрудный Количество</t>
  </si>
  <si>
    <t>Звенигород Количество</t>
  </si>
  <si>
    <t>Зеленоград Количество</t>
  </si>
  <si>
    <t>Ивантеевка Количество</t>
  </si>
  <si>
    <t>Калининград Количество</t>
  </si>
  <si>
    <t>Красногорск Количество</t>
  </si>
  <si>
    <t>Люберцы Количество</t>
  </si>
  <si>
    <t>Москва Количество</t>
  </si>
  <si>
    <t>Мытищи Количество</t>
  </si>
  <si>
    <t>Одинцово Количество</t>
  </si>
  <si>
    <t>Подольск Количество</t>
  </si>
  <si>
    <t>Химки Количество</t>
  </si>
  <si>
    <t>Щелково 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</si>
</sst>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C09]* #,##0.00_-;\-[$$-C09]* #,##0.00_-;_-[$$-C09]* &quot;-&quot;??_-;_-@_-"/>
    <numFmt numFmtId="165" formatCode="_-* #,##0.00[$р.-419]_-;\-* #,##0.00[$р.-419]_-;_-* &quot;-&quot;??[$р.-419]_-;_-@_-"/>
    <numFmt numFmtId="166" formatCode="_-* #,##0.00\ &quot;đ.&quot;_-;\-* #,##0.00\ &quot;đ.&quot;_-;_-* &quot;-&quot;??\ &quot;đ.&quot;_-;_-@_-"/>
    <numFmt numFmtId="167" formatCode="#,##0.00&quot;р.&quot;"/>
    <numFmt numFmtId="168" formatCode="#,##0\ &quot;₽&quot;"/>
  </numFmts>
  <fonts count="7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vertAlign val="superscript"/>
      <sz val="13"/>
      <color theme="1"/>
      <name val="Times New Roman"/>
      <family val="1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166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4" fontId="5" fillId="0" borderId="1" xfId="1" applyNumberFormat="1" applyFont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0" fontId="4" fillId="0" borderId="0" xfId="1"/>
    <xf numFmtId="49" fontId="4" fillId="0" borderId="0" xfId="1" applyNumberFormat="1" applyAlignment="1">
      <alignment horizontal="center"/>
    </xf>
    <xf numFmtId="0" fontId="4" fillId="0" borderId="0" xfId="1" applyAlignment="1">
      <alignment horizontal="center"/>
    </xf>
    <xf numFmtId="167" fontId="0" fillId="0" borderId="0" xfId="2" applyNumberFormat="1" applyFont="1"/>
    <xf numFmtId="14" fontId="4" fillId="0" borderId="0" xfId="1" applyNumberFormat="1" applyAlignment="1">
      <alignment horizontal="center"/>
    </xf>
    <xf numFmtId="49" fontId="4" fillId="0" borderId="0" xfId="1" applyNumberFormat="1" applyAlignment="1">
      <alignment horizontal="right"/>
    </xf>
    <xf numFmtId="49" fontId="4" fillId="0" borderId="0" xfId="1" applyNumberFormat="1" applyBorder="1" applyAlignment="1">
      <alignment horizontal="right"/>
    </xf>
    <xf numFmtId="0" fontId="4" fillId="0" borderId="0" xfId="1" applyAlignment="1">
      <alignment vertical="center"/>
    </xf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" fontId="0" fillId="0" borderId="1" xfId="0" applyNumberFormat="1" applyBorder="1"/>
    <xf numFmtId="168" fontId="0" fillId="0" borderId="1" xfId="0" applyNumberFormat="1" applyBorder="1"/>
  </cellXfs>
  <cellStyles count="3">
    <cellStyle name="Денежный 2" xfId="2" xr:uid="{00000000-0005-0000-0000-000000000000}"/>
    <cellStyle name="Обычный" xfId="0" builtinId="0"/>
    <cellStyle name="Обычный 2" xfId="1" xr:uid="{00000000-0005-0000-0000-000002000000}"/>
  </cellStyles>
  <dxfs count="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#,##0\ &quot;₽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#,##0\ &quot;₽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#,##0\ &quot;₽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#,##0\ &quot;₽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данных_Александров_ПМИ-31.xlsx]9!Сводная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'9'!$B$3:$B$4</c:f>
              <c:strCache>
                <c:ptCount val="1"/>
                <c:pt idx="0">
                  <c:v>Отдел продаж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'9'!$A$5:$A$6</c:f>
              <c:strCache>
                <c:ptCount val="1"/>
                <c:pt idx="0">
                  <c:v>неполное высшее</c:v>
                </c:pt>
              </c:strCache>
            </c:strRef>
          </c:cat>
          <c:val>
            <c:numRef>
              <c:f>'9'!$B$5:$B$6</c:f>
              <c:numCache>
                <c:formatCode>#\ ##0\ "₽"</c:formatCode>
                <c:ptCount val="1"/>
                <c:pt idx="0">
                  <c:v>10177.869255367001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3-432D-BEBE-5442E7A8D79E}"/>
            </c:ext>
          </c:extLst>
        </c:ser>
        <c:ser>
          <c:idx val="1"/>
          <c:order val="1"/>
          <c:tx>
            <c:strRef>
              <c:f>'9'!$C$3:$C$4</c:f>
              <c:strCache>
                <c:ptCount val="1"/>
                <c:pt idx="0">
                  <c:v>Отдел худ. оформления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'9'!$A$5:$A$6</c:f>
              <c:strCache>
                <c:ptCount val="1"/>
                <c:pt idx="0">
                  <c:v>неполное высшее</c:v>
                </c:pt>
              </c:strCache>
            </c:strRef>
          </c:cat>
          <c:val>
            <c:numRef>
              <c:f>'9'!$C$5:$C$6</c:f>
              <c:numCache>
                <c:formatCode>#\ ##0\ "₽"</c:formatCode>
                <c:ptCount val="1"/>
                <c:pt idx="0">
                  <c:v>7846.5416858391727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3-432D-BEBE-5442E7A8D79E}"/>
            </c:ext>
          </c:extLst>
        </c:ser>
        <c:ser>
          <c:idx val="2"/>
          <c:order val="2"/>
          <c:tx>
            <c:strRef>
              <c:f>'9'!$D$3:$D$4</c:f>
              <c:strCache>
                <c:ptCount val="1"/>
                <c:pt idx="0">
                  <c:v>Редакторский отдел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'9'!$A$5:$A$6</c:f>
              <c:strCache>
                <c:ptCount val="1"/>
                <c:pt idx="0">
                  <c:v>неполное высшее</c:v>
                </c:pt>
              </c:strCache>
            </c:strRef>
          </c:cat>
          <c:val>
            <c:numRef>
              <c:f>'9'!$D$5:$D$6</c:f>
              <c:numCache>
                <c:formatCode>#\ ##0\ "₽"</c:formatCode>
                <c:ptCount val="1"/>
                <c:pt idx="0">
                  <c:v>9429.9630714346567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3-432D-BEBE-5442E7A8D79E}"/>
            </c:ext>
          </c:extLst>
        </c:ser>
        <c:ser>
          <c:idx val="3"/>
          <c:order val="3"/>
          <c:tx>
            <c:strRef>
              <c:f>'9'!$E$3:$E$4</c:f>
              <c:strCache>
                <c:ptCount val="1"/>
                <c:pt idx="0">
                  <c:v>Рекламный отдел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'9'!$A$5:$A$6</c:f>
              <c:strCache>
                <c:ptCount val="1"/>
                <c:pt idx="0">
                  <c:v>неполное высшее</c:v>
                </c:pt>
              </c:strCache>
            </c:strRef>
          </c:cat>
          <c:val>
            <c:numRef>
              <c:f>'9'!$E$5:$E$6</c:f>
              <c:numCache>
                <c:formatCode>#\ ##0\ "₽"</c:formatCode>
                <c:ptCount val="1"/>
                <c:pt idx="0">
                  <c:v>11569.88568611323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3-432D-BEBE-5442E7A8D79E}"/>
            </c:ext>
          </c:extLst>
        </c:ser>
        <c:ser>
          <c:idx val="4"/>
          <c:order val="4"/>
          <c:tx>
            <c:strRef>
              <c:f>'9'!$F$3:$F$4</c:f>
              <c:strCache>
                <c:ptCount val="1"/>
                <c:pt idx="0">
                  <c:v>Склад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'9'!$A$5:$A$6</c:f>
              <c:strCache>
                <c:ptCount val="1"/>
                <c:pt idx="0">
                  <c:v>неполное высшее</c:v>
                </c:pt>
              </c:strCache>
            </c:strRef>
          </c:cat>
          <c:val>
            <c:numRef>
              <c:f>'9'!$F$5:$F$6</c:f>
              <c:numCache>
                <c:formatCode>#\ ##0\ "₽"</c:formatCode>
                <c:ptCount val="1"/>
                <c:pt idx="0">
                  <c:v>12292.123143041248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43-432D-BEBE-5442E7A8D79E}"/>
            </c:ext>
          </c:extLst>
        </c:ser>
        <c:ser>
          <c:idx val="5"/>
          <c:order val="5"/>
          <c:tx>
            <c:strRef>
              <c:f>'9'!$G$3:$G$4</c:f>
              <c:strCache>
                <c:ptCount val="1"/>
                <c:pt idx="0">
                  <c:v>Транспортный отдел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'9'!$A$5:$A$6</c:f>
              <c:strCache>
                <c:ptCount val="1"/>
                <c:pt idx="0">
                  <c:v>неполное высшее</c:v>
                </c:pt>
              </c:strCache>
            </c:strRef>
          </c:cat>
          <c:val>
            <c:numRef>
              <c:f>'9'!$G$5:$G$6</c:f>
              <c:numCache>
                <c:formatCode>#\ ##0\ "₽"</c:formatCode>
                <c:ptCount val="1"/>
                <c:pt idx="0">
                  <c:v>10643.3766537518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43-432D-BEBE-5442E7A8D79E}"/>
            </c:ext>
          </c:extLst>
        </c:ser>
        <c:ser>
          <c:idx val="6"/>
          <c:order val="6"/>
          <c:tx>
            <c:strRef>
              <c:f>'9'!$H$3:$H$4</c:f>
              <c:strCache>
                <c:ptCount val="1"/>
                <c:pt idx="0">
                  <c:v>Управление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'9'!$A$5:$A$6</c:f>
              <c:strCache>
                <c:ptCount val="1"/>
                <c:pt idx="0">
                  <c:v>неполное высшее</c:v>
                </c:pt>
              </c:strCache>
            </c:strRef>
          </c:cat>
          <c:val>
            <c:numRef>
              <c:f>'9'!$H$5:$H$6</c:f>
              <c:numCache>
                <c:formatCode>#\ ##0\ "₽"</c:formatCode>
                <c:ptCount val="1"/>
                <c:pt idx="0">
                  <c:v>12169.6033781476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43-432D-BEBE-5442E7A8D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7302912"/>
        <c:axId val="497301272"/>
      </c:barChart>
      <c:catAx>
        <c:axId val="49730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301272"/>
        <c:crosses val="autoZero"/>
        <c:auto val="1"/>
        <c:lblAlgn val="ctr"/>
        <c:lblOffset val="100"/>
        <c:noMultiLvlLbl val="0"/>
      </c:catAx>
      <c:valAx>
        <c:axId val="49730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30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11</xdr:row>
      <xdr:rowOff>185737</xdr:rowOff>
    </xdr:from>
    <xdr:to>
      <xdr:col>10</xdr:col>
      <xdr:colOff>257176</xdr:colOff>
      <xdr:row>34</xdr:row>
      <xdr:rowOff>114301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8F7E14-8B39-4052-966A-B121CDA2A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иана" refreshedDate="45576.404573958331" createdVersion="6" refreshedVersion="6" minRefreshableVersion="3" recordCount="64" xr:uid="{775F3B8D-DFBA-46AC-9A7D-8BAA6DF9236B}">
  <cacheSource type="worksheet">
    <worksheetSource ref="A1:Q65" sheet="1"/>
  </cacheSource>
  <cacheFields count="17">
    <cacheField name="Код" numFmtId="49">
      <sharedItems/>
    </cacheField>
    <cacheField name="Фамилия" numFmtId="0">
      <sharedItems/>
    </cacheField>
    <cacheField name="Имя" numFmtId="0">
      <sharedItems/>
    </cacheField>
    <cacheField name="Отчество" numFmtId="0">
      <sharedItems/>
    </cacheField>
    <cacheField name="Пол" numFmtId="0">
      <sharedItems count="2">
        <s v="жен"/>
        <s v="муж"/>
      </sharedItems>
    </cacheField>
    <cacheField name="Отдел" numFmtId="0">
      <sharedItems count="9">
        <s v="Бухгалтерия"/>
        <s v="Управление"/>
        <s v="Рекламный отдел"/>
        <s v="Технологический отдел"/>
        <s v="Отдел продаж"/>
        <s v="Отдел худ. оформления"/>
        <s v="Склад"/>
        <s v="Транспортный отдел"/>
        <s v="Редакторский отдел"/>
      </sharedItems>
    </cacheField>
    <cacheField name="Должность" numFmtId="0">
      <sharedItems/>
    </cacheField>
    <cacheField name="Оклад" numFmtId="167">
      <sharedItems containsSemiMixedTypes="0" containsString="0" containsNumber="1" minValue="5053.6033918022285" maxValue="15190.4570729188"/>
    </cacheField>
    <cacheField name="Образование" numFmtId="0">
      <sharedItems count="4">
        <s v="среднее специальное"/>
        <s v="высшее"/>
        <s v="неполное высшее"/>
        <s v="среднее"/>
      </sharedItems>
    </cacheField>
    <cacheField name="Дата найма" numFmtId="14">
      <sharedItems containsSemiMixedTypes="0" containsNonDate="0" containsDate="1" containsString="0" minDate="1985-03-02T00:00:00" maxDate="1997-03-16T00:00:00"/>
    </cacheField>
    <cacheField name="Дата рождения" numFmtId="14">
      <sharedItems containsSemiMixedTypes="0" containsNonDate="0" containsDate="1" containsString="0" minDate="1955-01-11T00:00:00" maxDate="1975-06-07T00:00:00"/>
    </cacheField>
    <cacheField name="Адрес" numFmtId="0">
      <sharedItems/>
    </cacheField>
    <cacheField name="Город" numFmtId="0">
      <sharedItems/>
    </cacheField>
    <cacheField name="Индекс" numFmtId="49">
      <sharedItems containsMixedTypes="1" containsNumber="1" containsInteger="1" minValue="100012" maxValue="193008"/>
    </cacheField>
    <cacheField name="Домашний телефон" numFmtId="49">
      <sharedItems/>
    </cacheField>
    <cacheField name="Рабочий телефон" numFmtId="49">
      <sharedItems/>
    </cacheField>
    <cacheField name="Кабинет" numFmtId="0">
      <sharedItems containsSemiMixedTypes="0" containsString="0" containsNumber="1" containsInteger="1" minValue="1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иана" refreshedDate="45576.415103472224" createdVersion="6" refreshedVersion="6" minRefreshableVersion="3" recordCount="71" xr:uid="{0D6012C2-8BD4-43BE-A922-93D397FD49FD}">
  <cacheSource type="worksheet">
    <worksheetSource ref="A1:J72" sheet="заготовка 11"/>
  </cacheSource>
  <cacheFields count="10">
    <cacheField name="Дата завершения" numFmtId="22">
      <sharedItems containsSemiMixedTypes="0" containsNonDate="0" containsDate="1" containsString="0" minDate="2018-10-17T12:52:00" maxDate="2018-10-26T07:15:00"/>
    </cacheField>
    <cacheField name="Потрачено времени" numFmtId="21">
      <sharedItems containsSemiMixedTypes="0" containsNonDate="0" containsDate="1" containsString="0" minDate="1899-12-30T00:06:39" maxDate="1899-12-30T00:15:00"/>
    </cacheField>
    <cacheField name="Группа" numFmtId="0">
      <sharedItems count="4">
        <s v="АФК"/>
        <s v="ПЛБ"/>
        <s v="СДОБ1"/>
        <s v="СДОБ2"/>
      </sharedItems>
    </cacheField>
    <cacheField name="Фамилия" numFmtId="0">
      <sharedItems/>
    </cacheField>
    <cacheField name="Имя" numFmtId="0">
      <sharedItems/>
    </cacheField>
    <cacheField name="Пол" numFmtId="0">
      <sharedItems/>
    </cacheField>
    <cacheField name="Количество правильных ответов" numFmtId="0">
      <sharedItems containsSemiMixedTypes="0" containsString="0" containsNumber="1" containsInteger="1" minValue="10" maxValue="27"/>
    </cacheField>
    <cacheField name="Процент правильных ответов (%)" numFmtId="0">
      <sharedItems containsSemiMixedTypes="0" containsString="0" containsNumber="1" minValue="33.33" maxValue="90"/>
    </cacheField>
    <cacheField name="Баллов набрано:" numFmtId="0">
      <sharedItems containsSemiMixedTypes="0" containsString="0" containsNumber="1" containsInteger="1" minValue="0" maxValue="3"/>
    </cacheField>
    <cacheField name="Оценка:" numFmtId="0">
      <sharedItems count="2">
        <s v="незачтено"/>
        <s v="зачтено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034"/>
    <s v="Айдарпашич"/>
    <s v="Амина"/>
    <s v="Александровна"/>
    <x v="0"/>
    <x v="0"/>
    <s v="Бухгалтер"/>
    <n v="5418.9394766711184"/>
    <x v="0"/>
    <d v="1996-08-15T00:00:00"/>
    <d v="1962-09-04T00:00:00"/>
    <s v="Снайперская ул.,дом 13,корп 1,кв 12"/>
    <s v="Москва"/>
    <n v="105000"/>
    <s v="9161848"/>
    <s v="6543201"/>
    <n v="1"/>
  </r>
  <r>
    <s v="032"/>
    <s v="Вербицкая"/>
    <s v="Елена"/>
    <s v="Вадимовна"/>
    <x v="0"/>
    <x v="0"/>
    <s v="Главный бухгалтер"/>
    <n v="12707.398332184133"/>
    <x v="1"/>
    <d v="1994-02-15T00:00:00"/>
    <d v="1968-12-14T00:00:00"/>
    <s v="Спортивный пр.,дом 8,кв 61"/>
    <s v="Москва"/>
    <n v="150020"/>
    <s v="2447004"/>
    <s v="6543201"/>
    <n v="1"/>
  </r>
  <r>
    <s v="036"/>
    <s v="Иванова"/>
    <s v="Людмила"/>
    <s v="Петровна"/>
    <x v="0"/>
    <x v="0"/>
    <s v="Кассир"/>
    <n v="7041.4857976093836"/>
    <x v="1"/>
    <d v="1996-08-15T00:00:00"/>
    <d v="1960-03-04T00:00:00"/>
    <s v="Славянский бульв.,дом 51"/>
    <s v="Люберцы"/>
    <s v="119501"/>
    <s v=""/>
    <s v="6543201"/>
    <n v="1"/>
  </r>
  <r>
    <s v="037"/>
    <s v="Лобурец"/>
    <s v="Диана"/>
    <s v="Борисовна"/>
    <x v="0"/>
    <x v="0"/>
    <s v="Экономист"/>
    <n v="9017.0352559581006"/>
    <x v="0"/>
    <d v="1996-09-13T00:00:00"/>
    <d v="1960-05-23T00:00:00"/>
    <s v="Славянский бульв.,дом 27"/>
    <s v="Люберцы"/>
    <s v="141014"/>
    <s v="1536899"/>
    <s v="6543201"/>
    <n v="1"/>
  </r>
  <r>
    <s v="033"/>
    <s v="Алеев"/>
    <s v="Леонид"/>
    <s v="Иванович"/>
    <x v="1"/>
    <x v="0"/>
    <s v="Зам. гл. бухгалтера"/>
    <n v="9510.0582876089993"/>
    <x v="0"/>
    <d v="1996-09-13T00:00:00"/>
    <d v="1965-05-29T00:00:00"/>
    <s v="Союзный просп.,дом 20,корп 3,кв 34"/>
    <s v="Подольск"/>
    <n v="100034"/>
    <s v="7123589"/>
    <s v="6543201"/>
    <n v="1"/>
  </r>
  <r>
    <s v="035"/>
    <s v="Левитин"/>
    <s v="Евгений"/>
    <s v="Валерьянович"/>
    <x v="1"/>
    <x v="0"/>
    <s v="Бухгалтер"/>
    <n v="7191.8240266017674"/>
    <x v="0"/>
    <d v="1996-09-13T00:00:00"/>
    <d v="1955-01-15T00:00:00"/>
    <s v="Снайперская ул.,дом 7,кв 247"/>
    <s v="Москва"/>
    <s v="113093"/>
    <s v="4536620"/>
    <s v="6543201"/>
    <n v="1"/>
  </r>
  <r>
    <s v="042"/>
    <s v="Богуславская"/>
    <s v="Дарья"/>
    <s v="Вячеславовна"/>
    <x v="0"/>
    <x v="1"/>
    <s v="Референт"/>
    <n v="6209.8910488522833"/>
    <x v="0"/>
    <d v="1996-05-23T00:00:00"/>
    <d v="1962-10-30T00:00:00"/>
    <s v="Свободы ул.,дом 45,кв 183"/>
    <s v="Москва"/>
    <n v="110002"/>
    <s v=""/>
    <s v="6543210"/>
    <n v="2"/>
  </r>
  <r>
    <s v="038"/>
    <s v="Иванов"/>
    <s v="Александр"/>
    <s v="Геннадиевич"/>
    <x v="1"/>
    <x v="1"/>
    <s v="Директор"/>
    <n v="14613.372183667399"/>
    <x v="1"/>
    <d v="1996-08-15T00:00:00"/>
    <d v="1958-01-09T00:00:00"/>
    <s v="Славянский бульв.,дом 9,корп 2,кв 112"/>
    <s v="Люберцы"/>
    <s v="141008"/>
    <s v="4116185"/>
    <s v="6543210"/>
    <n v="2"/>
  </r>
  <r>
    <s v="039"/>
    <s v="Васильев"/>
    <s v="Леонид"/>
    <s v="Сергеевич"/>
    <x v="1"/>
    <x v="1"/>
    <s v="Зам. директора"/>
    <n v="13587.3733966329"/>
    <x v="1"/>
    <d v="1997-01-21T00:00:00"/>
    <d v="1966-01-27T00:00:00"/>
    <s v="Симферопольский пр.,дом 16,корп 1,кв 5"/>
    <s v="Москва"/>
    <n v="154041"/>
    <s v="4121721"/>
    <s v="6543202"/>
    <n v="3"/>
  </r>
  <r>
    <s v="040"/>
    <s v="Федотова"/>
    <s v="Инна"/>
    <s v="Николаевна"/>
    <x v="0"/>
    <x v="1"/>
    <s v="Финансовый директор"/>
    <n v="15190.4570729188"/>
    <x v="1"/>
    <d v="1994-04-12T00:00:00"/>
    <d v="1973-06-06T00:00:00"/>
    <s v="Чугуевская 3-я ул.,дом 4,корп 409,кв 841"/>
    <s v="Калининград"/>
    <n v="114099"/>
    <s v="1543370"/>
    <s v="6543203"/>
    <n v="4"/>
  </r>
  <r>
    <s v="043"/>
    <s v="Прохорова"/>
    <s v="Татьяна"/>
    <s v="Петровна"/>
    <x v="0"/>
    <x v="1"/>
    <s v="Секретарь"/>
    <n v="12169.6033781476"/>
    <x v="2"/>
    <d v="1996-08-13T00:00:00"/>
    <d v="1960-11-30T00:00:00"/>
    <s v="Саратовский 1-й пр.,дом 4,кв 191"/>
    <s v="Ивантеевка"/>
    <n v="155006"/>
    <s v="2891332"/>
    <s v="6543211"/>
    <n v="5"/>
  </r>
  <r>
    <s v="044"/>
    <s v="Максимов"/>
    <s v="Андрей"/>
    <s v="Леонидович"/>
    <x v="1"/>
    <x v="2"/>
    <s v="Начальник отдела"/>
    <n v="11744.058764424301"/>
    <x v="2"/>
    <d v="1996-02-27T00:00:00"/>
    <d v="1965-12-09T00:00:00"/>
    <s v="Самаркандский бульв.,дом 30,корп 2,кв 82"/>
    <s v="Москва"/>
    <s v="167610"/>
    <s v="4724302"/>
    <s v="6543212"/>
    <n v="12"/>
  </r>
  <r>
    <s v="045"/>
    <s v="Черкизова"/>
    <s v="Татьяна"/>
    <s v="Владиславовна"/>
    <x v="0"/>
    <x v="2"/>
    <s v="Специалист по маркетингу"/>
    <n v="10687.814774165099"/>
    <x v="1"/>
    <d v="1995-03-30T00:00:00"/>
    <d v="1968-12-14T00:00:00"/>
    <s v="Салтыковская ул.,дом 19,корп 3"/>
    <s v="Мытищи"/>
    <n v="145037"/>
    <s v="9783646"/>
    <s v="6543213"/>
    <n v="13"/>
  </r>
  <r>
    <s v="018"/>
    <s v="Горбачева"/>
    <s v="Клавдия"/>
    <s v="Валериевна"/>
    <x v="0"/>
    <x v="3"/>
    <s v="Главный технолог"/>
    <n v="10721.362397126901"/>
    <x v="1"/>
    <d v="1996-09-13T00:00:00"/>
    <d v="1966-07-12T00:00:00"/>
    <s v="Хохловка Верхн. ул.,дом 43,кв 2"/>
    <s v="Москва"/>
    <n v="108110"/>
    <s v="9232961"/>
    <s v="6543214"/>
    <n v="14"/>
  </r>
  <r>
    <s v="028"/>
    <s v="Кипарисова"/>
    <s v="Ирина"/>
    <s v="Петровна"/>
    <x v="0"/>
    <x v="3"/>
    <s v="Машинистка"/>
    <n v="6801.3577514660437"/>
    <x v="0"/>
    <d v="1996-02-01T00:00:00"/>
    <d v="1972-09-11T00:00:00"/>
    <s v="Строгинский бульв.,дом 4,корп 2,кв 318"/>
    <s v="Москва"/>
    <n v="110000"/>
    <s v=""/>
    <s v="6543214"/>
    <n v="14"/>
  </r>
  <r>
    <s v="019"/>
    <s v="Макарова"/>
    <s v="Элина"/>
    <s v="Дмитриевна"/>
    <x v="0"/>
    <x v="3"/>
    <s v="Технолог"/>
    <n v="12416.518764765749"/>
    <x v="0"/>
    <d v="1996-08-15T00:00:00"/>
    <d v="1970-08-30T00:00:00"/>
    <s v="Херсонская ул.,дом 33,кв 59"/>
    <s v="Москва"/>
    <n v="115116"/>
    <s v="4703673"/>
    <s v="6543214"/>
    <n v="14"/>
  </r>
  <r>
    <s v="027"/>
    <s v="Мозговая"/>
    <s v="Елена"/>
    <s v="Вячеславовна"/>
    <x v="0"/>
    <x v="3"/>
    <s v="Машинистка"/>
    <n v="6990.5973601102469"/>
    <x v="3"/>
    <d v="1997-01-15T00:00:00"/>
    <d v="1973-06-06T00:00:00"/>
    <s v="Сумской пр.,дом 2,корп 6,кв 31"/>
    <s v="Подольск"/>
    <n v="123400"/>
    <s v="2535971"/>
    <s v="6543214"/>
    <n v="14"/>
  </r>
  <r>
    <s v="023"/>
    <s v="Орлова"/>
    <s v="Марина"/>
    <s v="Геннадиевна"/>
    <x v="0"/>
    <x v="3"/>
    <s v="Верстальщик"/>
    <n v="9729.7852775936954"/>
    <x v="0"/>
    <d v="1996-05-23T00:00:00"/>
    <d v="1960-03-14T00:00:00"/>
    <s v="Тульская Б. ул.,дом 2,кв 819"/>
    <s v="Москва"/>
    <n v="100012"/>
    <s v="3308334"/>
    <s v="6543214"/>
    <n v="14"/>
  </r>
  <r>
    <s v="021"/>
    <s v="Савицкая"/>
    <s v="Александра"/>
    <s v="Александровна"/>
    <x v="0"/>
    <x v="3"/>
    <s v="Ведущий специалист"/>
    <n v="11788.046787464711"/>
    <x v="1"/>
    <d v="1994-04-12T00:00:00"/>
    <d v="1957-10-22T00:00:00"/>
    <s v="Фонвизина ул.,дом 9,кв 42"/>
    <s v="Москва"/>
    <n v="112192"/>
    <s v="2565343"/>
    <s v="6543214"/>
    <n v="14"/>
  </r>
  <r>
    <s v="026"/>
    <s v="Саламатина"/>
    <s v="Татьяна"/>
    <s v="Федоровна"/>
    <x v="0"/>
    <x v="3"/>
    <s v="Технический корректор"/>
    <n v="8592.4044860840258"/>
    <x v="0"/>
    <d v="1997-01-12T00:00:00"/>
    <d v="1966-01-27T00:00:00"/>
    <s v="Тарутинская ул.,дом 50,кв 17"/>
    <s v="Москва"/>
    <n v="120219"/>
    <s v="2881720"/>
    <s v="6543214"/>
    <n v="14"/>
  </r>
  <r>
    <s v="022"/>
    <s v="Сидоренко"/>
    <s v="Людмила"/>
    <s v="Борисовна"/>
    <x v="0"/>
    <x v="3"/>
    <s v="Технический корректор"/>
    <n v="6318.3004549578254"/>
    <x v="0"/>
    <d v="1996-02-01T00:00:00"/>
    <d v="1955-12-10T00:00:00"/>
    <s v="Удальцова ул.,дом 35,кв 11"/>
    <s v="Москва"/>
    <n v="107114"/>
    <s v="2423709"/>
    <s v="6543214"/>
    <n v="14"/>
  </r>
  <r>
    <s v="025"/>
    <s v="Синицына"/>
    <s v="Вера"/>
    <s v="Николаевна"/>
    <x v="0"/>
    <x v="3"/>
    <s v="Технический специалист"/>
    <n v="9118.718256106542"/>
    <x v="0"/>
    <d v="1996-09-24T00:00:00"/>
    <d v="1958-01-09T00:00:00"/>
    <s v="Теплый Стан ул.,дом 11,корп 1,кв 205"/>
    <s v="Москва"/>
    <n v="157800"/>
    <s v="3835539"/>
    <s v="6543214"/>
    <n v="14"/>
  </r>
  <r>
    <s v="030"/>
    <s v="Чаповская "/>
    <s v="Марина"/>
    <s v="Владиславовна"/>
    <x v="0"/>
    <x v="3"/>
    <s v="Верстальщик"/>
    <n v="12649.177735950938"/>
    <x v="1"/>
    <d v="1996-08-13T00:00:00"/>
    <d v="1960-12-30T00:00:00"/>
    <s v="Старый Гай ул.,дом 4,корп 2,кв 139"/>
    <s v="Одинцово"/>
    <s v="140406"/>
    <s v="2332109"/>
    <s v="6543214"/>
    <n v="14"/>
  </r>
  <r>
    <s v="020"/>
    <s v="Эль-фалах"/>
    <s v="Наима"/>
    <s v="Николаевна"/>
    <x v="0"/>
    <x v="3"/>
    <s v="Технолог"/>
    <n v="9575.1729492277009"/>
    <x v="3"/>
    <d v="1997-01-21T00:00:00"/>
    <d v="1975-06-06T00:00:00"/>
    <s v="Фридриха Энгельса ул.,дом 7,кв 46"/>
    <s v="Москва"/>
    <n v="113654"/>
    <s v="9285349"/>
    <s v="6543214"/>
    <n v="14"/>
  </r>
  <r>
    <s v="024"/>
    <s v="Юматова"/>
    <s v="Татьяна"/>
    <s v="Сергеевна"/>
    <x v="0"/>
    <x v="3"/>
    <s v="Верстальщик"/>
    <n v="9186.8043650826003"/>
    <x v="3"/>
    <d v="1996-08-13T00:00:00"/>
    <d v="1960-05-29T00:00:00"/>
    <s v="Тульская Б. ул.,дом 2,кв 590"/>
    <s v="Москва"/>
    <s v="169900"/>
    <s v="9249910"/>
    <s v="6543214"/>
    <n v="14"/>
  </r>
  <r>
    <s v="029"/>
    <s v="Патычук"/>
    <s v="Валерий"/>
    <s v="Леонидович"/>
    <x v="1"/>
    <x v="3"/>
    <s v="Начальник отдела"/>
    <n v="13552.180889683978"/>
    <x v="1"/>
    <d v="1996-05-23T00:00:00"/>
    <d v="1962-10-08T00:00:00"/>
    <s v="Стремянный пер.,дом 35,кв 44"/>
    <s v="Щелково"/>
    <n v="113020"/>
    <s v="2368435"/>
    <s v="6543214"/>
    <n v="14"/>
  </r>
  <r>
    <s v="031"/>
    <s v="Шлайфер"/>
    <s v="Сергей"/>
    <s v="Дмитриевич"/>
    <x v="1"/>
    <x v="3"/>
    <s v="Художник"/>
    <n v="11129.8708790295"/>
    <x v="1"/>
    <d v="1996-09-24T00:00:00"/>
    <d v="1965-12-09T00:00:00"/>
    <s v="Сталеваров ул.,дом 18,корп 2,кв 167"/>
    <s v="Красногорск"/>
    <n v="143430"/>
    <s v="9746108"/>
    <s v="6543214"/>
    <n v="14"/>
  </r>
  <r>
    <s v="046"/>
    <s v="Курносов"/>
    <s v="Александр"/>
    <s v="Дмитриевич"/>
    <x v="1"/>
    <x v="2"/>
    <s v="Специалист по рекламе"/>
    <n v="6741.1748858595456"/>
    <x v="0"/>
    <d v="1995-09-13T00:00:00"/>
    <d v="1965-05-29T00:00:00"/>
    <s v="Рязанский пр.,дом 68,корп 1,кв 153"/>
    <s v="Москва"/>
    <n v="125026"/>
    <s v="9639029"/>
    <s v="6543215"/>
    <n v="15"/>
  </r>
  <r>
    <s v="047"/>
    <s v="Урбановский"/>
    <s v="Константин"/>
    <s v="Владимирович"/>
    <x v="1"/>
    <x v="2"/>
    <s v="Менеджер"/>
    <n v="12924.048181149799"/>
    <x v="1"/>
    <d v="1995-11-29T00:00:00"/>
    <d v="1962-09-04T00:00:00"/>
    <s v="Рублевское шоссе,дом 42"/>
    <s v="Москва"/>
    <n v="117740"/>
    <s v="1486149"/>
    <s v="6543215"/>
    <n v="15"/>
  </r>
  <r>
    <s v="048"/>
    <s v="Арбузова"/>
    <s v="Маргарита"/>
    <s v="Ивановна"/>
    <x v="0"/>
    <x v="2"/>
    <s v="Референт"/>
    <n v="11395.712607802161"/>
    <x v="2"/>
    <d v="1997-01-30T00:00:00"/>
    <d v="1955-01-15T00:00:00"/>
    <s v="Россошанская ул.,дом 13,корп 3,кв 6"/>
    <s v="Химки"/>
    <s v="144000"/>
    <s v=""/>
    <s v="6543216"/>
    <n v="16"/>
  </r>
  <r>
    <s v="049"/>
    <s v="Конищев"/>
    <s v="Владимир"/>
    <s v="Александрович"/>
    <x v="1"/>
    <x v="4"/>
    <s v="Начальник отдела"/>
    <n v="10238.0106795096"/>
    <x v="2"/>
    <d v="1997-01-12T00:00:00"/>
    <d v="1966-07-12T00:00:00"/>
    <s v="Рижский пр.,дом 4,кв 33"/>
    <s v="Зеленоград"/>
    <n v="193000"/>
    <s v="9170475"/>
    <s v="6543217"/>
    <n v="17"/>
  </r>
  <r>
    <s v="050"/>
    <s v="Ильинский"/>
    <s v="Владимир"/>
    <s v="Валерьянович"/>
    <x v="1"/>
    <x v="4"/>
    <s v="Менеджер "/>
    <n v="10389.8779733723"/>
    <x v="0"/>
    <d v="1996-02-01T00:00:00"/>
    <d v="1970-08-30T00:00:00"/>
    <s v="Речников ул.,дом 26,корп 2,кв 64"/>
    <s v="Калининград"/>
    <s v="150064"/>
    <s v="1493543"/>
    <s v="6543218"/>
    <n v="18"/>
  </r>
  <r>
    <s v="051"/>
    <s v="Шалашников"/>
    <s v="Евгений"/>
    <s v="Петрович"/>
    <x v="1"/>
    <x v="4"/>
    <s v="Менеджер"/>
    <n v="11142.1670754684"/>
    <x v="1"/>
    <d v="1996-05-23T00:00:00"/>
    <d v="1962-09-24T00:00:00"/>
    <s v="Радужная ул.,дом 9,корп 1,кв 31"/>
    <s v="Люберцы"/>
    <n v="193001"/>
    <s v="3448979"/>
    <s v="6543218"/>
    <n v="18"/>
  </r>
  <r>
    <s v="014"/>
    <s v="Володина"/>
    <s v="Валентина"/>
    <s v="Кириловна"/>
    <x v="0"/>
    <x v="5"/>
    <s v="Художник"/>
    <n v="11477.095535836535"/>
    <x v="1"/>
    <d v="1996-05-23T00:00:00"/>
    <d v="1968-12-14T00:00:00"/>
    <s v="Чертановская ул.,дом 48,корп 1,кв 19"/>
    <s v="Москва"/>
    <n v="112378"/>
    <s v="3441107"/>
    <s v="6543219"/>
    <n v="19"/>
  </r>
  <r>
    <s v="015"/>
    <s v="Кулинич"/>
    <s v="Людмила"/>
    <s v="Николаевна"/>
    <x v="0"/>
    <x v="5"/>
    <s v="Художник"/>
    <n v="5742.2490484559476"/>
    <x v="1"/>
    <d v="1996-08-13T00:00:00"/>
    <d v="1965-05-29T00:00:00"/>
    <s v="Черкизовская Б. ул.,дом 20,корп 2,кв 428"/>
    <s v="Москва"/>
    <n v="112432"/>
    <s v="4020925"/>
    <s v="6543219"/>
    <n v="19"/>
  </r>
  <r>
    <s v="013"/>
    <s v="Полхова"/>
    <s v="Мария"/>
    <s v="Никитична"/>
    <x v="0"/>
    <x v="5"/>
    <s v="Начальник отдела"/>
    <n v="8081.7875863473264"/>
    <x v="2"/>
    <d v="1996-02-01T00:00:00"/>
    <d v="1965-12-09T00:00:00"/>
    <s v="Чичерина ул.,дом 8,корп 2,кв 998"/>
    <s v="Москва"/>
    <n v="132098"/>
    <s v="3774573"/>
    <s v="6543219"/>
    <n v="19"/>
  </r>
  <r>
    <s v="016"/>
    <s v="Царева"/>
    <s v="Марина"/>
    <s v="Игоревна"/>
    <x v="0"/>
    <x v="5"/>
    <s v="Референт"/>
    <n v="7611.2957853310199"/>
    <x v="2"/>
    <d v="1996-09-24T00:00:00"/>
    <d v="1962-09-04T00:00:00"/>
    <s v="Черкизовская Б. ул.,дом 20,корп 2,кв 429"/>
    <s v="Москва"/>
    <n v="101765"/>
    <s v="5534523"/>
    <s v="6543219"/>
    <n v="19"/>
  </r>
  <r>
    <s v="017"/>
    <s v="Шаталова"/>
    <s v="Ирина"/>
    <s v="Игнатьевна"/>
    <x v="0"/>
    <x v="5"/>
    <s v="Зам. начальника отдела"/>
    <n v="14336.118175428066"/>
    <x v="1"/>
    <d v="1994-02-15T00:00:00"/>
    <d v="1965-01-15T00:00:00"/>
    <s v="Череповецкая ул.,дом 10"/>
    <s v="Москва"/>
    <n v="122307"/>
    <s v="2068903"/>
    <s v="6543219"/>
    <n v="19"/>
  </r>
  <r>
    <s v="054"/>
    <s v="Белозерова"/>
    <s v="Ольга"/>
    <s v="Владимировна"/>
    <x v="0"/>
    <x v="4"/>
    <s v="Референт"/>
    <n v="9406.7912250329755"/>
    <x v="0"/>
    <d v="1996-02-27T00:00:00"/>
    <d v="1960-05-29T00:00:00"/>
    <s v="Перовская ул.,дом 25,кв 102"/>
    <s v="Долгопрудный"/>
    <s v="150066"/>
    <s v="1889263"/>
    <s v="6543220"/>
    <n v="20"/>
  </r>
  <r>
    <s v="053"/>
    <s v="Самсонова"/>
    <s v="Светлана"/>
    <s v="Андреевна"/>
    <x v="0"/>
    <x v="4"/>
    <s v="Менеджер"/>
    <n v="10117.7278312244"/>
    <x v="2"/>
    <d v="1996-07-12T00:00:00"/>
    <d v="1960-03-04T00:00:00"/>
    <s v="Плещеева ул.,дом 3,кв 126"/>
    <s v="Москва"/>
    <n v="193002"/>
    <s v="1104872"/>
    <s v="6543220"/>
    <n v="20"/>
  </r>
  <r>
    <s v="052"/>
    <s v="Кожедуб"/>
    <s v="Станислав"/>
    <s v="Сергеевич"/>
    <x v="1"/>
    <x v="4"/>
    <s v="Зам. начальника отдела"/>
    <n v="12247.747148017401"/>
    <x v="1"/>
    <d v="1996-08-13T00:00:00"/>
    <d v="1955-01-11T00:00:00"/>
    <s v="Пулковская ул.,дом 3,корп 1,кв 110"/>
    <s v="Москва"/>
    <s v="150065"/>
    <s v="3587423"/>
    <s v="6543220"/>
    <n v="20"/>
  </r>
  <r>
    <s v="056"/>
    <s v="Георгиева"/>
    <s v="Ульяна"/>
    <s v="Сергеевна"/>
    <x v="0"/>
    <x v="6"/>
    <s v="Кладовщик"/>
    <n v="8668.5274506055521"/>
    <x v="3"/>
    <d v="1995-09-13T00:00:00"/>
    <d v="1966-01-27T00:00:00"/>
    <s v="Парковая 15-я ул.,дом 46,корп 9,кв 66"/>
    <s v="Москва"/>
    <s v="150067"/>
    <s v=""/>
    <s v="6543223"/>
    <n v="23"/>
  </r>
  <r>
    <s v="059"/>
    <s v="Веселов"/>
    <s v="Аркадий"/>
    <s v="Тимофеевич"/>
    <x v="1"/>
    <x v="6"/>
    <s v="Грузчик"/>
    <n v="11472.290380362065"/>
    <x v="3"/>
    <d v="1997-01-12T00:00:00"/>
    <d v="1962-10-08T00:00:00"/>
    <s v="Севанская ул.,дом 52,корп 2,кв 32"/>
    <s v="Москва"/>
    <n v="193005"/>
    <s v="3342305"/>
    <s v="6543223"/>
    <n v="23"/>
  </r>
  <r>
    <s v="060"/>
    <s v="Ильин"/>
    <s v="Станислав"/>
    <s v="Алексендрович"/>
    <x v="1"/>
    <x v="6"/>
    <s v="Грузчик"/>
    <n v="6545.2883217567833"/>
    <x v="3"/>
    <d v="1997-01-15T00:00:00"/>
    <d v="1960-11-30T00:00:00"/>
    <s v="Открытое шоссе,дом 21,корп 7,кв 77"/>
    <s v="Москва"/>
    <s v="150069"/>
    <s v="1274560"/>
    <s v="6543223"/>
    <n v="23"/>
  </r>
  <r>
    <s v="055"/>
    <s v="Мамуладзе"/>
    <s v="Сергей"/>
    <s v="Петрович"/>
    <x v="1"/>
    <x v="6"/>
    <s v="Начальник склада"/>
    <n v="13514.395410585492"/>
    <x v="2"/>
    <d v="1995-03-30T00:00:00"/>
    <d v="1958-01-01T00:00:00"/>
    <s v="Парковая 2-я ул.,дом 9,кв 26"/>
    <s v="Москва"/>
    <n v="193003"/>
    <s v="1971561"/>
    <s v="6543223"/>
    <n v="23"/>
  </r>
  <r>
    <s v="057"/>
    <s v="Парамонов"/>
    <s v="Валерий"/>
    <s v="Виталиевич"/>
    <x v="1"/>
    <x v="6"/>
    <s v="Кладовщик"/>
    <n v="5053.6033918022285"/>
    <x v="3"/>
    <d v="1995-11-29T00:00:00"/>
    <d v="1973-06-06T00:00:00"/>
    <s v="Палехская ул.,дом 19,корп 1,кв 90"/>
    <s v="Мытищи"/>
    <n v="193004"/>
    <s v="1194562"/>
    <s v="6543223"/>
    <n v="23"/>
  </r>
  <r>
    <s v="058"/>
    <s v="Сильченко"/>
    <s v="Савелий"/>
    <s v="Романович"/>
    <x v="1"/>
    <x v="6"/>
    <s v="Грузчик"/>
    <n v="11069.850875497006"/>
    <x v="2"/>
    <d v="1997-01-30T00:00:00"/>
    <d v="1972-09-11T00:00:00"/>
    <s v="Открытое шоссе,дом 24,корп 41,кв 57"/>
    <s v="Москва"/>
    <s v="150068"/>
    <s v="1416100"/>
    <s v="6543223"/>
    <n v="23"/>
  </r>
  <r>
    <s v="061"/>
    <s v="Ферапонтов"/>
    <s v="Илья"/>
    <s v="Леонидович"/>
    <x v="1"/>
    <x v="7"/>
    <s v="Начальник отдела"/>
    <n v="12592.183135589101"/>
    <x v="1"/>
    <d v="1997-03-15T00:00:00"/>
    <d v="1965-12-09T00:00:00"/>
    <s v="Островитянова ул.,дом 25,кв 17"/>
    <s v="Москва"/>
    <n v="193006"/>
    <s v="2771388"/>
    <s v="6543229"/>
    <n v="29"/>
  </r>
  <r>
    <s v="062"/>
    <s v="Старшинов"/>
    <s v="Федор"/>
    <s v="Дмитриевич"/>
    <x v="1"/>
    <x v="7"/>
    <s v="Водитель"/>
    <n v="10643.3766537518"/>
    <x v="2"/>
    <d v="1995-03-01T00:00:00"/>
    <d v="1968-12-14T00:00:00"/>
    <s v="Новочеремушкинская ул.,дом 53,корп 2,кв 30"/>
    <s v="Москва"/>
    <s v="150070"/>
    <s v="3221990"/>
    <s v="6543230"/>
    <n v="30"/>
  </r>
  <r>
    <s v="012"/>
    <s v="Бычкова"/>
    <s v="Людмила"/>
    <s v="Петровна"/>
    <x v="0"/>
    <x v="8"/>
    <s v="Переводчик"/>
    <n v="9453.2607782707091"/>
    <x v="1"/>
    <d v="1995-01-15T00:00:00"/>
    <d v="1960-11-30T00:00:00"/>
    <s v="Чичерина ул.,дом 8,корп 2,кв 998"/>
    <s v="Москва"/>
    <n v="101888"/>
    <s v="9783387"/>
    <s v="6543231"/>
    <n v="31"/>
  </r>
  <r>
    <s v="009"/>
    <s v="Каменская"/>
    <s v="Светлана"/>
    <s v="Алексендровна"/>
    <x v="0"/>
    <x v="8"/>
    <s v="Зам. гл. редактора"/>
    <n v="13104.8464892221"/>
    <x v="2"/>
    <d v="1997-01-15T00:00:00"/>
    <d v="1973-06-06T00:00:00"/>
    <s v="Шипиловский пр.,дом 23,кв 193"/>
    <s v="Люберцы"/>
    <n v="155888"/>
    <s v="2028888"/>
    <s v="6543231"/>
    <n v="31"/>
  </r>
  <r>
    <s v="004"/>
    <s v="Карпухина"/>
    <s v="Лилия"/>
    <s v="Петровна"/>
    <x v="0"/>
    <x v="8"/>
    <s v="Редактор"/>
    <n v="8415.0990823491975"/>
    <x v="2"/>
    <d v="1995-03-30T00:00:00"/>
    <d v="1962-09-19T00:00:00"/>
    <s v="Яблочкова ул.,дом 31,корп 3,кв 207"/>
    <s v="Москва"/>
    <n v="129543"/>
    <s v="2818705"/>
    <s v="6543231"/>
    <n v="31"/>
  </r>
  <r>
    <s v="011"/>
    <s v="Корнеева"/>
    <s v="Ольга"/>
    <s v="Дмитриевна"/>
    <x v="0"/>
    <x v="8"/>
    <s v="Переводчик"/>
    <n v="12616.153463888215"/>
    <x v="1"/>
    <d v="1995-03-01T00:00:00"/>
    <d v="1962-10-08T00:00:00"/>
    <s v="Чусовская ул.,дом 6,корп 1,кв 33"/>
    <s v="Москва"/>
    <n v="126765"/>
    <s v="9219058"/>
    <s v="6543231"/>
    <n v="31"/>
  </r>
  <r>
    <s v="002"/>
    <s v="Красникова "/>
    <s v="Рита"/>
    <s v="Андреевна"/>
    <x v="0"/>
    <x v="8"/>
    <s v="Редактор"/>
    <n v="5356.4388461651015"/>
    <x v="1"/>
    <d v="1996-07-12T00:00:00"/>
    <d v="1959-02-19T00:00:00"/>
    <s v="Ярославское шоссе,дом 18,кв 168"/>
    <s v="Москва"/>
    <n v="121644"/>
    <s v=""/>
    <s v="6543231"/>
    <n v="31"/>
  </r>
  <r>
    <s v="008"/>
    <s v="Крюкова"/>
    <s v="Наталья"/>
    <s v="Тимофеевна"/>
    <x v="0"/>
    <x v="8"/>
    <s v="Корректор"/>
    <n v="7699.1781874603867"/>
    <x v="1"/>
    <d v="1997-01-12T00:00:00"/>
    <d v="1966-01-27T00:00:00"/>
    <s v="Шипиловский пр.,дом 71,кв 43"/>
    <s v="Москва"/>
    <n v="104255"/>
    <s v="4228438"/>
    <s v="6543231"/>
    <n v="31"/>
  </r>
  <r>
    <s v="007"/>
    <s v="Мосичева"/>
    <s v="Ирина"/>
    <s v="Романовна"/>
    <x v="0"/>
    <x v="8"/>
    <s v="Корректор"/>
    <n v="6769.9436427326746"/>
    <x v="2"/>
    <d v="1997-01-30T00:00:00"/>
    <d v="1958-01-09T00:00:00"/>
    <s v="Широкая ул.,дом 25,кв 484"/>
    <s v="Звенигород"/>
    <n v="111765"/>
    <s v=""/>
    <s v="6543231"/>
    <n v="31"/>
  </r>
  <r>
    <s v="010"/>
    <s v="Осокина"/>
    <s v="Римма"/>
    <s v="Леонидовна"/>
    <x v="0"/>
    <x v="8"/>
    <s v="Машинистка"/>
    <n v="8334.4812476725183"/>
    <x v="0"/>
    <d v="1997-03-15T00:00:00"/>
    <d v="1972-09-11T00:00:00"/>
    <s v="Шереметьевская ул.,дом 32"/>
    <s v="Москва"/>
    <n v="123454"/>
    <s v=""/>
    <s v="6543231"/>
    <n v="31"/>
  </r>
  <r>
    <s v="003"/>
    <s v="Потемкина"/>
    <s v="Галина"/>
    <s v="Владимировна"/>
    <x v="0"/>
    <x v="8"/>
    <s v="Редактор"/>
    <n v="13349.155517093794"/>
    <x v="1"/>
    <d v="1996-02-27T00:00:00"/>
    <d v="1963-08-30T00:00:00"/>
    <s v="Якушкина пр.,дом 8,кв 81"/>
    <s v="Калининград"/>
    <n v="102008"/>
    <s v="4419214"/>
    <s v="6543231"/>
    <n v="31"/>
  </r>
  <r>
    <s v="006"/>
    <s v="Старцева"/>
    <s v="Ольга"/>
    <s v="Виталиевна"/>
    <x v="0"/>
    <x v="8"/>
    <s v="Корректор"/>
    <n v="7045.2632223453566"/>
    <x v="1"/>
    <d v="1995-11-29T00:00:00"/>
    <d v="1960-05-29T00:00:00"/>
    <s v="Шокальского пр.,дом 61,корп 2,кв 130"/>
    <s v="Москва"/>
    <n v="128708"/>
    <s v="2095532"/>
    <s v="6543231"/>
    <n v="31"/>
  </r>
  <r>
    <s v="005"/>
    <s v="Фомина"/>
    <s v="Анна"/>
    <s v="Сергеевна"/>
    <x v="0"/>
    <x v="8"/>
    <s v="Корректор"/>
    <n v="6943.8446212997997"/>
    <x v="1"/>
    <d v="1995-09-13T00:00:00"/>
    <d v="1960-03-04T00:00:00"/>
    <s v="Яблочкова ул.,дом 31,корп 3,кв 207"/>
    <s v="Москва"/>
    <n v="186599"/>
    <s v="1902943"/>
    <s v="6543231"/>
    <n v="31"/>
  </r>
  <r>
    <s v="063"/>
    <s v="Канарейкин"/>
    <s v="Степан"/>
    <s v="Петрович"/>
    <x v="1"/>
    <x v="7"/>
    <s v="Водитель"/>
    <n v="7810.6406505531404"/>
    <x v="0"/>
    <d v="1985-03-02T00:00:00"/>
    <d v="1965-05-29T00:00:00"/>
    <s v="Новоспасский пер.,дом 14,корп 1,кв 96"/>
    <s v="Москва"/>
    <n v="193007"/>
    <s v="5551232"/>
    <s v="6543231"/>
    <n v="31"/>
  </r>
  <r>
    <s v="064"/>
    <s v="Савченков"/>
    <s v="Андрей"/>
    <s v="Николаевич"/>
    <x v="1"/>
    <x v="7"/>
    <s v="Водитель"/>
    <n v="8520.7696909160004"/>
    <x v="0"/>
    <d v="1987-09-03T00:00:00"/>
    <d v="1962-09-04T00:00:00"/>
    <s v="Новокосинская ул.,дом 15,корп 5"/>
    <s v="Москва"/>
    <s v="150071"/>
    <s v="3441092"/>
    <s v="6543231"/>
    <n v="31"/>
  </r>
  <r>
    <s v="001"/>
    <s v="Силкин"/>
    <s v="Алексей"/>
    <s v="Сергеевич"/>
    <x v="1"/>
    <x v="8"/>
    <s v="Главный редактор"/>
    <n v="14142.038140808014"/>
    <x v="1"/>
    <d v="1996-03-29T00:00:00"/>
    <d v="1967-12-08T00:00:00"/>
    <s v="Пятнадцатилетие Октября совхоз,дом 15,кв 55"/>
    <s v="Москва"/>
    <n v="108644"/>
    <s v="3625482"/>
    <s v="6543231"/>
    <n v="31"/>
  </r>
  <r>
    <s v="065"/>
    <s v="Толоконникова"/>
    <s v="Майя"/>
    <s v="Кириловна"/>
    <x v="0"/>
    <x v="7"/>
    <s v="Диспетчер"/>
    <n v="5715.3864960983001"/>
    <x v="3"/>
    <d v="1990-12-04T00:00:00"/>
    <d v="1955-01-15T00:00:00"/>
    <s v="Новозаводская ул.,дом 8"/>
    <s v="Москва"/>
    <n v="193008"/>
    <s v="2531208"/>
    <s v="6543233"/>
    <n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d v="2018-10-17T13:31:00"/>
    <d v="1899-12-30T00:10:47"/>
    <x v="0"/>
    <s v="Андреева"/>
    <s v="Вероника"/>
    <s v="жен"/>
    <n v="17"/>
    <n v="56.67"/>
    <n v="0"/>
    <x v="0"/>
  </r>
  <r>
    <d v="2018-10-24T08:20:00"/>
    <d v="1899-12-30T00:15:00"/>
    <x v="0"/>
    <s v="Злобина"/>
    <s v="Полина"/>
    <s v="жен"/>
    <n v="14"/>
    <n v="46.67"/>
    <n v="0"/>
    <x v="0"/>
  </r>
  <r>
    <d v="2018-10-24T08:30:00"/>
    <d v="1899-12-30T00:15:00"/>
    <x v="0"/>
    <s v="Кононова"/>
    <s v="Мария"/>
    <s v="жен"/>
    <n v="15"/>
    <n v="50"/>
    <n v="0"/>
    <x v="0"/>
  </r>
  <r>
    <d v="2018-10-24T08:15:00"/>
    <d v="1899-12-30T00:13:19"/>
    <x v="0"/>
    <s v="Кузовлева"/>
    <s v="Полина"/>
    <s v="жен"/>
    <n v="21"/>
    <n v="70"/>
    <n v="2"/>
    <x v="1"/>
  </r>
  <r>
    <d v="2018-10-17T14:04:00"/>
    <d v="1899-12-30T00:11:19"/>
    <x v="0"/>
    <s v="Кулакова"/>
    <s v="Елизавета"/>
    <s v="жен"/>
    <n v="19"/>
    <n v="63.33"/>
    <n v="1"/>
    <x v="1"/>
  </r>
  <r>
    <d v="2018-10-24T08:20:00"/>
    <d v="1899-12-30T00:11:40"/>
    <x v="0"/>
    <s v="Лавыгина"/>
    <s v="Ирина"/>
    <s v="жен"/>
    <n v="21"/>
    <n v="70"/>
    <n v="2"/>
    <x v="1"/>
  </r>
  <r>
    <d v="2018-10-24T08:35:00"/>
    <d v="1899-12-30T00:13:53"/>
    <x v="0"/>
    <s v="Натальченко"/>
    <s v="Александра"/>
    <s v="жен"/>
    <n v="14"/>
    <n v="46.67"/>
    <n v="0"/>
    <x v="0"/>
  </r>
  <r>
    <d v="2018-10-17T13:42:00"/>
    <d v="1899-12-30T00:13:59"/>
    <x v="0"/>
    <s v="Пушкарёва"/>
    <s v="Наталия"/>
    <s v="жен"/>
    <n v="22"/>
    <n v="73.33"/>
    <n v="2"/>
    <x v="1"/>
  </r>
  <r>
    <d v="2018-10-24T08:10:00"/>
    <d v="1899-12-30T00:13:38"/>
    <x v="0"/>
    <s v="Романова"/>
    <s v="Анастасия"/>
    <s v="жен"/>
    <n v="19"/>
    <n v="63.33"/>
    <n v="1"/>
    <x v="1"/>
  </r>
  <r>
    <d v="2018-10-17T13:33:00"/>
    <d v="1899-12-30T00:12:55"/>
    <x v="0"/>
    <s v="Рябова"/>
    <s v="Анна"/>
    <s v="жен"/>
    <n v="26"/>
    <n v="86.67"/>
    <n v="3"/>
    <x v="1"/>
  </r>
  <r>
    <d v="2018-10-24T08:20:00"/>
    <d v="1899-12-30T00:14:58"/>
    <x v="0"/>
    <s v="Шуманина"/>
    <s v="Анна"/>
    <s v="жен"/>
    <n v="20"/>
    <n v="66.67"/>
    <n v="1"/>
    <x v="1"/>
  </r>
  <r>
    <d v="2018-10-24T09:47:00"/>
    <d v="1899-12-30T00:14:56"/>
    <x v="0"/>
    <s v="Ардашев"/>
    <s v="Михаил"/>
    <s v="муж"/>
    <n v="16"/>
    <n v="53.33"/>
    <n v="0"/>
    <x v="0"/>
  </r>
  <r>
    <d v="2018-10-24T08:09:00"/>
    <d v="1899-12-30T00:14:52"/>
    <x v="0"/>
    <s v="Бусоргин"/>
    <s v="Григорий "/>
    <s v="муж"/>
    <n v="18"/>
    <n v="60"/>
    <n v="1"/>
    <x v="1"/>
  </r>
  <r>
    <d v="2018-10-17T12:52:00"/>
    <d v="1899-12-30T00:11:13"/>
    <x v="0"/>
    <s v="Гнусов"/>
    <s v="Никита"/>
    <s v="муж"/>
    <n v="24"/>
    <n v="80"/>
    <n v="3"/>
    <x v="1"/>
  </r>
  <r>
    <d v="2018-10-17T14:00:00"/>
    <d v="1899-12-30T00:14:44"/>
    <x v="0"/>
    <s v="Колупаев"/>
    <s v="Александр "/>
    <s v="муж"/>
    <n v="21"/>
    <n v="70"/>
    <n v="2"/>
    <x v="1"/>
  </r>
  <r>
    <d v="2018-10-17T13:47:00"/>
    <d v="1899-12-30T00:12:46"/>
    <x v="0"/>
    <s v="Коньков"/>
    <s v="Павел"/>
    <s v="муж"/>
    <n v="10"/>
    <n v="33.33"/>
    <n v="0"/>
    <x v="0"/>
  </r>
  <r>
    <d v="2018-10-24T08:18:00"/>
    <d v="1899-12-30T00:12:20"/>
    <x v="0"/>
    <s v="Култышев"/>
    <s v="Павел"/>
    <s v="муж"/>
    <n v="21"/>
    <n v="70"/>
    <n v="2"/>
    <x v="1"/>
  </r>
  <r>
    <d v="2018-10-24T08:08:00"/>
    <d v="1899-12-30T00:14:06"/>
    <x v="0"/>
    <s v="Раскопин"/>
    <s v="Данил"/>
    <s v="муж"/>
    <n v="17"/>
    <n v="56.67"/>
    <n v="0"/>
    <x v="0"/>
  </r>
  <r>
    <d v="2018-10-17T14:01:00"/>
    <d v="1899-12-30T00:14:45"/>
    <x v="0"/>
    <s v="Цылёв"/>
    <s v="Дмитрий"/>
    <s v="муж"/>
    <n v="16"/>
    <n v="53.33"/>
    <n v="0"/>
    <x v="0"/>
  </r>
  <r>
    <d v="2018-10-19T06:08:00"/>
    <d v="1899-12-30T00:12:23"/>
    <x v="1"/>
    <s v="Богданова"/>
    <s v="Анастасия"/>
    <s v="жен"/>
    <n v="19"/>
    <n v="63.33"/>
    <n v="1"/>
    <x v="1"/>
  </r>
  <r>
    <d v="2018-10-24T11:55:00"/>
    <d v="1899-12-30T00:13:53"/>
    <x v="1"/>
    <s v="Ганькова "/>
    <s v="Татьяна"/>
    <s v="жен"/>
    <n v="20"/>
    <n v="66.67"/>
    <n v="1"/>
    <x v="1"/>
  </r>
  <r>
    <d v="2018-10-24T12:08:00"/>
    <d v="1899-12-30T00:07:55"/>
    <x v="1"/>
    <s v="Глушкова"/>
    <s v="Анна"/>
    <s v="жен"/>
    <n v="25"/>
    <n v="83.33"/>
    <n v="3"/>
    <x v="1"/>
  </r>
  <r>
    <d v="2018-10-19T06:22:00"/>
    <d v="1899-12-30T00:13:28"/>
    <x v="1"/>
    <s v="Доминтян"/>
    <s v="Виктория"/>
    <s v="жен"/>
    <n v="22"/>
    <n v="73.33"/>
    <n v="2"/>
    <x v="1"/>
  </r>
  <r>
    <d v="2018-10-19T06:58:00"/>
    <d v="1899-12-30T00:12:40"/>
    <x v="1"/>
    <s v="Дорофеева"/>
    <s v="Дарья"/>
    <s v="жен"/>
    <n v="17"/>
    <n v="56.67"/>
    <n v="0"/>
    <x v="0"/>
  </r>
  <r>
    <d v="2018-10-19T06:05:00"/>
    <d v="1899-12-30T00:11:05"/>
    <x v="1"/>
    <s v="Зыкова"/>
    <s v="Екатерина"/>
    <s v="жен"/>
    <n v="19"/>
    <n v="63.33"/>
    <n v="1"/>
    <x v="1"/>
  </r>
  <r>
    <d v="2018-10-19T06:39:00"/>
    <d v="1899-12-30T00:09:32"/>
    <x v="1"/>
    <s v="Кайсина"/>
    <s v="Екатерина"/>
    <s v="жен"/>
    <n v="21"/>
    <n v="70"/>
    <n v="2"/>
    <x v="1"/>
  </r>
  <r>
    <d v="2018-10-24T11:53:00"/>
    <d v="1899-12-30T00:12:43"/>
    <x v="1"/>
    <s v="Кокоулина"/>
    <s v="Ирина"/>
    <s v="жен"/>
    <n v="24"/>
    <n v="80"/>
    <n v="3"/>
    <x v="1"/>
  </r>
  <r>
    <d v="2018-10-19T06:16:00"/>
    <d v="1899-12-30T00:11:54"/>
    <x v="1"/>
    <s v="Кривошеина"/>
    <s v="Елизавета"/>
    <s v="жен"/>
    <n v="21"/>
    <n v="70"/>
    <n v="2"/>
    <x v="1"/>
  </r>
  <r>
    <d v="2018-10-24T12:21:00"/>
    <d v="1899-12-30T00:13:07"/>
    <x v="1"/>
    <s v="Кулакова"/>
    <s v="Дарья"/>
    <s v="жен"/>
    <n v="14"/>
    <n v="46.67"/>
    <n v="0"/>
    <x v="0"/>
  </r>
  <r>
    <d v="2018-10-19T06:04:00"/>
    <d v="1899-12-30T00:10:10"/>
    <x v="1"/>
    <s v="Охапкина"/>
    <s v="Валентина"/>
    <s v="жен"/>
    <n v="24"/>
    <n v="80"/>
    <n v="3"/>
    <x v="1"/>
  </r>
  <r>
    <d v="2018-10-24T11:53:00"/>
    <d v="1899-12-30T00:13:36"/>
    <x v="1"/>
    <s v="Повышева"/>
    <s v="Ольга"/>
    <s v="жен"/>
    <n v="24"/>
    <n v="80"/>
    <n v="3"/>
    <x v="1"/>
  </r>
  <r>
    <d v="2018-10-24T11:50:00"/>
    <d v="1899-12-30T00:11:47"/>
    <x v="1"/>
    <s v="Рябова"/>
    <s v="Виктория"/>
    <s v="жен"/>
    <n v="26"/>
    <n v="86.67"/>
    <n v="3"/>
    <x v="1"/>
  </r>
  <r>
    <d v="2018-10-24T12:12:00"/>
    <d v="1899-12-30T00:15:00"/>
    <x v="1"/>
    <s v="тимофеева "/>
    <s v="надежда"/>
    <s v="жен"/>
    <n v="15"/>
    <n v="50"/>
    <n v="0"/>
    <x v="0"/>
  </r>
  <r>
    <d v="2018-10-19T06:20:00"/>
    <d v="1899-12-30T00:09:37"/>
    <x v="1"/>
    <s v="Токтеева"/>
    <s v="Елена"/>
    <s v="жен"/>
    <n v="27"/>
    <n v="90"/>
    <n v="3"/>
    <x v="1"/>
  </r>
  <r>
    <d v="2018-10-24T11:58:00"/>
    <d v="1899-12-30T00:13:36"/>
    <x v="1"/>
    <s v="Фельцан"/>
    <s v="Юлия"/>
    <s v="жен"/>
    <n v="21"/>
    <n v="70"/>
    <n v="2"/>
    <x v="1"/>
  </r>
  <r>
    <d v="2018-10-24T11:55:00"/>
    <d v="1899-12-30T00:13:51"/>
    <x v="1"/>
    <s v="Чемоданова"/>
    <s v="Валерия"/>
    <s v="жен"/>
    <n v="22"/>
    <n v="73.33"/>
    <n v="2"/>
    <x v="1"/>
  </r>
  <r>
    <d v="2018-10-24T11:51:00"/>
    <d v="1899-12-30T00:13:11"/>
    <x v="1"/>
    <s v="Широкова"/>
    <s v="Алена"/>
    <s v="жен"/>
    <n v="23"/>
    <n v="76.67"/>
    <n v="2"/>
    <x v="1"/>
  </r>
  <r>
    <d v="2018-10-24T12:08:00"/>
    <d v="1899-12-30T00:12:46"/>
    <x v="1"/>
    <s v="Шнайдер"/>
    <s v="Мария"/>
    <s v="жен"/>
    <n v="27"/>
    <n v="90"/>
    <n v="3"/>
    <x v="1"/>
  </r>
  <r>
    <d v="2018-10-19T06:07:00"/>
    <d v="1899-12-30T00:11:42"/>
    <x v="1"/>
    <s v="Ахременко"/>
    <s v="Олег"/>
    <s v="муж"/>
    <n v="21"/>
    <n v="70"/>
    <n v="2"/>
    <x v="1"/>
  </r>
  <r>
    <d v="2018-10-18T08:07:00"/>
    <d v="1899-12-30T00:11:15"/>
    <x v="2"/>
    <s v="Борнякова"/>
    <s v="Валерия"/>
    <s v="жен"/>
    <n v="22"/>
    <n v="73.33"/>
    <n v="2"/>
    <x v="1"/>
  </r>
  <r>
    <d v="2018-10-25T07:58:00"/>
    <d v="1899-12-30T00:12:12"/>
    <x v="2"/>
    <s v="Вагина "/>
    <s v="Алина"/>
    <s v="жен"/>
    <n v="24"/>
    <n v="80"/>
    <n v="3"/>
    <x v="1"/>
  </r>
  <r>
    <d v="2018-10-18T08:43:00"/>
    <d v="1899-12-30T00:13:26"/>
    <x v="2"/>
    <s v="Кайгородова"/>
    <s v="Дарья"/>
    <s v="жен"/>
    <n v="20"/>
    <n v="66.67"/>
    <n v="1"/>
    <x v="1"/>
  </r>
  <r>
    <d v="2018-10-18T09:05:00"/>
    <d v="1899-12-30T00:14:59"/>
    <x v="2"/>
    <s v="Климова"/>
    <s v="Кристина"/>
    <s v="жен"/>
    <n v="13"/>
    <n v="43.33"/>
    <n v="0"/>
    <x v="0"/>
  </r>
  <r>
    <d v="2018-10-25T08:07:00"/>
    <d v="1899-12-30T00:09:28"/>
    <x v="2"/>
    <s v="Кокорина"/>
    <s v="Дора"/>
    <s v="жен"/>
    <n v="16"/>
    <n v="53.33"/>
    <n v="0"/>
    <x v="0"/>
  </r>
  <r>
    <d v="2018-10-25T08:10:00"/>
    <d v="1899-12-30T00:11:51"/>
    <x v="2"/>
    <s v="Кострова"/>
    <s v="Наталия"/>
    <s v="жен"/>
    <n v="22"/>
    <n v="73.33"/>
    <n v="2"/>
    <x v="1"/>
  </r>
  <r>
    <d v="2018-10-25T08:17:00"/>
    <d v="1899-12-30T00:13:03"/>
    <x v="2"/>
    <s v="Кузнецова"/>
    <s v="Марина"/>
    <s v="жен"/>
    <n v="19"/>
    <n v="63.33"/>
    <n v="1"/>
    <x v="1"/>
  </r>
  <r>
    <d v="2018-10-25T08:00:00"/>
    <d v="1899-12-30T00:13:59"/>
    <x v="2"/>
    <s v="Ложкина"/>
    <s v="Елена"/>
    <s v="жен"/>
    <n v="16"/>
    <n v="53.33"/>
    <n v="0"/>
    <x v="0"/>
  </r>
  <r>
    <d v="2018-10-18T08:15:00"/>
    <d v="1899-12-30T00:12:54"/>
    <x v="2"/>
    <s v="Мясникова"/>
    <s v="Анастасия"/>
    <s v="жен"/>
    <n v="26"/>
    <n v="86.67"/>
    <n v="3"/>
    <x v="1"/>
  </r>
  <r>
    <d v="2018-10-25T08:05:00"/>
    <d v="1899-12-30T00:14:59"/>
    <x v="2"/>
    <s v="Насафатулина"/>
    <s v="Анна"/>
    <s v="жен"/>
    <n v="25"/>
    <n v="83.33"/>
    <n v="3"/>
    <x v="1"/>
  </r>
  <r>
    <d v="2018-10-18T08:24:00"/>
    <d v="1899-12-30T00:13:35"/>
    <x v="2"/>
    <s v="Оглоблина"/>
    <s v="Анна"/>
    <s v="жен"/>
    <n v="21"/>
    <n v="70"/>
    <n v="2"/>
    <x v="1"/>
  </r>
  <r>
    <d v="2018-10-25T08:15:00"/>
    <d v="1899-12-30T00:14:26"/>
    <x v="2"/>
    <s v="Панкова"/>
    <s v="София"/>
    <s v="жен"/>
    <n v="16"/>
    <n v="53.33"/>
    <n v="0"/>
    <x v="0"/>
  </r>
  <r>
    <d v="2018-10-25T08:10:00"/>
    <d v="1899-12-30T00:12:46"/>
    <x v="2"/>
    <s v="Пасынкова"/>
    <s v="Анастасия"/>
    <s v="жен"/>
    <n v="22"/>
    <n v="73.33"/>
    <n v="2"/>
    <x v="1"/>
  </r>
  <r>
    <d v="2018-10-25T08:05:00"/>
    <d v="1899-12-30T00:14:02"/>
    <x v="2"/>
    <s v="Пересторонина"/>
    <s v="Наталья"/>
    <s v="жен"/>
    <n v="22"/>
    <n v="73.33"/>
    <n v="2"/>
    <x v="1"/>
  </r>
  <r>
    <d v="2018-10-18T08:10:00"/>
    <d v="1899-12-30T00:14:29"/>
    <x v="2"/>
    <s v="Скрябина"/>
    <s v="Алина"/>
    <s v="жен"/>
    <n v="21"/>
    <n v="70"/>
    <n v="2"/>
    <x v="1"/>
  </r>
  <r>
    <d v="2018-10-25T08:08:00"/>
    <d v="1899-12-30T00:10:44"/>
    <x v="2"/>
    <s v="Толстогузова"/>
    <s v="Марина"/>
    <s v="жен"/>
    <n v="17"/>
    <n v="56.67"/>
    <n v="0"/>
    <x v="0"/>
  </r>
  <r>
    <d v="2018-10-25T08:04:00"/>
    <d v="1899-12-30T00:14:25"/>
    <x v="2"/>
    <s v="Фалалеева"/>
    <s v="Анастасия"/>
    <s v="жен"/>
    <n v="25"/>
    <n v="83.33"/>
    <n v="3"/>
    <x v="1"/>
  </r>
  <r>
    <d v="2018-10-25T09:22:00"/>
    <d v="1899-12-30T00:12:37"/>
    <x v="2"/>
    <s v="Черепанова"/>
    <s v="Юлия"/>
    <s v="жен"/>
    <n v="23"/>
    <n v="76.67"/>
    <n v="2"/>
    <x v="1"/>
  </r>
  <r>
    <d v="2018-10-26T06:32:00"/>
    <d v="1899-12-30T00:14:09"/>
    <x v="3"/>
    <s v="Боброва"/>
    <s v="Алёна"/>
    <s v="жен"/>
    <n v="13"/>
    <n v="43.33"/>
    <n v="0"/>
    <x v="0"/>
  </r>
  <r>
    <d v="2018-10-26T06:40:00"/>
    <d v="1899-12-30T00:13:08"/>
    <x v="3"/>
    <s v="Борисенко "/>
    <s v="Анна"/>
    <s v="жен"/>
    <n v="19"/>
    <n v="63.33"/>
    <n v="1"/>
    <x v="1"/>
  </r>
  <r>
    <d v="2018-10-26T06:11:00"/>
    <d v="1899-12-30T00:09:11"/>
    <x v="3"/>
    <s v="Бушуева"/>
    <s v="Маргарита"/>
    <s v="жен"/>
    <n v="22"/>
    <n v="73.33"/>
    <n v="2"/>
    <x v="1"/>
  </r>
  <r>
    <d v="2018-10-26T06:26:00"/>
    <d v="1899-12-30T00:15:00"/>
    <x v="3"/>
    <s v="Вербова"/>
    <s v="Ольга"/>
    <s v="жен"/>
    <n v="23"/>
    <n v="76.67"/>
    <n v="2"/>
    <x v="1"/>
  </r>
  <r>
    <d v="2018-10-26T06:17:00"/>
    <d v="1899-12-30T00:10:39"/>
    <x v="3"/>
    <s v="Данилова"/>
    <s v="Дарья"/>
    <s v="жен"/>
    <n v="19"/>
    <n v="63.33"/>
    <n v="1"/>
    <x v="1"/>
  </r>
  <r>
    <d v="2018-10-26T07:15:00"/>
    <d v="1899-12-30T00:13:18"/>
    <x v="3"/>
    <s v="Дрянкова"/>
    <s v="Мария"/>
    <s v="жен"/>
    <n v="14"/>
    <n v="46.67"/>
    <n v="0"/>
    <x v="0"/>
  </r>
  <r>
    <d v="2018-10-26T06:31:00"/>
    <d v="1899-12-30T00:13:25"/>
    <x v="3"/>
    <s v="Ивонина"/>
    <s v="Валерия"/>
    <s v="жен"/>
    <n v="23"/>
    <n v="76.67"/>
    <n v="2"/>
    <x v="1"/>
  </r>
  <r>
    <d v="2018-10-26T07:15:00"/>
    <d v="1899-12-30T00:06:39"/>
    <x v="3"/>
    <s v="Мерзлякова"/>
    <s v="Лиза"/>
    <s v="жен"/>
    <n v="18"/>
    <n v="60"/>
    <n v="1"/>
    <x v="1"/>
  </r>
  <r>
    <d v="2018-10-26T06:42:00"/>
    <d v="1899-12-30T00:14:16"/>
    <x v="3"/>
    <s v="Мингалева"/>
    <s v="Полина"/>
    <s v="жен"/>
    <n v="22"/>
    <n v="73.33"/>
    <n v="2"/>
    <x v="1"/>
  </r>
  <r>
    <d v="2018-10-26T06:27:00"/>
    <d v="1899-12-30T00:11:41"/>
    <x v="3"/>
    <s v="Пестова"/>
    <s v="Александра"/>
    <s v="жен"/>
    <n v="23"/>
    <n v="76.67"/>
    <n v="2"/>
    <x v="1"/>
  </r>
  <r>
    <d v="2018-10-26T06:25:00"/>
    <d v="1899-12-30T00:08:31"/>
    <x v="3"/>
    <s v="Ступникова "/>
    <s v="Светлана"/>
    <s v="жен"/>
    <n v="17"/>
    <n v="56.67"/>
    <n v="0"/>
    <x v="0"/>
  </r>
  <r>
    <d v="2018-10-26T06:28:00"/>
    <d v="1899-12-30T00:10:55"/>
    <x v="3"/>
    <s v="Широкова"/>
    <s v="Яна"/>
    <s v="жен"/>
    <n v="25"/>
    <n v="83.33"/>
    <n v="3"/>
    <x v="1"/>
  </r>
  <r>
    <d v="2018-10-26T06:25:00"/>
    <d v="1899-12-30T00:12:30"/>
    <x v="3"/>
    <s v="Шкаричева"/>
    <s v="Анастасия"/>
    <s v="жен"/>
    <n v="22"/>
    <n v="73.33"/>
    <n v="2"/>
    <x v="1"/>
  </r>
  <r>
    <d v="2018-10-24T09:44:00"/>
    <d v="1899-12-30T00:11:02"/>
    <x v="3"/>
    <s v="Яковлева"/>
    <s v="Аполлинария"/>
    <s v="жен"/>
    <n v="18"/>
    <n v="60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8BE21-C34C-48F0-B7E6-B58B6EEDE688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rowHeaderCaption="Отдел" colHeaderCaption="Образование">
  <location ref="A3:I6" firstHeaderRow="1" firstDataRow="2" firstDataCol="1"/>
  <pivotFields count="17">
    <pivotField showAll="0"/>
    <pivotField showAll="0"/>
    <pivotField showAll="0"/>
    <pivotField showAll="0"/>
    <pivotField showAll="0"/>
    <pivotField axis="axisCol" showAll="0">
      <items count="10">
        <item x="0"/>
        <item x="4"/>
        <item x="5"/>
        <item x="8"/>
        <item x="2"/>
        <item x="6"/>
        <item x="3"/>
        <item x="7"/>
        <item x="1"/>
        <item t="default"/>
      </items>
    </pivotField>
    <pivotField showAll="0"/>
    <pivotField dataField="1" numFmtId="167" showAll="0"/>
    <pivotField axis="axisRow" showAll="0">
      <items count="5">
        <item h="1" x="1"/>
        <item x="2"/>
        <item h="1" x="3"/>
        <item h="1" x="0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2">
    <i>
      <x v="1"/>
    </i>
    <i t="grand">
      <x/>
    </i>
  </rowItems>
  <colFields count="1">
    <field x="5"/>
  </colFields>
  <colItems count="8"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colItems>
  <dataFields count="1">
    <dataField name="Среднее по полю Оклад" fld="7" subtotal="average" baseField="5" baseItem="5" numFmtId="168"/>
  </dataFields>
  <formats count="2">
    <format dxfId="10">
      <pivotArea type="all" dataOnly="0" outline="0" fieldPosition="0"/>
    </format>
    <format dxfId="9">
      <pivotArea outline="0" collapsedLevelsAreSubtotals="1" fieldPosition="0"/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AD109-CB83-47A7-96E5-A53B6687F391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Отдел" colHeaderCaption="Пол">
  <location ref="A3:D14" firstHeaderRow="1" firstDataRow="2" firstDataCol="1"/>
  <pivotFields count="17">
    <pivotField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0"/>
        <item x="4"/>
        <item x="5"/>
        <item x="8"/>
        <item x="2"/>
        <item x="6"/>
        <item x="3"/>
        <item x="7"/>
        <item x="1"/>
        <item t="default"/>
      </items>
    </pivotField>
    <pivotField showAll="0"/>
    <pivotField numFmtId="167" showAll="0"/>
    <pivotField showAll="0">
      <items count="5">
        <item x="1"/>
        <item x="2"/>
        <item x="3"/>
        <item x="0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Количество по полю Фамилия" fld="1" subtotal="count" baseField="5" baseItem="3" numFmtId="1"/>
  </dataFields>
  <formats count="2">
    <format dxfId="8">
      <pivotArea type="all" dataOnly="0" outline="0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E1BE-B1FE-405E-9C41-9AB63D99353F}" name="Сводная таблица7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Группа" colHeaderCaption="Оценка">
  <location ref="A3:C6" firstHeaderRow="1" firstDataRow="2" firstDataCol="1"/>
  <pivotFields count="10">
    <pivotField numFmtId="22" showAll="0"/>
    <pivotField numFmtId="21" showAll="0"/>
    <pivotField axis="axisRow" showAll="0">
      <items count="5">
        <item x="0"/>
        <item h="1" x="1"/>
        <item h="1"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Col" showAll="0">
      <items count="3">
        <item h="1" x="1"/>
        <item x="0"/>
        <item t="default"/>
      </items>
    </pivotField>
  </pivotFields>
  <rowFields count="1">
    <field x="2"/>
  </rowFields>
  <rowItems count="2">
    <i>
      <x/>
    </i>
    <i t="grand">
      <x/>
    </i>
  </rowItems>
  <colFields count="1">
    <field x="9"/>
  </colFields>
  <colItems count="2">
    <i>
      <x v="1"/>
    </i>
    <i t="grand">
      <x/>
    </i>
  </colItems>
  <dataFields count="1">
    <dataField name="Количество по полю Фамилия" fld="3" subtotal="count" baseField="0" baseItem="0"/>
  </dataFields>
  <formats count="1">
    <format dxfId="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5"/>
  <sheetViews>
    <sheetView zoomScaleNormal="100" workbookViewId="0">
      <selection activeCell="B7" sqref="B7"/>
    </sheetView>
  </sheetViews>
  <sheetFormatPr defaultRowHeight="12.75" x14ac:dyDescent="0.2"/>
  <cols>
    <col min="1" max="1" width="4.42578125" style="14" bestFit="1" customWidth="1"/>
    <col min="2" max="2" width="13.85546875" style="14" bestFit="1" customWidth="1"/>
    <col min="3" max="3" width="11.28515625" style="14" bestFit="1" customWidth="1"/>
    <col min="4" max="4" width="14.5703125" style="14" bestFit="1" customWidth="1"/>
    <col min="5" max="5" width="4.5703125" style="16" bestFit="1" customWidth="1"/>
    <col min="6" max="6" width="22.140625" style="14" bestFit="1" customWidth="1"/>
    <col min="7" max="7" width="24.140625" style="14" bestFit="1" customWidth="1"/>
    <col min="8" max="8" width="10.7109375" style="14" bestFit="1" customWidth="1"/>
    <col min="9" max="9" width="20" style="14" bestFit="1" customWidth="1"/>
    <col min="10" max="10" width="11.85546875" style="14" bestFit="1" customWidth="1"/>
    <col min="11" max="11" width="10.42578125" style="14" bestFit="1" customWidth="1"/>
    <col min="12" max="12" width="42.28515625" style="14" bestFit="1" customWidth="1"/>
    <col min="13" max="13" width="13.5703125" style="14" bestFit="1" customWidth="1"/>
    <col min="14" max="14" width="7.7109375" style="14" bestFit="1" customWidth="1"/>
    <col min="15" max="15" width="10.7109375" style="14" bestFit="1" customWidth="1"/>
    <col min="16" max="16" width="9.28515625" style="14" bestFit="1" customWidth="1"/>
    <col min="17" max="17" width="8.7109375" style="14" bestFit="1" customWidth="1"/>
    <col min="18" max="256" width="9.140625" style="14"/>
    <col min="257" max="257" width="4.42578125" style="14" bestFit="1" customWidth="1"/>
    <col min="258" max="258" width="13.85546875" style="14" bestFit="1" customWidth="1"/>
    <col min="259" max="259" width="11.28515625" style="14" bestFit="1" customWidth="1"/>
    <col min="260" max="260" width="14.5703125" style="14" bestFit="1" customWidth="1"/>
    <col min="261" max="261" width="4.5703125" style="14" bestFit="1" customWidth="1"/>
    <col min="262" max="262" width="22.140625" style="14" bestFit="1" customWidth="1"/>
    <col min="263" max="263" width="24.140625" style="14" bestFit="1" customWidth="1"/>
    <col min="264" max="264" width="10.7109375" style="14" bestFit="1" customWidth="1"/>
    <col min="265" max="265" width="20" style="14" bestFit="1" customWidth="1"/>
    <col min="266" max="266" width="11.85546875" style="14" bestFit="1" customWidth="1"/>
    <col min="267" max="267" width="10.42578125" style="14" bestFit="1" customWidth="1"/>
    <col min="268" max="268" width="42.28515625" style="14" bestFit="1" customWidth="1"/>
    <col min="269" max="269" width="13.5703125" style="14" bestFit="1" customWidth="1"/>
    <col min="270" max="270" width="7.7109375" style="14" bestFit="1" customWidth="1"/>
    <col min="271" max="271" width="10.7109375" style="14" bestFit="1" customWidth="1"/>
    <col min="272" max="272" width="9.28515625" style="14" bestFit="1" customWidth="1"/>
    <col min="273" max="273" width="8.7109375" style="14" bestFit="1" customWidth="1"/>
    <col min="274" max="512" width="9.140625" style="14"/>
    <col min="513" max="513" width="4.42578125" style="14" bestFit="1" customWidth="1"/>
    <col min="514" max="514" width="13.85546875" style="14" bestFit="1" customWidth="1"/>
    <col min="515" max="515" width="11.28515625" style="14" bestFit="1" customWidth="1"/>
    <col min="516" max="516" width="14.5703125" style="14" bestFit="1" customWidth="1"/>
    <col min="517" max="517" width="4.5703125" style="14" bestFit="1" customWidth="1"/>
    <col min="518" max="518" width="22.140625" style="14" bestFit="1" customWidth="1"/>
    <col min="519" max="519" width="24.140625" style="14" bestFit="1" customWidth="1"/>
    <col min="520" max="520" width="10.7109375" style="14" bestFit="1" customWidth="1"/>
    <col min="521" max="521" width="20" style="14" bestFit="1" customWidth="1"/>
    <col min="522" max="522" width="11.85546875" style="14" bestFit="1" customWidth="1"/>
    <col min="523" max="523" width="10.42578125" style="14" bestFit="1" customWidth="1"/>
    <col min="524" max="524" width="42.28515625" style="14" bestFit="1" customWidth="1"/>
    <col min="525" max="525" width="13.5703125" style="14" bestFit="1" customWidth="1"/>
    <col min="526" max="526" width="7.7109375" style="14" bestFit="1" customWidth="1"/>
    <col min="527" max="527" width="10.7109375" style="14" bestFit="1" customWidth="1"/>
    <col min="528" max="528" width="9.28515625" style="14" bestFit="1" customWidth="1"/>
    <col min="529" max="529" width="8.7109375" style="14" bestFit="1" customWidth="1"/>
    <col min="530" max="768" width="9.140625" style="14"/>
    <col min="769" max="769" width="4.42578125" style="14" bestFit="1" customWidth="1"/>
    <col min="770" max="770" width="13.85546875" style="14" bestFit="1" customWidth="1"/>
    <col min="771" max="771" width="11.28515625" style="14" bestFit="1" customWidth="1"/>
    <col min="772" max="772" width="14.5703125" style="14" bestFit="1" customWidth="1"/>
    <col min="773" max="773" width="4.5703125" style="14" bestFit="1" customWidth="1"/>
    <col min="774" max="774" width="22.140625" style="14" bestFit="1" customWidth="1"/>
    <col min="775" max="775" width="24.140625" style="14" bestFit="1" customWidth="1"/>
    <col min="776" max="776" width="10.7109375" style="14" bestFit="1" customWidth="1"/>
    <col min="777" max="777" width="20" style="14" bestFit="1" customWidth="1"/>
    <col min="778" max="778" width="11.85546875" style="14" bestFit="1" customWidth="1"/>
    <col min="779" max="779" width="10.42578125" style="14" bestFit="1" customWidth="1"/>
    <col min="780" max="780" width="42.28515625" style="14" bestFit="1" customWidth="1"/>
    <col min="781" max="781" width="13.5703125" style="14" bestFit="1" customWidth="1"/>
    <col min="782" max="782" width="7.7109375" style="14" bestFit="1" customWidth="1"/>
    <col min="783" max="783" width="10.7109375" style="14" bestFit="1" customWidth="1"/>
    <col min="784" max="784" width="9.28515625" style="14" bestFit="1" customWidth="1"/>
    <col min="785" max="785" width="8.7109375" style="14" bestFit="1" customWidth="1"/>
    <col min="786" max="1024" width="9.140625" style="14"/>
    <col min="1025" max="1025" width="4.42578125" style="14" bestFit="1" customWidth="1"/>
    <col min="1026" max="1026" width="13.85546875" style="14" bestFit="1" customWidth="1"/>
    <col min="1027" max="1027" width="11.28515625" style="14" bestFit="1" customWidth="1"/>
    <col min="1028" max="1028" width="14.5703125" style="14" bestFit="1" customWidth="1"/>
    <col min="1029" max="1029" width="4.5703125" style="14" bestFit="1" customWidth="1"/>
    <col min="1030" max="1030" width="22.140625" style="14" bestFit="1" customWidth="1"/>
    <col min="1031" max="1031" width="24.140625" style="14" bestFit="1" customWidth="1"/>
    <col min="1032" max="1032" width="10.7109375" style="14" bestFit="1" customWidth="1"/>
    <col min="1033" max="1033" width="20" style="14" bestFit="1" customWidth="1"/>
    <col min="1034" max="1034" width="11.85546875" style="14" bestFit="1" customWidth="1"/>
    <col min="1035" max="1035" width="10.42578125" style="14" bestFit="1" customWidth="1"/>
    <col min="1036" max="1036" width="42.28515625" style="14" bestFit="1" customWidth="1"/>
    <col min="1037" max="1037" width="13.5703125" style="14" bestFit="1" customWidth="1"/>
    <col min="1038" max="1038" width="7.7109375" style="14" bestFit="1" customWidth="1"/>
    <col min="1039" max="1039" width="10.7109375" style="14" bestFit="1" customWidth="1"/>
    <col min="1040" max="1040" width="9.28515625" style="14" bestFit="1" customWidth="1"/>
    <col min="1041" max="1041" width="8.7109375" style="14" bestFit="1" customWidth="1"/>
    <col min="1042" max="1280" width="9.140625" style="14"/>
    <col min="1281" max="1281" width="4.42578125" style="14" bestFit="1" customWidth="1"/>
    <col min="1282" max="1282" width="13.85546875" style="14" bestFit="1" customWidth="1"/>
    <col min="1283" max="1283" width="11.28515625" style="14" bestFit="1" customWidth="1"/>
    <col min="1284" max="1284" width="14.5703125" style="14" bestFit="1" customWidth="1"/>
    <col min="1285" max="1285" width="4.5703125" style="14" bestFit="1" customWidth="1"/>
    <col min="1286" max="1286" width="22.140625" style="14" bestFit="1" customWidth="1"/>
    <col min="1287" max="1287" width="24.140625" style="14" bestFit="1" customWidth="1"/>
    <col min="1288" max="1288" width="10.7109375" style="14" bestFit="1" customWidth="1"/>
    <col min="1289" max="1289" width="20" style="14" bestFit="1" customWidth="1"/>
    <col min="1290" max="1290" width="11.85546875" style="14" bestFit="1" customWidth="1"/>
    <col min="1291" max="1291" width="10.42578125" style="14" bestFit="1" customWidth="1"/>
    <col min="1292" max="1292" width="42.28515625" style="14" bestFit="1" customWidth="1"/>
    <col min="1293" max="1293" width="13.5703125" style="14" bestFit="1" customWidth="1"/>
    <col min="1294" max="1294" width="7.7109375" style="14" bestFit="1" customWidth="1"/>
    <col min="1295" max="1295" width="10.7109375" style="14" bestFit="1" customWidth="1"/>
    <col min="1296" max="1296" width="9.28515625" style="14" bestFit="1" customWidth="1"/>
    <col min="1297" max="1297" width="8.7109375" style="14" bestFit="1" customWidth="1"/>
    <col min="1298" max="1536" width="9.140625" style="14"/>
    <col min="1537" max="1537" width="4.42578125" style="14" bestFit="1" customWidth="1"/>
    <col min="1538" max="1538" width="13.85546875" style="14" bestFit="1" customWidth="1"/>
    <col min="1539" max="1539" width="11.28515625" style="14" bestFit="1" customWidth="1"/>
    <col min="1540" max="1540" width="14.5703125" style="14" bestFit="1" customWidth="1"/>
    <col min="1541" max="1541" width="4.5703125" style="14" bestFit="1" customWidth="1"/>
    <col min="1542" max="1542" width="22.140625" style="14" bestFit="1" customWidth="1"/>
    <col min="1543" max="1543" width="24.140625" style="14" bestFit="1" customWidth="1"/>
    <col min="1544" max="1544" width="10.7109375" style="14" bestFit="1" customWidth="1"/>
    <col min="1545" max="1545" width="20" style="14" bestFit="1" customWidth="1"/>
    <col min="1546" max="1546" width="11.85546875" style="14" bestFit="1" customWidth="1"/>
    <col min="1547" max="1547" width="10.42578125" style="14" bestFit="1" customWidth="1"/>
    <col min="1548" max="1548" width="42.28515625" style="14" bestFit="1" customWidth="1"/>
    <col min="1549" max="1549" width="13.5703125" style="14" bestFit="1" customWidth="1"/>
    <col min="1550" max="1550" width="7.7109375" style="14" bestFit="1" customWidth="1"/>
    <col min="1551" max="1551" width="10.7109375" style="14" bestFit="1" customWidth="1"/>
    <col min="1552" max="1552" width="9.28515625" style="14" bestFit="1" customWidth="1"/>
    <col min="1553" max="1553" width="8.7109375" style="14" bestFit="1" customWidth="1"/>
    <col min="1554" max="1792" width="9.140625" style="14"/>
    <col min="1793" max="1793" width="4.42578125" style="14" bestFit="1" customWidth="1"/>
    <col min="1794" max="1794" width="13.85546875" style="14" bestFit="1" customWidth="1"/>
    <col min="1795" max="1795" width="11.28515625" style="14" bestFit="1" customWidth="1"/>
    <col min="1796" max="1796" width="14.5703125" style="14" bestFit="1" customWidth="1"/>
    <col min="1797" max="1797" width="4.5703125" style="14" bestFit="1" customWidth="1"/>
    <col min="1798" max="1798" width="22.140625" style="14" bestFit="1" customWidth="1"/>
    <col min="1799" max="1799" width="24.140625" style="14" bestFit="1" customWidth="1"/>
    <col min="1800" max="1800" width="10.7109375" style="14" bestFit="1" customWidth="1"/>
    <col min="1801" max="1801" width="20" style="14" bestFit="1" customWidth="1"/>
    <col min="1802" max="1802" width="11.85546875" style="14" bestFit="1" customWidth="1"/>
    <col min="1803" max="1803" width="10.42578125" style="14" bestFit="1" customWidth="1"/>
    <col min="1804" max="1804" width="42.28515625" style="14" bestFit="1" customWidth="1"/>
    <col min="1805" max="1805" width="13.5703125" style="14" bestFit="1" customWidth="1"/>
    <col min="1806" max="1806" width="7.7109375" style="14" bestFit="1" customWidth="1"/>
    <col min="1807" max="1807" width="10.7109375" style="14" bestFit="1" customWidth="1"/>
    <col min="1808" max="1808" width="9.28515625" style="14" bestFit="1" customWidth="1"/>
    <col min="1809" max="1809" width="8.7109375" style="14" bestFit="1" customWidth="1"/>
    <col min="1810" max="2048" width="9.140625" style="14"/>
    <col min="2049" max="2049" width="4.42578125" style="14" bestFit="1" customWidth="1"/>
    <col min="2050" max="2050" width="13.85546875" style="14" bestFit="1" customWidth="1"/>
    <col min="2051" max="2051" width="11.28515625" style="14" bestFit="1" customWidth="1"/>
    <col min="2052" max="2052" width="14.5703125" style="14" bestFit="1" customWidth="1"/>
    <col min="2053" max="2053" width="4.5703125" style="14" bestFit="1" customWidth="1"/>
    <col min="2054" max="2054" width="22.140625" style="14" bestFit="1" customWidth="1"/>
    <col min="2055" max="2055" width="24.140625" style="14" bestFit="1" customWidth="1"/>
    <col min="2056" max="2056" width="10.7109375" style="14" bestFit="1" customWidth="1"/>
    <col min="2057" max="2057" width="20" style="14" bestFit="1" customWidth="1"/>
    <col min="2058" max="2058" width="11.85546875" style="14" bestFit="1" customWidth="1"/>
    <col min="2059" max="2059" width="10.42578125" style="14" bestFit="1" customWidth="1"/>
    <col min="2060" max="2060" width="42.28515625" style="14" bestFit="1" customWidth="1"/>
    <col min="2061" max="2061" width="13.5703125" style="14" bestFit="1" customWidth="1"/>
    <col min="2062" max="2062" width="7.7109375" style="14" bestFit="1" customWidth="1"/>
    <col min="2063" max="2063" width="10.7109375" style="14" bestFit="1" customWidth="1"/>
    <col min="2064" max="2064" width="9.28515625" style="14" bestFit="1" customWidth="1"/>
    <col min="2065" max="2065" width="8.7109375" style="14" bestFit="1" customWidth="1"/>
    <col min="2066" max="2304" width="9.140625" style="14"/>
    <col min="2305" max="2305" width="4.42578125" style="14" bestFit="1" customWidth="1"/>
    <col min="2306" max="2306" width="13.85546875" style="14" bestFit="1" customWidth="1"/>
    <col min="2307" max="2307" width="11.28515625" style="14" bestFit="1" customWidth="1"/>
    <col min="2308" max="2308" width="14.5703125" style="14" bestFit="1" customWidth="1"/>
    <col min="2309" max="2309" width="4.5703125" style="14" bestFit="1" customWidth="1"/>
    <col min="2310" max="2310" width="22.140625" style="14" bestFit="1" customWidth="1"/>
    <col min="2311" max="2311" width="24.140625" style="14" bestFit="1" customWidth="1"/>
    <col min="2312" max="2312" width="10.7109375" style="14" bestFit="1" customWidth="1"/>
    <col min="2313" max="2313" width="20" style="14" bestFit="1" customWidth="1"/>
    <col min="2314" max="2314" width="11.85546875" style="14" bestFit="1" customWidth="1"/>
    <col min="2315" max="2315" width="10.42578125" style="14" bestFit="1" customWidth="1"/>
    <col min="2316" max="2316" width="42.28515625" style="14" bestFit="1" customWidth="1"/>
    <col min="2317" max="2317" width="13.5703125" style="14" bestFit="1" customWidth="1"/>
    <col min="2318" max="2318" width="7.7109375" style="14" bestFit="1" customWidth="1"/>
    <col min="2319" max="2319" width="10.7109375" style="14" bestFit="1" customWidth="1"/>
    <col min="2320" max="2320" width="9.28515625" style="14" bestFit="1" customWidth="1"/>
    <col min="2321" max="2321" width="8.7109375" style="14" bestFit="1" customWidth="1"/>
    <col min="2322" max="2560" width="9.140625" style="14"/>
    <col min="2561" max="2561" width="4.42578125" style="14" bestFit="1" customWidth="1"/>
    <col min="2562" max="2562" width="13.85546875" style="14" bestFit="1" customWidth="1"/>
    <col min="2563" max="2563" width="11.28515625" style="14" bestFit="1" customWidth="1"/>
    <col min="2564" max="2564" width="14.5703125" style="14" bestFit="1" customWidth="1"/>
    <col min="2565" max="2565" width="4.5703125" style="14" bestFit="1" customWidth="1"/>
    <col min="2566" max="2566" width="22.140625" style="14" bestFit="1" customWidth="1"/>
    <col min="2567" max="2567" width="24.140625" style="14" bestFit="1" customWidth="1"/>
    <col min="2568" max="2568" width="10.7109375" style="14" bestFit="1" customWidth="1"/>
    <col min="2569" max="2569" width="20" style="14" bestFit="1" customWidth="1"/>
    <col min="2570" max="2570" width="11.85546875" style="14" bestFit="1" customWidth="1"/>
    <col min="2571" max="2571" width="10.42578125" style="14" bestFit="1" customWidth="1"/>
    <col min="2572" max="2572" width="42.28515625" style="14" bestFit="1" customWidth="1"/>
    <col min="2573" max="2573" width="13.5703125" style="14" bestFit="1" customWidth="1"/>
    <col min="2574" max="2574" width="7.7109375" style="14" bestFit="1" customWidth="1"/>
    <col min="2575" max="2575" width="10.7109375" style="14" bestFit="1" customWidth="1"/>
    <col min="2576" max="2576" width="9.28515625" style="14" bestFit="1" customWidth="1"/>
    <col min="2577" max="2577" width="8.7109375" style="14" bestFit="1" customWidth="1"/>
    <col min="2578" max="2816" width="9.140625" style="14"/>
    <col min="2817" max="2817" width="4.42578125" style="14" bestFit="1" customWidth="1"/>
    <col min="2818" max="2818" width="13.85546875" style="14" bestFit="1" customWidth="1"/>
    <col min="2819" max="2819" width="11.28515625" style="14" bestFit="1" customWidth="1"/>
    <col min="2820" max="2820" width="14.5703125" style="14" bestFit="1" customWidth="1"/>
    <col min="2821" max="2821" width="4.5703125" style="14" bestFit="1" customWidth="1"/>
    <col min="2822" max="2822" width="22.140625" style="14" bestFit="1" customWidth="1"/>
    <col min="2823" max="2823" width="24.140625" style="14" bestFit="1" customWidth="1"/>
    <col min="2824" max="2824" width="10.7109375" style="14" bestFit="1" customWidth="1"/>
    <col min="2825" max="2825" width="20" style="14" bestFit="1" customWidth="1"/>
    <col min="2826" max="2826" width="11.85546875" style="14" bestFit="1" customWidth="1"/>
    <col min="2827" max="2827" width="10.42578125" style="14" bestFit="1" customWidth="1"/>
    <col min="2828" max="2828" width="42.28515625" style="14" bestFit="1" customWidth="1"/>
    <col min="2829" max="2829" width="13.5703125" style="14" bestFit="1" customWidth="1"/>
    <col min="2830" max="2830" width="7.7109375" style="14" bestFit="1" customWidth="1"/>
    <col min="2831" max="2831" width="10.7109375" style="14" bestFit="1" customWidth="1"/>
    <col min="2832" max="2832" width="9.28515625" style="14" bestFit="1" customWidth="1"/>
    <col min="2833" max="2833" width="8.7109375" style="14" bestFit="1" customWidth="1"/>
    <col min="2834" max="3072" width="9.140625" style="14"/>
    <col min="3073" max="3073" width="4.42578125" style="14" bestFit="1" customWidth="1"/>
    <col min="3074" max="3074" width="13.85546875" style="14" bestFit="1" customWidth="1"/>
    <col min="3075" max="3075" width="11.28515625" style="14" bestFit="1" customWidth="1"/>
    <col min="3076" max="3076" width="14.5703125" style="14" bestFit="1" customWidth="1"/>
    <col min="3077" max="3077" width="4.5703125" style="14" bestFit="1" customWidth="1"/>
    <col min="3078" max="3078" width="22.140625" style="14" bestFit="1" customWidth="1"/>
    <col min="3079" max="3079" width="24.140625" style="14" bestFit="1" customWidth="1"/>
    <col min="3080" max="3080" width="10.7109375" style="14" bestFit="1" customWidth="1"/>
    <col min="3081" max="3081" width="20" style="14" bestFit="1" customWidth="1"/>
    <col min="3082" max="3082" width="11.85546875" style="14" bestFit="1" customWidth="1"/>
    <col min="3083" max="3083" width="10.42578125" style="14" bestFit="1" customWidth="1"/>
    <col min="3084" max="3084" width="42.28515625" style="14" bestFit="1" customWidth="1"/>
    <col min="3085" max="3085" width="13.5703125" style="14" bestFit="1" customWidth="1"/>
    <col min="3086" max="3086" width="7.7109375" style="14" bestFit="1" customWidth="1"/>
    <col min="3087" max="3087" width="10.7109375" style="14" bestFit="1" customWidth="1"/>
    <col min="3088" max="3088" width="9.28515625" style="14" bestFit="1" customWidth="1"/>
    <col min="3089" max="3089" width="8.7109375" style="14" bestFit="1" customWidth="1"/>
    <col min="3090" max="3328" width="9.140625" style="14"/>
    <col min="3329" max="3329" width="4.42578125" style="14" bestFit="1" customWidth="1"/>
    <col min="3330" max="3330" width="13.85546875" style="14" bestFit="1" customWidth="1"/>
    <col min="3331" max="3331" width="11.28515625" style="14" bestFit="1" customWidth="1"/>
    <col min="3332" max="3332" width="14.5703125" style="14" bestFit="1" customWidth="1"/>
    <col min="3333" max="3333" width="4.5703125" style="14" bestFit="1" customWidth="1"/>
    <col min="3334" max="3334" width="22.140625" style="14" bestFit="1" customWidth="1"/>
    <col min="3335" max="3335" width="24.140625" style="14" bestFit="1" customWidth="1"/>
    <col min="3336" max="3336" width="10.7109375" style="14" bestFit="1" customWidth="1"/>
    <col min="3337" max="3337" width="20" style="14" bestFit="1" customWidth="1"/>
    <col min="3338" max="3338" width="11.85546875" style="14" bestFit="1" customWidth="1"/>
    <col min="3339" max="3339" width="10.42578125" style="14" bestFit="1" customWidth="1"/>
    <col min="3340" max="3340" width="42.28515625" style="14" bestFit="1" customWidth="1"/>
    <col min="3341" max="3341" width="13.5703125" style="14" bestFit="1" customWidth="1"/>
    <col min="3342" max="3342" width="7.7109375" style="14" bestFit="1" customWidth="1"/>
    <col min="3343" max="3343" width="10.7109375" style="14" bestFit="1" customWidth="1"/>
    <col min="3344" max="3344" width="9.28515625" style="14" bestFit="1" customWidth="1"/>
    <col min="3345" max="3345" width="8.7109375" style="14" bestFit="1" customWidth="1"/>
    <col min="3346" max="3584" width="9.140625" style="14"/>
    <col min="3585" max="3585" width="4.42578125" style="14" bestFit="1" customWidth="1"/>
    <col min="3586" max="3586" width="13.85546875" style="14" bestFit="1" customWidth="1"/>
    <col min="3587" max="3587" width="11.28515625" style="14" bestFit="1" customWidth="1"/>
    <col min="3588" max="3588" width="14.5703125" style="14" bestFit="1" customWidth="1"/>
    <col min="3589" max="3589" width="4.5703125" style="14" bestFit="1" customWidth="1"/>
    <col min="3590" max="3590" width="22.140625" style="14" bestFit="1" customWidth="1"/>
    <col min="3591" max="3591" width="24.140625" style="14" bestFit="1" customWidth="1"/>
    <col min="3592" max="3592" width="10.7109375" style="14" bestFit="1" customWidth="1"/>
    <col min="3593" max="3593" width="20" style="14" bestFit="1" customWidth="1"/>
    <col min="3594" max="3594" width="11.85546875" style="14" bestFit="1" customWidth="1"/>
    <col min="3595" max="3595" width="10.42578125" style="14" bestFit="1" customWidth="1"/>
    <col min="3596" max="3596" width="42.28515625" style="14" bestFit="1" customWidth="1"/>
    <col min="3597" max="3597" width="13.5703125" style="14" bestFit="1" customWidth="1"/>
    <col min="3598" max="3598" width="7.7109375" style="14" bestFit="1" customWidth="1"/>
    <col min="3599" max="3599" width="10.7109375" style="14" bestFit="1" customWidth="1"/>
    <col min="3600" max="3600" width="9.28515625" style="14" bestFit="1" customWidth="1"/>
    <col min="3601" max="3601" width="8.7109375" style="14" bestFit="1" customWidth="1"/>
    <col min="3602" max="3840" width="9.140625" style="14"/>
    <col min="3841" max="3841" width="4.42578125" style="14" bestFit="1" customWidth="1"/>
    <col min="3842" max="3842" width="13.85546875" style="14" bestFit="1" customWidth="1"/>
    <col min="3843" max="3843" width="11.28515625" style="14" bestFit="1" customWidth="1"/>
    <col min="3844" max="3844" width="14.5703125" style="14" bestFit="1" customWidth="1"/>
    <col min="3845" max="3845" width="4.5703125" style="14" bestFit="1" customWidth="1"/>
    <col min="3846" max="3846" width="22.140625" style="14" bestFit="1" customWidth="1"/>
    <col min="3847" max="3847" width="24.140625" style="14" bestFit="1" customWidth="1"/>
    <col min="3848" max="3848" width="10.7109375" style="14" bestFit="1" customWidth="1"/>
    <col min="3849" max="3849" width="20" style="14" bestFit="1" customWidth="1"/>
    <col min="3850" max="3850" width="11.85546875" style="14" bestFit="1" customWidth="1"/>
    <col min="3851" max="3851" width="10.42578125" style="14" bestFit="1" customWidth="1"/>
    <col min="3852" max="3852" width="42.28515625" style="14" bestFit="1" customWidth="1"/>
    <col min="3853" max="3853" width="13.5703125" style="14" bestFit="1" customWidth="1"/>
    <col min="3854" max="3854" width="7.7109375" style="14" bestFit="1" customWidth="1"/>
    <col min="3855" max="3855" width="10.7109375" style="14" bestFit="1" customWidth="1"/>
    <col min="3856" max="3856" width="9.28515625" style="14" bestFit="1" customWidth="1"/>
    <col min="3857" max="3857" width="8.7109375" style="14" bestFit="1" customWidth="1"/>
    <col min="3858" max="4096" width="9.140625" style="14"/>
    <col min="4097" max="4097" width="4.42578125" style="14" bestFit="1" customWidth="1"/>
    <col min="4098" max="4098" width="13.85546875" style="14" bestFit="1" customWidth="1"/>
    <col min="4099" max="4099" width="11.28515625" style="14" bestFit="1" customWidth="1"/>
    <col min="4100" max="4100" width="14.5703125" style="14" bestFit="1" customWidth="1"/>
    <col min="4101" max="4101" width="4.5703125" style="14" bestFit="1" customWidth="1"/>
    <col min="4102" max="4102" width="22.140625" style="14" bestFit="1" customWidth="1"/>
    <col min="4103" max="4103" width="24.140625" style="14" bestFit="1" customWidth="1"/>
    <col min="4104" max="4104" width="10.7109375" style="14" bestFit="1" customWidth="1"/>
    <col min="4105" max="4105" width="20" style="14" bestFit="1" customWidth="1"/>
    <col min="4106" max="4106" width="11.85546875" style="14" bestFit="1" customWidth="1"/>
    <col min="4107" max="4107" width="10.42578125" style="14" bestFit="1" customWidth="1"/>
    <col min="4108" max="4108" width="42.28515625" style="14" bestFit="1" customWidth="1"/>
    <col min="4109" max="4109" width="13.5703125" style="14" bestFit="1" customWidth="1"/>
    <col min="4110" max="4110" width="7.7109375" style="14" bestFit="1" customWidth="1"/>
    <col min="4111" max="4111" width="10.7109375" style="14" bestFit="1" customWidth="1"/>
    <col min="4112" max="4112" width="9.28515625" style="14" bestFit="1" customWidth="1"/>
    <col min="4113" max="4113" width="8.7109375" style="14" bestFit="1" customWidth="1"/>
    <col min="4114" max="4352" width="9.140625" style="14"/>
    <col min="4353" max="4353" width="4.42578125" style="14" bestFit="1" customWidth="1"/>
    <col min="4354" max="4354" width="13.85546875" style="14" bestFit="1" customWidth="1"/>
    <col min="4355" max="4355" width="11.28515625" style="14" bestFit="1" customWidth="1"/>
    <col min="4356" max="4356" width="14.5703125" style="14" bestFit="1" customWidth="1"/>
    <col min="4357" max="4357" width="4.5703125" style="14" bestFit="1" customWidth="1"/>
    <col min="4358" max="4358" width="22.140625" style="14" bestFit="1" customWidth="1"/>
    <col min="4359" max="4359" width="24.140625" style="14" bestFit="1" customWidth="1"/>
    <col min="4360" max="4360" width="10.7109375" style="14" bestFit="1" customWidth="1"/>
    <col min="4361" max="4361" width="20" style="14" bestFit="1" customWidth="1"/>
    <col min="4362" max="4362" width="11.85546875" style="14" bestFit="1" customWidth="1"/>
    <col min="4363" max="4363" width="10.42578125" style="14" bestFit="1" customWidth="1"/>
    <col min="4364" max="4364" width="42.28515625" style="14" bestFit="1" customWidth="1"/>
    <col min="4365" max="4365" width="13.5703125" style="14" bestFit="1" customWidth="1"/>
    <col min="4366" max="4366" width="7.7109375" style="14" bestFit="1" customWidth="1"/>
    <col min="4367" max="4367" width="10.7109375" style="14" bestFit="1" customWidth="1"/>
    <col min="4368" max="4368" width="9.28515625" style="14" bestFit="1" customWidth="1"/>
    <col min="4369" max="4369" width="8.7109375" style="14" bestFit="1" customWidth="1"/>
    <col min="4370" max="4608" width="9.140625" style="14"/>
    <col min="4609" max="4609" width="4.42578125" style="14" bestFit="1" customWidth="1"/>
    <col min="4610" max="4610" width="13.85546875" style="14" bestFit="1" customWidth="1"/>
    <col min="4611" max="4611" width="11.28515625" style="14" bestFit="1" customWidth="1"/>
    <col min="4612" max="4612" width="14.5703125" style="14" bestFit="1" customWidth="1"/>
    <col min="4613" max="4613" width="4.5703125" style="14" bestFit="1" customWidth="1"/>
    <col min="4614" max="4614" width="22.140625" style="14" bestFit="1" customWidth="1"/>
    <col min="4615" max="4615" width="24.140625" style="14" bestFit="1" customWidth="1"/>
    <col min="4616" max="4616" width="10.7109375" style="14" bestFit="1" customWidth="1"/>
    <col min="4617" max="4617" width="20" style="14" bestFit="1" customWidth="1"/>
    <col min="4618" max="4618" width="11.85546875" style="14" bestFit="1" customWidth="1"/>
    <col min="4619" max="4619" width="10.42578125" style="14" bestFit="1" customWidth="1"/>
    <col min="4620" max="4620" width="42.28515625" style="14" bestFit="1" customWidth="1"/>
    <col min="4621" max="4621" width="13.5703125" style="14" bestFit="1" customWidth="1"/>
    <col min="4622" max="4622" width="7.7109375" style="14" bestFit="1" customWidth="1"/>
    <col min="4623" max="4623" width="10.7109375" style="14" bestFit="1" customWidth="1"/>
    <col min="4624" max="4624" width="9.28515625" style="14" bestFit="1" customWidth="1"/>
    <col min="4625" max="4625" width="8.7109375" style="14" bestFit="1" customWidth="1"/>
    <col min="4626" max="4864" width="9.140625" style="14"/>
    <col min="4865" max="4865" width="4.42578125" style="14" bestFit="1" customWidth="1"/>
    <col min="4866" max="4866" width="13.85546875" style="14" bestFit="1" customWidth="1"/>
    <col min="4867" max="4867" width="11.28515625" style="14" bestFit="1" customWidth="1"/>
    <col min="4868" max="4868" width="14.5703125" style="14" bestFit="1" customWidth="1"/>
    <col min="4869" max="4869" width="4.5703125" style="14" bestFit="1" customWidth="1"/>
    <col min="4870" max="4870" width="22.140625" style="14" bestFit="1" customWidth="1"/>
    <col min="4871" max="4871" width="24.140625" style="14" bestFit="1" customWidth="1"/>
    <col min="4872" max="4872" width="10.7109375" style="14" bestFit="1" customWidth="1"/>
    <col min="4873" max="4873" width="20" style="14" bestFit="1" customWidth="1"/>
    <col min="4874" max="4874" width="11.85546875" style="14" bestFit="1" customWidth="1"/>
    <col min="4875" max="4875" width="10.42578125" style="14" bestFit="1" customWidth="1"/>
    <col min="4876" max="4876" width="42.28515625" style="14" bestFit="1" customWidth="1"/>
    <col min="4877" max="4877" width="13.5703125" style="14" bestFit="1" customWidth="1"/>
    <col min="4878" max="4878" width="7.7109375" style="14" bestFit="1" customWidth="1"/>
    <col min="4879" max="4879" width="10.7109375" style="14" bestFit="1" customWidth="1"/>
    <col min="4880" max="4880" width="9.28515625" style="14" bestFit="1" customWidth="1"/>
    <col min="4881" max="4881" width="8.7109375" style="14" bestFit="1" customWidth="1"/>
    <col min="4882" max="5120" width="9.140625" style="14"/>
    <col min="5121" max="5121" width="4.42578125" style="14" bestFit="1" customWidth="1"/>
    <col min="5122" max="5122" width="13.85546875" style="14" bestFit="1" customWidth="1"/>
    <col min="5123" max="5123" width="11.28515625" style="14" bestFit="1" customWidth="1"/>
    <col min="5124" max="5124" width="14.5703125" style="14" bestFit="1" customWidth="1"/>
    <col min="5125" max="5125" width="4.5703125" style="14" bestFit="1" customWidth="1"/>
    <col min="5126" max="5126" width="22.140625" style="14" bestFit="1" customWidth="1"/>
    <col min="5127" max="5127" width="24.140625" style="14" bestFit="1" customWidth="1"/>
    <col min="5128" max="5128" width="10.7109375" style="14" bestFit="1" customWidth="1"/>
    <col min="5129" max="5129" width="20" style="14" bestFit="1" customWidth="1"/>
    <col min="5130" max="5130" width="11.85546875" style="14" bestFit="1" customWidth="1"/>
    <col min="5131" max="5131" width="10.42578125" style="14" bestFit="1" customWidth="1"/>
    <col min="5132" max="5132" width="42.28515625" style="14" bestFit="1" customWidth="1"/>
    <col min="5133" max="5133" width="13.5703125" style="14" bestFit="1" customWidth="1"/>
    <col min="5134" max="5134" width="7.7109375" style="14" bestFit="1" customWidth="1"/>
    <col min="5135" max="5135" width="10.7109375" style="14" bestFit="1" customWidth="1"/>
    <col min="5136" max="5136" width="9.28515625" style="14" bestFit="1" customWidth="1"/>
    <col min="5137" max="5137" width="8.7109375" style="14" bestFit="1" customWidth="1"/>
    <col min="5138" max="5376" width="9.140625" style="14"/>
    <col min="5377" max="5377" width="4.42578125" style="14" bestFit="1" customWidth="1"/>
    <col min="5378" max="5378" width="13.85546875" style="14" bestFit="1" customWidth="1"/>
    <col min="5379" max="5379" width="11.28515625" style="14" bestFit="1" customWidth="1"/>
    <col min="5380" max="5380" width="14.5703125" style="14" bestFit="1" customWidth="1"/>
    <col min="5381" max="5381" width="4.5703125" style="14" bestFit="1" customWidth="1"/>
    <col min="5382" max="5382" width="22.140625" style="14" bestFit="1" customWidth="1"/>
    <col min="5383" max="5383" width="24.140625" style="14" bestFit="1" customWidth="1"/>
    <col min="5384" max="5384" width="10.7109375" style="14" bestFit="1" customWidth="1"/>
    <col min="5385" max="5385" width="20" style="14" bestFit="1" customWidth="1"/>
    <col min="5386" max="5386" width="11.85546875" style="14" bestFit="1" customWidth="1"/>
    <col min="5387" max="5387" width="10.42578125" style="14" bestFit="1" customWidth="1"/>
    <col min="5388" max="5388" width="42.28515625" style="14" bestFit="1" customWidth="1"/>
    <col min="5389" max="5389" width="13.5703125" style="14" bestFit="1" customWidth="1"/>
    <col min="5390" max="5390" width="7.7109375" style="14" bestFit="1" customWidth="1"/>
    <col min="5391" max="5391" width="10.7109375" style="14" bestFit="1" customWidth="1"/>
    <col min="5392" max="5392" width="9.28515625" style="14" bestFit="1" customWidth="1"/>
    <col min="5393" max="5393" width="8.7109375" style="14" bestFit="1" customWidth="1"/>
    <col min="5394" max="5632" width="9.140625" style="14"/>
    <col min="5633" max="5633" width="4.42578125" style="14" bestFit="1" customWidth="1"/>
    <col min="5634" max="5634" width="13.85546875" style="14" bestFit="1" customWidth="1"/>
    <col min="5635" max="5635" width="11.28515625" style="14" bestFit="1" customWidth="1"/>
    <col min="5636" max="5636" width="14.5703125" style="14" bestFit="1" customWidth="1"/>
    <col min="5637" max="5637" width="4.5703125" style="14" bestFit="1" customWidth="1"/>
    <col min="5638" max="5638" width="22.140625" style="14" bestFit="1" customWidth="1"/>
    <col min="5639" max="5639" width="24.140625" style="14" bestFit="1" customWidth="1"/>
    <col min="5640" max="5640" width="10.7109375" style="14" bestFit="1" customWidth="1"/>
    <col min="5641" max="5641" width="20" style="14" bestFit="1" customWidth="1"/>
    <col min="5642" max="5642" width="11.85546875" style="14" bestFit="1" customWidth="1"/>
    <col min="5643" max="5643" width="10.42578125" style="14" bestFit="1" customWidth="1"/>
    <col min="5644" max="5644" width="42.28515625" style="14" bestFit="1" customWidth="1"/>
    <col min="5645" max="5645" width="13.5703125" style="14" bestFit="1" customWidth="1"/>
    <col min="5646" max="5646" width="7.7109375" style="14" bestFit="1" customWidth="1"/>
    <col min="5647" max="5647" width="10.7109375" style="14" bestFit="1" customWidth="1"/>
    <col min="5648" max="5648" width="9.28515625" style="14" bestFit="1" customWidth="1"/>
    <col min="5649" max="5649" width="8.7109375" style="14" bestFit="1" customWidth="1"/>
    <col min="5650" max="5888" width="9.140625" style="14"/>
    <col min="5889" max="5889" width="4.42578125" style="14" bestFit="1" customWidth="1"/>
    <col min="5890" max="5890" width="13.85546875" style="14" bestFit="1" customWidth="1"/>
    <col min="5891" max="5891" width="11.28515625" style="14" bestFit="1" customWidth="1"/>
    <col min="5892" max="5892" width="14.5703125" style="14" bestFit="1" customWidth="1"/>
    <col min="5893" max="5893" width="4.5703125" style="14" bestFit="1" customWidth="1"/>
    <col min="5894" max="5894" width="22.140625" style="14" bestFit="1" customWidth="1"/>
    <col min="5895" max="5895" width="24.140625" style="14" bestFit="1" customWidth="1"/>
    <col min="5896" max="5896" width="10.7109375" style="14" bestFit="1" customWidth="1"/>
    <col min="5897" max="5897" width="20" style="14" bestFit="1" customWidth="1"/>
    <col min="5898" max="5898" width="11.85546875" style="14" bestFit="1" customWidth="1"/>
    <col min="5899" max="5899" width="10.42578125" style="14" bestFit="1" customWidth="1"/>
    <col min="5900" max="5900" width="42.28515625" style="14" bestFit="1" customWidth="1"/>
    <col min="5901" max="5901" width="13.5703125" style="14" bestFit="1" customWidth="1"/>
    <col min="5902" max="5902" width="7.7109375" style="14" bestFit="1" customWidth="1"/>
    <col min="5903" max="5903" width="10.7109375" style="14" bestFit="1" customWidth="1"/>
    <col min="5904" max="5904" width="9.28515625" style="14" bestFit="1" customWidth="1"/>
    <col min="5905" max="5905" width="8.7109375" style="14" bestFit="1" customWidth="1"/>
    <col min="5906" max="6144" width="9.140625" style="14"/>
    <col min="6145" max="6145" width="4.42578125" style="14" bestFit="1" customWidth="1"/>
    <col min="6146" max="6146" width="13.85546875" style="14" bestFit="1" customWidth="1"/>
    <col min="6147" max="6147" width="11.28515625" style="14" bestFit="1" customWidth="1"/>
    <col min="6148" max="6148" width="14.5703125" style="14" bestFit="1" customWidth="1"/>
    <col min="6149" max="6149" width="4.5703125" style="14" bestFit="1" customWidth="1"/>
    <col min="6150" max="6150" width="22.140625" style="14" bestFit="1" customWidth="1"/>
    <col min="6151" max="6151" width="24.140625" style="14" bestFit="1" customWidth="1"/>
    <col min="6152" max="6152" width="10.7109375" style="14" bestFit="1" customWidth="1"/>
    <col min="6153" max="6153" width="20" style="14" bestFit="1" customWidth="1"/>
    <col min="6154" max="6154" width="11.85546875" style="14" bestFit="1" customWidth="1"/>
    <col min="6155" max="6155" width="10.42578125" style="14" bestFit="1" customWidth="1"/>
    <col min="6156" max="6156" width="42.28515625" style="14" bestFit="1" customWidth="1"/>
    <col min="6157" max="6157" width="13.5703125" style="14" bestFit="1" customWidth="1"/>
    <col min="6158" max="6158" width="7.7109375" style="14" bestFit="1" customWidth="1"/>
    <col min="6159" max="6159" width="10.7109375" style="14" bestFit="1" customWidth="1"/>
    <col min="6160" max="6160" width="9.28515625" style="14" bestFit="1" customWidth="1"/>
    <col min="6161" max="6161" width="8.7109375" style="14" bestFit="1" customWidth="1"/>
    <col min="6162" max="6400" width="9.140625" style="14"/>
    <col min="6401" max="6401" width="4.42578125" style="14" bestFit="1" customWidth="1"/>
    <col min="6402" max="6402" width="13.85546875" style="14" bestFit="1" customWidth="1"/>
    <col min="6403" max="6403" width="11.28515625" style="14" bestFit="1" customWidth="1"/>
    <col min="6404" max="6404" width="14.5703125" style="14" bestFit="1" customWidth="1"/>
    <col min="6405" max="6405" width="4.5703125" style="14" bestFit="1" customWidth="1"/>
    <col min="6406" max="6406" width="22.140625" style="14" bestFit="1" customWidth="1"/>
    <col min="6407" max="6407" width="24.140625" style="14" bestFit="1" customWidth="1"/>
    <col min="6408" max="6408" width="10.7109375" style="14" bestFit="1" customWidth="1"/>
    <col min="6409" max="6409" width="20" style="14" bestFit="1" customWidth="1"/>
    <col min="6410" max="6410" width="11.85546875" style="14" bestFit="1" customWidth="1"/>
    <col min="6411" max="6411" width="10.42578125" style="14" bestFit="1" customWidth="1"/>
    <col min="6412" max="6412" width="42.28515625" style="14" bestFit="1" customWidth="1"/>
    <col min="6413" max="6413" width="13.5703125" style="14" bestFit="1" customWidth="1"/>
    <col min="6414" max="6414" width="7.7109375" style="14" bestFit="1" customWidth="1"/>
    <col min="6415" max="6415" width="10.7109375" style="14" bestFit="1" customWidth="1"/>
    <col min="6416" max="6416" width="9.28515625" style="14" bestFit="1" customWidth="1"/>
    <col min="6417" max="6417" width="8.7109375" style="14" bestFit="1" customWidth="1"/>
    <col min="6418" max="6656" width="9.140625" style="14"/>
    <col min="6657" max="6657" width="4.42578125" style="14" bestFit="1" customWidth="1"/>
    <col min="6658" max="6658" width="13.85546875" style="14" bestFit="1" customWidth="1"/>
    <col min="6659" max="6659" width="11.28515625" style="14" bestFit="1" customWidth="1"/>
    <col min="6660" max="6660" width="14.5703125" style="14" bestFit="1" customWidth="1"/>
    <col min="6661" max="6661" width="4.5703125" style="14" bestFit="1" customWidth="1"/>
    <col min="6662" max="6662" width="22.140625" style="14" bestFit="1" customWidth="1"/>
    <col min="6663" max="6663" width="24.140625" style="14" bestFit="1" customWidth="1"/>
    <col min="6664" max="6664" width="10.7109375" style="14" bestFit="1" customWidth="1"/>
    <col min="6665" max="6665" width="20" style="14" bestFit="1" customWidth="1"/>
    <col min="6666" max="6666" width="11.85546875" style="14" bestFit="1" customWidth="1"/>
    <col min="6667" max="6667" width="10.42578125" style="14" bestFit="1" customWidth="1"/>
    <col min="6668" max="6668" width="42.28515625" style="14" bestFit="1" customWidth="1"/>
    <col min="6669" max="6669" width="13.5703125" style="14" bestFit="1" customWidth="1"/>
    <col min="6670" max="6670" width="7.7109375" style="14" bestFit="1" customWidth="1"/>
    <col min="6671" max="6671" width="10.7109375" style="14" bestFit="1" customWidth="1"/>
    <col min="6672" max="6672" width="9.28515625" style="14" bestFit="1" customWidth="1"/>
    <col min="6673" max="6673" width="8.7109375" style="14" bestFit="1" customWidth="1"/>
    <col min="6674" max="6912" width="9.140625" style="14"/>
    <col min="6913" max="6913" width="4.42578125" style="14" bestFit="1" customWidth="1"/>
    <col min="6914" max="6914" width="13.85546875" style="14" bestFit="1" customWidth="1"/>
    <col min="6915" max="6915" width="11.28515625" style="14" bestFit="1" customWidth="1"/>
    <col min="6916" max="6916" width="14.5703125" style="14" bestFit="1" customWidth="1"/>
    <col min="6917" max="6917" width="4.5703125" style="14" bestFit="1" customWidth="1"/>
    <col min="6918" max="6918" width="22.140625" style="14" bestFit="1" customWidth="1"/>
    <col min="6919" max="6919" width="24.140625" style="14" bestFit="1" customWidth="1"/>
    <col min="6920" max="6920" width="10.7109375" style="14" bestFit="1" customWidth="1"/>
    <col min="6921" max="6921" width="20" style="14" bestFit="1" customWidth="1"/>
    <col min="6922" max="6922" width="11.85546875" style="14" bestFit="1" customWidth="1"/>
    <col min="6923" max="6923" width="10.42578125" style="14" bestFit="1" customWidth="1"/>
    <col min="6924" max="6924" width="42.28515625" style="14" bestFit="1" customWidth="1"/>
    <col min="6925" max="6925" width="13.5703125" style="14" bestFit="1" customWidth="1"/>
    <col min="6926" max="6926" width="7.7109375" style="14" bestFit="1" customWidth="1"/>
    <col min="6927" max="6927" width="10.7109375" style="14" bestFit="1" customWidth="1"/>
    <col min="6928" max="6928" width="9.28515625" style="14" bestFit="1" customWidth="1"/>
    <col min="6929" max="6929" width="8.7109375" style="14" bestFit="1" customWidth="1"/>
    <col min="6930" max="7168" width="9.140625" style="14"/>
    <col min="7169" max="7169" width="4.42578125" style="14" bestFit="1" customWidth="1"/>
    <col min="7170" max="7170" width="13.85546875" style="14" bestFit="1" customWidth="1"/>
    <col min="7171" max="7171" width="11.28515625" style="14" bestFit="1" customWidth="1"/>
    <col min="7172" max="7172" width="14.5703125" style="14" bestFit="1" customWidth="1"/>
    <col min="7173" max="7173" width="4.5703125" style="14" bestFit="1" customWidth="1"/>
    <col min="7174" max="7174" width="22.140625" style="14" bestFit="1" customWidth="1"/>
    <col min="7175" max="7175" width="24.140625" style="14" bestFit="1" customWidth="1"/>
    <col min="7176" max="7176" width="10.7109375" style="14" bestFit="1" customWidth="1"/>
    <col min="7177" max="7177" width="20" style="14" bestFit="1" customWidth="1"/>
    <col min="7178" max="7178" width="11.85546875" style="14" bestFit="1" customWidth="1"/>
    <col min="7179" max="7179" width="10.42578125" style="14" bestFit="1" customWidth="1"/>
    <col min="7180" max="7180" width="42.28515625" style="14" bestFit="1" customWidth="1"/>
    <col min="7181" max="7181" width="13.5703125" style="14" bestFit="1" customWidth="1"/>
    <col min="7182" max="7182" width="7.7109375" style="14" bestFit="1" customWidth="1"/>
    <col min="7183" max="7183" width="10.7109375" style="14" bestFit="1" customWidth="1"/>
    <col min="7184" max="7184" width="9.28515625" style="14" bestFit="1" customWidth="1"/>
    <col min="7185" max="7185" width="8.7109375" style="14" bestFit="1" customWidth="1"/>
    <col min="7186" max="7424" width="9.140625" style="14"/>
    <col min="7425" max="7425" width="4.42578125" style="14" bestFit="1" customWidth="1"/>
    <col min="7426" max="7426" width="13.85546875" style="14" bestFit="1" customWidth="1"/>
    <col min="7427" max="7427" width="11.28515625" style="14" bestFit="1" customWidth="1"/>
    <col min="7428" max="7428" width="14.5703125" style="14" bestFit="1" customWidth="1"/>
    <col min="7429" max="7429" width="4.5703125" style="14" bestFit="1" customWidth="1"/>
    <col min="7430" max="7430" width="22.140625" style="14" bestFit="1" customWidth="1"/>
    <col min="7431" max="7431" width="24.140625" style="14" bestFit="1" customWidth="1"/>
    <col min="7432" max="7432" width="10.7109375" style="14" bestFit="1" customWidth="1"/>
    <col min="7433" max="7433" width="20" style="14" bestFit="1" customWidth="1"/>
    <col min="7434" max="7434" width="11.85546875" style="14" bestFit="1" customWidth="1"/>
    <col min="7435" max="7435" width="10.42578125" style="14" bestFit="1" customWidth="1"/>
    <col min="7436" max="7436" width="42.28515625" style="14" bestFit="1" customWidth="1"/>
    <col min="7437" max="7437" width="13.5703125" style="14" bestFit="1" customWidth="1"/>
    <col min="7438" max="7438" width="7.7109375" style="14" bestFit="1" customWidth="1"/>
    <col min="7439" max="7439" width="10.7109375" style="14" bestFit="1" customWidth="1"/>
    <col min="7440" max="7440" width="9.28515625" style="14" bestFit="1" customWidth="1"/>
    <col min="7441" max="7441" width="8.7109375" style="14" bestFit="1" customWidth="1"/>
    <col min="7442" max="7680" width="9.140625" style="14"/>
    <col min="7681" max="7681" width="4.42578125" style="14" bestFit="1" customWidth="1"/>
    <col min="7682" max="7682" width="13.85546875" style="14" bestFit="1" customWidth="1"/>
    <col min="7683" max="7683" width="11.28515625" style="14" bestFit="1" customWidth="1"/>
    <col min="7684" max="7684" width="14.5703125" style="14" bestFit="1" customWidth="1"/>
    <col min="7685" max="7685" width="4.5703125" style="14" bestFit="1" customWidth="1"/>
    <col min="7686" max="7686" width="22.140625" style="14" bestFit="1" customWidth="1"/>
    <col min="7687" max="7687" width="24.140625" style="14" bestFit="1" customWidth="1"/>
    <col min="7688" max="7688" width="10.7109375" style="14" bestFit="1" customWidth="1"/>
    <col min="7689" max="7689" width="20" style="14" bestFit="1" customWidth="1"/>
    <col min="7690" max="7690" width="11.85546875" style="14" bestFit="1" customWidth="1"/>
    <col min="7691" max="7691" width="10.42578125" style="14" bestFit="1" customWidth="1"/>
    <col min="7692" max="7692" width="42.28515625" style="14" bestFit="1" customWidth="1"/>
    <col min="7693" max="7693" width="13.5703125" style="14" bestFit="1" customWidth="1"/>
    <col min="7694" max="7694" width="7.7109375" style="14" bestFit="1" customWidth="1"/>
    <col min="7695" max="7695" width="10.7109375" style="14" bestFit="1" customWidth="1"/>
    <col min="7696" max="7696" width="9.28515625" style="14" bestFit="1" customWidth="1"/>
    <col min="7697" max="7697" width="8.7109375" style="14" bestFit="1" customWidth="1"/>
    <col min="7698" max="7936" width="9.140625" style="14"/>
    <col min="7937" max="7937" width="4.42578125" style="14" bestFit="1" customWidth="1"/>
    <col min="7938" max="7938" width="13.85546875" style="14" bestFit="1" customWidth="1"/>
    <col min="7939" max="7939" width="11.28515625" style="14" bestFit="1" customWidth="1"/>
    <col min="7940" max="7940" width="14.5703125" style="14" bestFit="1" customWidth="1"/>
    <col min="7941" max="7941" width="4.5703125" style="14" bestFit="1" customWidth="1"/>
    <col min="7942" max="7942" width="22.140625" style="14" bestFit="1" customWidth="1"/>
    <col min="7943" max="7943" width="24.140625" style="14" bestFit="1" customWidth="1"/>
    <col min="7944" max="7944" width="10.7109375" style="14" bestFit="1" customWidth="1"/>
    <col min="7945" max="7945" width="20" style="14" bestFit="1" customWidth="1"/>
    <col min="7946" max="7946" width="11.85546875" style="14" bestFit="1" customWidth="1"/>
    <col min="7947" max="7947" width="10.42578125" style="14" bestFit="1" customWidth="1"/>
    <col min="7948" max="7948" width="42.28515625" style="14" bestFit="1" customWidth="1"/>
    <col min="7949" max="7949" width="13.5703125" style="14" bestFit="1" customWidth="1"/>
    <col min="7950" max="7950" width="7.7109375" style="14" bestFit="1" customWidth="1"/>
    <col min="7951" max="7951" width="10.7109375" style="14" bestFit="1" customWidth="1"/>
    <col min="7952" max="7952" width="9.28515625" style="14" bestFit="1" customWidth="1"/>
    <col min="7953" max="7953" width="8.7109375" style="14" bestFit="1" customWidth="1"/>
    <col min="7954" max="8192" width="9.140625" style="14"/>
    <col min="8193" max="8193" width="4.42578125" style="14" bestFit="1" customWidth="1"/>
    <col min="8194" max="8194" width="13.85546875" style="14" bestFit="1" customWidth="1"/>
    <col min="8195" max="8195" width="11.28515625" style="14" bestFit="1" customWidth="1"/>
    <col min="8196" max="8196" width="14.5703125" style="14" bestFit="1" customWidth="1"/>
    <col min="8197" max="8197" width="4.5703125" style="14" bestFit="1" customWidth="1"/>
    <col min="8198" max="8198" width="22.140625" style="14" bestFit="1" customWidth="1"/>
    <col min="8199" max="8199" width="24.140625" style="14" bestFit="1" customWidth="1"/>
    <col min="8200" max="8200" width="10.7109375" style="14" bestFit="1" customWidth="1"/>
    <col min="8201" max="8201" width="20" style="14" bestFit="1" customWidth="1"/>
    <col min="8202" max="8202" width="11.85546875" style="14" bestFit="1" customWidth="1"/>
    <col min="8203" max="8203" width="10.42578125" style="14" bestFit="1" customWidth="1"/>
    <col min="8204" max="8204" width="42.28515625" style="14" bestFit="1" customWidth="1"/>
    <col min="8205" max="8205" width="13.5703125" style="14" bestFit="1" customWidth="1"/>
    <col min="8206" max="8206" width="7.7109375" style="14" bestFit="1" customWidth="1"/>
    <col min="8207" max="8207" width="10.7109375" style="14" bestFit="1" customWidth="1"/>
    <col min="8208" max="8208" width="9.28515625" style="14" bestFit="1" customWidth="1"/>
    <col min="8209" max="8209" width="8.7109375" style="14" bestFit="1" customWidth="1"/>
    <col min="8210" max="8448" width="9.140625" style="14"/>
    <col min="8449" max="8449" width="4.42578125" style="14" bestFit="1" customWidth="1"/>
    <col min="8450" max="8450" width="13.85546875" style="14" bestFit="1" customWidth="1"/>
    <col min="8451" max="8451" width="11.28515625" style="14" bestFit="1" customWidth="1"/>
    <col min="8452" max="8452" width="14.5703125" style="14" bestFit="1" customWidth="1"/>
    <col min="8453" max="8453" width="4.5703125" style="14" bestFit="1" customWidth="1"/>
    <col min="8454" max="8454" width="22.140625" style="14" bestFit="1" customWidth="1"/>
    <col min="8455" max="8455" width="24.140625" style="14" bestFit="1" customWidth="1"/>
    <col min="8456" max="8456" width="10.7109375" style="14" bestFit="1" customWidth="1"/>
    <col min="8457" max="8457" width="20" style="14" bestFit="1" customWidth="1"/>
    <col min="8458" max="8458" width="11.85546875" style="14" bestFit="1" customWidth="1"/>
    <col min="8459" max="8459" width="10.42578125" style="14" bestFit="1" customWidth="1"/>
    <col min="8460" max="8460" width="42.28515625" style="14" bestFit="1" customWidth="1"/>
    <col min="8461" max="8461" width="13.5703125" style="14" bestFit="1" customWidth="1"/>
    <col min="8462" max="8462" width="7.7109375" style="14" bestFit="1" customWidth="1"/>
    <col min="8463" max="8463" width="10.7109375" style="14" bestFit="1" customWidth="1"/>
    <col min="8464" max="8464" width="9.28515625" style="14" bestFit="1" customWidth="1"/>
    <col min="8465" max="8465" width="8.7109375" style="14" bestFit="1" customWidth="1"/>
    <col min="8466" max="8704" width="9.140625" style="14"/>
    <col min="8705" max="8705" width="4.42578125" style="14" bestFit="1" customWidth="1"/>
    <col min="8706" max="8706" width="13.85546875" style="14" bestFit="1" customWidth="1"/>
    <col min="8707" max="8707" width="11.28515625" style="14" bestFit="1" customWidth="1"/>
    <col min="8708" max="8708" width="14.5703125" style="14" bestFit="1" customWidth="1"/>
    <col min="8709" max="8709" width="4.5703125" style="14" bestFit="1" customWidth="1"/>
    <col min="8710" max="8710" width="22.140625" style="14" bestFit="1" customWidth="1"/>
    <col min="8711" max="8711" width="24.140625" style="14" bestFit="1" customWidth="1"/>
    <col min="8712" max="8712" width="10.7109375" style="14" bestFit="1" customWidth="1"/>
    <col min="8713" max="8713" width="20" style="14" bestFit="1" customWidth="1"/>
    <col min="8714" max="8714" width="11.85546875" style="14" bestFit="1" customWidth="1"/>
    <col min="8715" max="8715" width="10.42578125" style="14" bestFit="1" customWidth="1"/>
    <col min="8716" max="8716" width="42.28515625" style="14" bestFit="1" customWidth="1"/>
    <col min="8717" max="8717" width="13.5703125" style="14" bestFit="1" customWidth="1"/>
    <col min="8718" max="8718" width="7.7109375" style="14" bestFit="1" customWidth="1"/>
    <col min="8719" max="8719" width="10.7109375" style="14" bestFit="1" customWidth="1"/>
    <col min="8720" max="8720" width="9.28515625" style="14" bestFit="1" customWidth="1"/>
    <col min="8721" max="8721" width="8.7109375" style="14" bestFit="1" customWidth="1"/>
    <col min="8722" max="8960" width="9.140625" style="14"/>
    <col min="8961" max="8961" width="4.42578125" style="14" bestFit="1" customWidth="1"/>
    <col min="8962" max="8962" width="13.85546875" style="14" bestFit="1" customWidth="1"/>
    <col min="8963" max="8963" width="11.28515625" style="14" bestFit="1" customWidth="1"/>
    <col min="8964" max="8964" width="14.5703125" style="14" bestFit="1" customWidth="1"/>
    <col min="8965" max="8965" width="4.5703125" style="14" bestFit="1" customWidth="1"/>
    <col min="8966" max="8966" width="22.140625" style="14" bestFit="1" customWidth="1"/>
    <col min="8967" max="8967" width="24.140625" style="14" bestFit="1" customWidth="1"/>
    <col min="8968" max="8968" width="10.7109375" style="14" bestFit="1" customWidth="1"/>
    <col min="8969" max="8969" width="20" style="14" bestFit="1" customWidth="1"/>
    <col min="8970" max="8970" width="11.85546875" style="14" bestFit="1" customWidth="1"/>
    <col min="8971" max="8971" width="10.42578125" style="14" bestFit="1" customWidth="1"/>
    <col min="8972" max="8972" width="42.28515625" style="14" bestFit="1" customWidth="1"/>
    <col min="8973" max="8973" width="13.5703125" style="14" bestFit="1" customWidth="1"/>
    <col min="8974" max="8974" width="7.7109375" style="14" bestFit="1" customWidth="1"/>
    <col min="8975" max="8975" width="10.7109375" style="14" bestFit="1" customWidth="1"/>
    <col min="8976" max="8976" width="9.28515625" style="14" bestFit="1" customWidth="1"/>
    <col min="8977" max="8977" width="8.7109375" style="14" bestFit="1" customWidth="1"/>
    <col min="8978" max="9216" width="9.140625" style="14"/>
    <col min="9217" max="9217" width="4.42578125" style="14" bestFit="1" customWidth="1"/>
    <col min="9218" max="9218" width="13.85546875" style="14" bestFit="1" customWidth="1"/>
    <col min="9219" max="9219" width="11.28515625" style="14" bestFit="1" customWidth="1"/>
    <col min="9220" max="9220" width="14.5703125" style="14" bestFit="1" customWidth="1"/>
    <col min="9221" max="9221" width="4.5703125" style="14" bestFit="1" customWidth="1"/>
    <col min="9222" max="9222" width="22.140625" style="14" bestFit="1" customWidth="1"/>
    <col min="9223" max="9223" width="24.140625" style="14" bestFit="1" customWidth="1"/>
    <col min="9224" max="9224" width="10.7109375" style="14" bestFit="1" customWidth="1"/>
    <col min="9225" max="9225" width="20" style="14" bestFit="1" customWidth="1"/>
    <col min="9226" max="9226" width="11.85546875" style="14" bestFit="1" customWidth="1"/>
    <col min="9227" max="9227" width="10.42578125" style="14" bestFit="1" customWidth="1"/>
    <col min="9228" max="9228" width="42.28515625" style="14" bestFit="1" customWidth="1"/>
    <col min="9229" max="9229" width="13.5703125" style="14" bestFit="1" customWidth="1"/>
    <col min="9230" max="9230" width="7.7109375" style="14" bestFit="1" customWidth="1"/>
    <col min="9231" max="9231" width="10.7109375" style="14" bestFit="1" customWidth="1"/>
    <col min="9232" max="9232" width="9.28515625" style="14" bestFit="1" customWidth="1"/>
    <col min="9233" max="9233" width="8.7109375" style="14" bestFit="1" customWidth="1"/>
    <col min="9234" max="9472" width="9.140625" style="14"/>
    <col min="9473" max="9473" width="4.42578125" style="14" bestFit="1" customWidth="1"/>
    <col min="9474" max="9474" width="13.85546875" style="14" bestFit="1" customWidth="1"/>
    <col min="9475" max="9475" width="11.28515625" style="14" bestFit="1" customWidth="1"/>
    <col min="9476" max="9476" width="14.5703125" style="14" bestFit="1" customWidth="1"/>
    <col min="9477" max="9477" width="4.5703125" style="14" bestFit="1" customWidth="1"/>
    <col min="9478" max="9478" width="22.140625" style="14" bestFit="1" customWidth="1"/>
    <col min="9479" max="9479" width="24.140625" style="14" bestFit="1" customWidth="1"/>
    <col min="9480" max="9480" width="10.7109375" style="14" bestFit="1" customWidth="1"/>
    <col min="9481" max="9481" width="20" style="14" bestFit="1" customWidth="1"/>
    <col min="9482" max="9482" width="11.85546875" style="14" bestFit="1" customWidth="1"/>
    <col min="9483" max="9483" width="10.42578125" style="14" bestFit="1" customWidth="1"/>
    <col min="9484" max="9484" width="42.28515625" style="14" bestFit="1" customWidth="1"/>
    <col min="9485" max="9485" width="13.5703125" style="14" bestFit="1" customWidth="1"/>
    <col min="9486" max="9486" width="7.7109375" style="14" bestFit="1" customWidth="1"/>
    <col min="9487" max="9487" width="10.7109375" style="14" bestFit="1" customWidth="1"/>
    <col min="9488" max="9488" width="9.28515625" style="14" bestFit="1" customWidth="1"/>
    <col min="9489" max="9489" width="8.7109375" style="14" bestFit="1" customWidth="1"/>
    <col min="9490" max="9728" width="9.140625" style="14"/>
    <col min="9729" max="9729" width="4.42578125" style="14" bestFit="1" customWidth="1"/>
    <col min="9730" max="9730" width="13.85546875" style="14" bestFit="1" customWidth="1"/>
    <col min="9731" max="9731" width="11.28515625" style="14" bestFit="1" customWidth="1"/>
    <col min="9732" max="9732" width="14.5703125" style="14" bestFit="1" customWidth="1"/>
    <col min="9733" max="9733" width="4.5703125" style="14" bestFit="1" customWidth="1"/>
    <col min="9734" max="9734" width="22.140625" style="14" bestFit="1" customWidth="1"/>
    <col min="9735" max="9735" width="24.140625" style="14" bestFit="1" customWidth="1"/>
    <col min="9736" max="9736" width="10.7109375" style="14" bestFit="1" customWidth="1"/>
    <col min="9737" max="9737" width="20" style="14" bestFit="1" customWidth="1"/>
    <col min="9738" max="9738" width="11.85546875" style="14" bestFit="1" customWidth="1"/>
    <col min="9739" max="9739" width="10.42578125" style="14" bestFit="1" customWidth="1"/>
    <col min="9740" max="9740" width="42.28515625" style="14" bestFit="1" customWidth="1"/>
    <col min="9741" max="9741" width="13.5703125" style="14" bestFit="1" customWidth="1"/>
    <col min="9742" max="9742" width="7.7109375" style="14" bestFit="1" customWidth="1"/>
    <col min="9743" max="9743" width="10.7109375" style="14" bestFit="1" customWidth="1"/>
    <col min="9744" max="9744" width="9.28515625" style="14" bestFit="1" customWidth="1"/>
    <col min="9745" max="9745" width="8.7109375" style="14" bestFit="1" customWidth="1"/>
    <col min="9746" max="9984" width="9.140625" style="14"/>
    <col min="9985" max="9985" width="4.42578125" style="14" bestFit="1" customWidth="1"/>
    <col min="9986" max="9986" width="13.85546875" style="14" bestFit="1" customWidth="1"/>
    <col min="9987" max="9987" width="11.28515625" style="14" bestFit="1" customWidth="1"/>
    <col min="9988" max="9988" width="14.5703125" style="14" bestFit="1" customWidth="1"/>
    <col min="9989" max="9989" width="4.5703125" style="14" bestFit="1" customWidth="1"/>
    <col min="9990" max="9990" width="22.140625" style="14" bestFit="1" customWidth="1"/>
    <col min="9991" max="9991" width="24.140625" style="14" bestFit="1" customWidth="1"/>
    <col min="9992" max="9992" width="10.7109375" style="14" bestFit="1" customWidth="1"/>
    <col min="9993" max="9993" width="20" style="14" bestFit="1" customWidth="1"/>
    <col min="9994" max="9994" width="11.85546875" style="14" bestFit="1" customWidth="1"/>
    <col min="9995" max="9995" width="10.42578125" style="14" bestFit="1" customWidth="1"/>
    <col min="9996" max="9996" width="42.28515625" style="14" bestFit="1" customWidth="1"/>
    <col min="9997" max="9997" width="13.5703125" style="14" bestFit="1" customWidth="1"/>
    <col min="9998" max="9998" width="7.7109375" style="14" bestFit="1" customWidth="1"/>
    <col min="9999" max="9999" width="10.7109375" style="14" bestFit="1" customWidth="1"/>
    <col min="10000" max="10000" width="9.28515625" style="14" bestFit="1" customWidth="1"/>
    <col min="10001" max="10001" width="8.7109375" style="14" bestFit="1" customWidth="1"/>
    <col min="10002" max="10240" width="9.140625" style="14"/>
    <col min="10241" max="10241" width="4.42578125" style="14" bestFit="1" customWidth="1"/>
    <col min="10242" max="10242" width="13.85546875" style="14" bestFit="1" customWidth="1"/>
    <col min="10243" max="10243" width="11.28515625" style="14" bestFit="1" customWidth="1"/>
    <col min="10244" max="10244" width="14.5703125" style="14" bestFit="1" customWidth="1"/>
    <col min="10245" max="10245" width="4.5703125" style="14" bestFit="1" customWidth="1"/>
    <col min="10246" max="10246" width="22.140625" style="14" bestFit="1" customWidth="1"/>
    <col min="10247" max="10247" width="24.140625" style="14" bestFit="1" customWidth="1"/>
    <col min="10248" max="10248" width="10.7109375" style="14" bestFit="1" customWidth="1"/>
    <col min="10249" max="10249" width="20" style="14" bestFit="1" customWidth="1"/>
    <col min="10250" max="10250" width="11.85546875" style="14" bestFit="1" customWidth="1"/>
    <col min="10251" max="10251" width="10.42578125" style="14" bestFit="1" customWidth="1"/>
    <col min="10252" max="10252" width="42.28515625" style="14" bestFit="1" customWidth="1"/>
    <col min="10253" max="10253" width="13.5703125" style="14" bestFit="1" customWidth="1"/>
    <col min="10254" max="10254" width="7.7109375" style="14" bestFit="1" customWidth="1"/>
    <col min="10255" max="10255" width="10.7109375" style="14" bestFit="1" customWidth="1"/>
    <col min="10256" max="10256" width="9.28515625" style="14" bestFit="1" customWidth="1"/>
    <col min="10257" max="10257" width="8.7109375" style="14" bestFit="1" customWidth="1"/>
    <col min="10258" max="10496" width="9.140625" style="14"/>
    <col min="10497" max="10497" width="4.42578125" style="14" bestFit="1" customWidth="1"/>
    <col min="10498" max="10498" width="13.85546875" style="14" bestFit="1" customWidth="1"/>
    <col min="10499" max="10499" width="11.28515625" style="14" bestFit="1" customWidth="1"/>
    <col min="10500" max="10500" width="14.5703125" style="14" bestFit="1" customWidth="1"/>
    <col min="10501" max="10501" width="4.5703125" style="14" bestFit="1" customWidth="1"/>
    <col min="10502" max="10502" width="22.140625" style="14" bestFit="1" customWidth="1"/>
    <col min="10503" max="10503" width="24.140625" style="14" bestFit="1" customWidth="1"/>
    <col min="10504" max="10504" width="10.7109375" style="14" bestFit="1" customWidth="1"/>
    <col min="10505" max="10505" width="20" style="14" bestFit="1" customWidth="1"/>
    <col min="10506" max="10506" width="11.85546875" style="14" bestFit="1" customWidth="1"/>
    <col min="10507" max="10507" width="10.42578125" style="14" bestFit="1" customWidth="1"/>
    <col min="10508" max="10508" width="42.28515625" style="14" bestFit="1" customWidth="1"/>
    <col min="10509" max="10509" width="13.5703125" style="14" bestFit="1" customWidth="1"/>
    <col min="10510" max="10510" width="7.7109375" style="14" bestFit="1" customWidth="1"/>
    <col min="10511" max="10511" width="10.7109375" style="14" bestFit="1" customWidth="1"/>
    <col min="10512" max="10512" width="9.28515625" style="14" bestFit="1" customWidth="1"/>
    <col min="10513" max="10513" width="8.7109375" style="14" bestFit="1" customWidth="1"/>
    <col min="10514" max="10752" width="9.140625" style="14"/>
    <col min="10753" max="10753" width="4.42578125" style="14" bestFit="1" customWidth="1"/>
    <col min="10754" max="10754" width="13.85546875" style="14" bestFit="1" customWidth="1"/>
    <col min="10755" max="10755" width="11.28515625" style="14" bestFit="1" customWidth="1"/>
    <col min="10756" max="10756" width="14.5703125" style="14" bestFit="1" customWidth="1"/>
    <col min="10757" max="10757" width="4.5703125" style="14" bestFit="1" customWidth="1"/>
    <col min="10758" max="10758" width="22.140625" style="14" bestFit="1" customWidth="1"/>
    <col min="10759" max="10759" width="24.140625" style="14" bestFit="1" customWidth="1"/>
    <col min="10760" max="10760" width="10.7109375" style="14" bestFit="1" customWidth="1"/>
    <col min="10761" max="10761" width="20" style="14" bestFit="1" customWidth="1"/>
    <col min="10762" max="10762" width="11.85546875" style="14" bestFit="1" customWidth="1"/>
    <col min="10763" max="10763" width="10.42578125" style="14" bestFit="1" customWidth="1"/>
    <col min="10764" max="10764" width="42.28515625" style="14" bestFit="1" customWidth="1"/>
    <col min="10765" max="10765" width="13.5703125" style="14" bestFit="1" customWidth="1"/>
    <col min="10766" max="10766" width="7.7109375" style="14" bestFit="1" customWidth="1"/>
    <col min="10767" max="10767" width="10.7109375" style="14" bestFit="1" customWidth="1"/>
    <col min="10768" max="10768" width="9.28515625" style="14" bestFit="1" customWidth="1"/>
    <col min="10769" max="10769" width="8.7109375" style="14" bestFit="1" customWidth="1"/>
    <col min="10770" max="11008" width="9.140625" style="14"/>
    <col min="11009" max="11009" width="4.42578125" style="14" bestFit="1" customWidth="1"/>
    <col min="11010" max="11010" width="13.85546875" style="14" bestFit="1" customWidth="1"/>
    <col min="11011" max="11011" width="11.28515625" style="14" bestFit="1" customWidth="1"/>
    <col min="11012" max="11012" width="14.5703125" style="14" bestFit="1" customWidth="1"/>
    <col min="11013" max="11013" width="4.5703125" style="14" bestFit="1" customWidth="1"/>
    <col min="11014" max="11014" width="22.140625" style="14" bestFit="1" customWidth="1"/>
    <col min="11015" max="11015" width="24.140625" style="14" bestFit="1" customWidth="1"/>
    <col min="11016" max="11016" width="10.7109375" style="14" bestFit="1" customWidth="1"/>
    <col min="11017" max="11017" width="20" style="14" bestFit="1" customWidth="1"/>
    <col min="11018" max="11018" width="11.85546875" style="14" bestFit="1" customWidth="1"/>
    <col min="11019" max="11019" width="10.42578125" style="14" bestFit="1" customWidth="1"/>
    <col min="11020" max="11020" width="42.28515625" style="14" bestFit="1" customWidth="1"/>
    <col min="11021" max="11021" width="13.5703125" style="14" bestFit="1" customWidth="1"/>
    <col min="11022" max="11022" width="7.7109375" style="14" bestFit="1" customWidth="1"/>
    <col min="11023" max="11023" width="10.7109375" style="14" bestFit="1" customWidth="1"/>
    <col min="11024" max="11024" width="9.28515625" style="14" bestFit="1" customWidth="1"/>
    <col min="11025" max="11025" width="8.7109375" style="14" bestFit="1" customWidth="1"/>
    <col min="11026" max="11264" width="9.140625" style="14"/>
    <col min="11265" max="11265" width="4.42578125" style="14" bestFit="1" customWidth="1"/>
    <col min="11266" max="11266" width="13.85546875" style="14" bestFit="1" customWidth="1"/>
    <col min="11267" max="11267" width="11.28515625" style="14" bestFit="1" customWidth="1"/>
    <col min="11268" max="11268" width="14.5703125" style="14" bestFit="1" customWidth="1"/>
    <col min="11269" max="11269" width="4.5703125" style="14" bestFit="1" customWidth="1"/>
    <col min="11270" max="11270" width="22.140625" style="14" bestFit="1" customWidth="1"/>
    <col min="11271" max="11271" width="24.140625" style="14" bestFit="1" customWidth="1"/>
    <col min="11272" max="11272" width="10.7109375" style="14" bestFit="1" customWidth="1"/>
    <col min="11273" max="11273" width="20" style="14" bestFit="1" customWidth="1"/>
    <col min="11274" max="11274" width="11.85546875" style="14" bestFit="1" customWidth="1"/>
    <col min="11275" max="11275" width="10.42578125" style="14" bestFit="1" customWidth="1"/>
    <col min="11276" max="11276" width="42.28515625" style="14" bestFit="1" customWidth="1"/>
    <col min="11277" max="11277" width="13.5703125" style="14" bestFit="1" customWidth="1"/>
    <col min="11278" max="11278" width="7.7109375" style="14" bestFit="1" customWidth="1"/>
    <col min="11279" max="11279" width="10.7109375" style="14" bestFit="1" customWidth="1"/>
    <col min="11280" max="11280" width="9.28515625" style="14" bestFit="1" customWidth="1"/>
    <col min="11281" max="11281" width="8.7109375" style="14" bestFit="1" customWidth="1"/>
    <col min="11282" max="11520" width="9.140625" style="14"/>
    <col min="11521" max="11521" width="4.42578125" style="14" bestFit="1" customWidth="1"/>
    <col min="11522" max="11522" width="13.85546875" style="14" bestFit="1" customWidth="1"/>
    <col min="11523" max="11523" width="11.28515625" style="14" bestFit="1" customWidth="1"/>
    <col min="11524" max="11524" width="14.5703125" style="14" bestFit="1" customWidth="1"/>
    <col min="11525" max="11525" width="4.5703125" style="14" bestFit="1" customWidth="1"/>
    <col min="11526" max="11526" width="22.140625" style="14" bestFit="1" customWidth="1"/>
    <col min="11527" max="11527" width="24.140625" style="14" bestFit="1" customWidth="1"/>
    <col min="11528" max="11528" width="10.7109375" style="14" bestFit="1" customWidth="1"/>
    <col min="11529" max="11529" width="20" style="14" bestFit="1" customWidth="1"/>
    <col min="11530" max="11530" width="11.85546875" style="14" bestFit="1" customWidth="1"/>
    <col min="11531" max="11531" width="10.42578125" style="14" bestFit="1" customWidth="1"/>
    <col min="11532" max="11532" width="42.28515625" style="14" bestFit="1" customWidth="1"/>
    <col min="11533" max="11533" width="13.5703125" style="14" bestFit="1" customWidth="1"/>
    <col min="11534" max="11534" width="7.7109375" style="14" bestFit="1" customWidth="1"/>
    <col min="11535" max="11535" width="10.7109375" style="14" bestFit="1" customWidth="1"/>
    <col min="11536" max="11536" width="9.28515625" style="14" bestFit="1" customWidth="1"/>
    <col min="11537" max="11537" width="8.7109375" style="14" bestFit="1" customWidth="1"/>
    <col min="11538" max="11776" width="9.140625" style="14"/>
    <col min="11777" max="11777" width="4.42578125" style="14" bestFit="1" customWidth="1"/>
    <col min="11778" max="11778" width="13.85546875" style="14" bestFit="1" customWidth="1"/>
    <col min="11779" max="11779" width="11.28515625" style="14" bestFit="1" customWidth="1"/>
    <col min="11780" max="11780" width="14.5703125" style="14" bestFit="1" customWidth="1"/>
    <col min="11781" max="11781" width="4.5703125" style="14" bestFit="1" customWidth="1"/>
    <col min="11782" max="11782" width="22.140625" style="14" bestFit="1" customWidth="1"/>
    <col min="11783" max="11783" width="24.140625" style="14" bestFit="1" customWidth="1"/>
    <col min="11784" max="11784" width="10.7109375" style="14" bestFit="1" customWidth="1"/>
    <col min="11785" max="11785" width="20" style="14" bestFit="1" customWidth="1"/>
    <col min="11786" max="11786" width="11.85546875" style="14" bestFit="1" customWidth="1"/>
    <col min="11787" max="11787" width="10.42578125" style="14" bestFit="1" customWidth="1"/>
    <col min="11788" max="11788" width="42.28515625" style="14" bestFit="1" customWidth="1"/>
    <col min="11789" max="11789" width="13.5703125" style="14" bestFit="1" customWidth="1"/>
    <col min="11790" max="11790" width="7.7109375" style="14" bestFit="1" customWidth="1"/>
    <col min="11791" max="11791" width="10.7109375" style="14" bestFit="1" customWidth="1"/>
    <col min="11792" max="11792" width="9.28515625" style="14" bestFit="1" customWidth="1"/>
    <col min="11793" max="11793" width="8.7109375" style="14" bestFit="1" customWidth="1"/>
    <col min="11794" max="12032" width="9.140625" style="14"/>
    <col min="12033" max="12033" width="4.42578125" style="14" bestFit="1" customWidth="1"/>
    <col min="12034" max="12034" width="13.85546875" style="14" bestFit="1" customWidth="1"/>
    <col min="12035" max="12035" width="11.28515625" style="14" bestFit="1" customWidth="1"/>
    <col min="12036" max="12036" width="14.5703125" style="14" bestFit="1" customWidth="1"/>
    <col min="12037" max="12037" width="4.5703125" style="14" bestFit="1" customWidth="1"/>
    <col min="12038" max="12038" width="22.140625" style="14" bestFit="1" customWidth="1"/>
    <col min="12039" max="12039" width="24.140625" style="14" bestFit="1" customWidth="1"/>
    <col min="12040" max="12040" width="10.7109375" style="14" bestFit="1" customWidth="1"/>
    <col min="12041" max="12041" width="20" style="14" bestFit="1" customWidth="1"/>
    <col min="12042" max="12042" width="11.85546875" style="14" bestFit="1" customWidth="1"/>
    <col min="12043" max="12043" width="10.42578125" style="14" bestFit="1" customWidth="1"/>
    <col min="12044" max="12044" width="42.28515625" style="14" bestFit="1" customWidth="1"/>
    <col min="12045" max="12045" width="13.5703125" style="14" bestFit="1" customWidth="1"/>
    <col min="12046" max="12046" width="7.7109375" style="14" bestFit="1" customWidth="1"/>
    <col min="12047" max="12047" width="10.7109375" style="14" bestFit="1" customWidth="1"/>
    <col min="12048" max="12048" width="9.28515625" style="14" bestFit="1" customWidth="1"/>
    <col min="12049" max="12049" width="8.7109375" style="14" bestFit="1" customWidth="1"/>
    <col min="12050" max="12288" width="9.140625" style="14"/>
    <col min="12289" max="12289" width="4.42578125" style="14" bestFit="1" customWidth="1"/>
    <col min="12290" max="12290" width="13.85546875" style="14" bestFit="1" customWidth="1"/>
    <col min="12291" max="12291" width="11.28515625" style="14" bestFit="1" customWidth="1"/>
    <col min="12292" max="12292" width="14.5703125" style="14" bestFit="1" customWidth="1"/>
    <col min="12293" max="12293" width="4.5703125" style="14" bestFit="1" customWidth="1"/>
    <col min="12294" max="12294" width="22.140625" style="14" bestFit="1" customWidth="1"/>
    <col min="12295" max="12295" width="24.140625" style="14" bestFit="1" customWidth="1"/>
    <col min="12296" max="12296" width="10.7109375" style="14" bestFit="1" customWidth="1"/>
    <col min="12297" max="12297" width="20" style="14" bestFit="1" customWidth="1"/>
    <col min="12298" max="12298" width="11.85546875" style="14" bestFit="1" customWidth="1"/>
    <col min="12299" max="12299" width="10.42578125" style="14" bestFit="1" customWidth="1"/>
    <col min="12300" max="12300" width="42.28515625" style="14" bestFit="1" customWidth="1"/>
    <col min="12301" max="12301" width="13.5703125" style="14" bestFit="1" customWidth="1"/>
    <col min="12302" max="12302" width="7.7109375" style="14" bestFit="1" customWidth="1"/>
    <col min="12303" max="12303" width="10.7109375" style="14" bestFit="1" customWidth="1"/>
    <col min="12304" max="12304" width="9.28515625" style="14" bestFit="1" customWidth="1"/>
    <col min="12305" max="12305" width="8.7109375" style="14" bestFit="1" customWidth="1"/>
    <col min="12306" max="12544" width="9.140625" style="14"/>
    <col min="12545" max="12545" width="4.42578125" style="14" bestFit="1" customWidth="1"/>
    <col min="12546" max="12546" width="13.85546875" style="14" bestFit="1" customWidth="1"/>
    <col min="12547" max="12547" width="11.28515625" style="14" bestFit="1" customWidth="1"/>
    <col min="12548" max="12548" width="14.5703125" style="14" bestFit="1" customWidth="1"/>
    <col min="12549" max="12549" width="4.5703125" style="14" bestFit="1" customWidth="1"/>
    <col min="12550" max="12550" width="22.140625" style="14" bestFit="1" customWidth="1"/>
    <col min="12551" max="12551" width="24.140625" style="14" bestFit="1" customWidth="1"/>
    <col min="12552" max="12552" width="10.7109375" style="14" bestFit="1" customWidth="1"/>
    <col min="12553" max="12553" width="20" style="14" bestFit="1" customWidth="1"/>
    <col min="12554" max="12554" width="11.85546875" style="14" bestFit="1" customWidth="1"/>
    <col min="12555" max="12555" width="10.42578125" style="14" bestFit="1" customWidth="1"/>
    <col min="12556" max="12556" width="42.28515625" style="14" bestFit="1" customWidth="1"/>
    <col min="12557" max="12557" width="13.5703125" style="14" bestFit="1" customWidth="1"/>
    <col min="12558" max="12558" width="7.7109375" style="14" bestFit="1" customWidth="1"/>
    <col min="12559" max="12559" width="10.7109375" style="14" bestFit="1" customWidth="1"/>
    <col min="12560" max="12560" width="9.28515625" style="14" bestFit="1" customWidth="1"/>
    <col min="12561" max="12561" width="8.7109375" style="14" bestFit="1" customWidth="1"/>
    <col min="12562" max="12800" width="9.140625" style="14"/>
    <col min="12801" max="12801" width="4.42578125" style="14" bestFit="1" customWidth="1"/>
    <col min="12802" max="12802" width="13.85546875" style="14" bestFit="1" customWidth="1"/>
    <col min="12803" max="12803" width="11.28515625" style="14" bestFit="1" customWidth="1"/>
    <col min="12804" max="12804" width="14.5703125" style="14" bestFit="1" customWidth="1"/>
    <col min="12805" max="12805" width="4.5703125" style="14" bestFit="1" customWidth="1"/>
    <col min="12806" max="12806" width="22.140625" style="14" bestFit="1" customWidth="1"/>
    <col min="12807" max="12807" width="24.140625" style="14" bestFit="1" customWidth="1"/>
    <col min="12808" max="12808" width="10.7109375" style="14" bestFit="1" customWidth="1"/>
    <col min="12809" max="12809" width="20" style="14" bestFit="1" customWidth="1"/>
    <col min="12810" max="12810" width="11.85546875" style="14" bestFit="1" customWidth="1"/>
    <col min="12811" max="12811" width="10.42578125" style="14" bestFit="1" customWidth="1"/>
    <col min="12812" max="12812" width="42.28515625" style="14" bestFit="1" customWidth="1"/>
    <col min="12813" max="12813" width="13.5703125" style="14" bestFit="1" customWidth="1"/>
    <col min="12814" max="12814" width="7.7109375" style="14" bestFit="1" customWidth="1"/>
    <col min="12815" max="12815" width="10.7109375" style="14" bestFit="1" customWidth="1"/>
    <col min="12816" max="12816" width="9.28515625" style="14" bestFit="1" customWidth="1"/>
    <col min="12817" max="12817" width="8.7109375" style="14" bestFit="1" customWidth="1"/>
    <col min="12818" max="13056" width="9.140625" style="14"/>
    <col min="13057" max="13057" width="4.42578125" style="14" bestFit="1" customWidth="1"/>
    <col min="13058" max="13058" width="13.85546875" style="14" bestFit="1" customWidth="1"/>
    <col min="13059" max="13059" width="11.28515625" style="14" bestFit="1" customWidth="1"/>
    <col min="13060" max="13060" width="14.5703125" style="14" bestFit="1" customWidth="1"/>
    <col min="13061" max="13061" width="4.5703125" style="14" bestFit="1" customWidth="1"/>
    <col min="13062" max="13062" width="22.140625" style="14" bestFit="1" customWidth="1"/>
    <col min="13063" max="13063" width="24.140625" style="14" bestFit="1" customWidth="1"/>
    <col min="13064" max="13064" width="10.7109375" style="14" bestFit="1" customWidth="1"/>
    <col min="13065" max="13065" width="20" style="14" bestFit="1" customWidth="1"/>
    <col min="13066" max="13066" width="11.85546875" style="14" bestFit="1" customWidth="1"/>
    <col min="13067" max="13067" width="10.42578125" style="14" bestFit="1" customWidth="1"/>
    <col min="13068" max="13068" width="42.28515625" style="14" bestFit="1" customWidth="1"/>
    <col min="13069" max="13069" width="13.5703125" style="14" bestFit="1" customWidth="1"/>
    <col min="13070" max="13070" width="7.7109375" style="14" bestFit="1" customWidth="1"/>
    <col min="13071" max="13071" width="10.7109375" style="14" bestFit="1" customWidth="1"/>
    <col min="13072" max="13072" width="9.28515625" style="14" bestFit="1" customWidth="1"/>
    <col min="13073" max="13073" width="8.7109375" style="14" bestFit="1" customWidth="1"/>
    <col min="13074" max="13312" width="9.140625" style="14"/>
    <col min="13313" max="13313" width="4.42578125" style="14" bestFit="1" customWidth="1"/>
    <col min="13314" max="13314" width="13.85546875" style="14" bestFit="1" customWidth="1"/>
    <col min="13315" max="13315" width="11.28515625" style="14" bestFit="1" customWidth="1"/>
    <col min="13316" max="13316" width="14.5703125" style="14" bestFit="1" customWidth="1"/>
    <col min="13317" max="13317" width="4.5703125" style="14" bestFit="1" customWidth="1"/>
    <col min="13318" max="13318" width="22.140625" style="14" bestFit="1" customWidth="1"/>
    <col min="13319" max="13319" width="24.140625" style="14" bestFit="1" customWidth="1"/>
    <col min="13320" max="13320" width="10.7109375" style="14" bestFit="1" customWidth="1"/>
    <col min="13321" max="13321" width="20" style="14" bestFit="1" customWidth="1"/>
    <col min="13322" max="13322" width="11.85546875" style="14" bestFit="1" customWidth="1"/>
    <col min="13323" max="13323" width="10.42578125" style="14" bestFit="1" customWidth="1"/>
    <col min="13324" max="13324" width="42.28515625" style="14" bestFit="1" customWidth="1"/>
    <col min="13325" max="13325" width="13.5703125" style="14" bestFit="1" customWidth="1"/>
    <col min="13326" max="13326" width="7.7109375" style="14" bestFit="1" customWidth="1"/>
    <col min="13327" max="13327" width="10.7109375" style="14" bestFit="1" customWidth="1"/>
    <col min="13328" max="13328" width="9.28515625" style="14" bestFit="1" customWidth="1"/>
    <col min="13329" max="13329" width="8.7109375" style="14" bestFit="1" customWidth="1"/>
    <col min="13330" max="13568" width="9.140625" style="14"/>
    <col min="13569" max="13569" width="4.42578125" style="14" bestFit="1" customWidth="1"/>
    <col min="13570" max="13570" width="13.85546875" style="14" bestFit="1" customWidth="1"/>
    <col min="13571" max="13571" width="11.28515625" style="14" bestFit="1" customWidth="1"/>
    <col min="13572" max="13572" width="14.5703125" style="14" bestFit="1" customWidth="1"/>
    <col min="13573" max="13573" width="4.5703125" style="14" bestFit="1" customWidth="1"/>
    <col min="13574" max="13574" width="22.140625" style="14" bestFit="1" customWidth="1"/>
    <col min="13575" max="13575" width="24.140625" style="14" bestFit="1" customWidth="1"/>
    <col min="13576" max="13576" width="10.7109375" style="14" bestFit="1" customWidth="1"/>
    <col min="13577" max="13577" width="20" style="14" bestFit="1" customWidth="1"/>
    <col min="13578" max="13578" width="11.85546875" style="14" bestFit="1" customWidth="1"/>
    <col min="13579" max="13579" width="10.42578125" style="14" bestFit="1" customWidth="1"/>
    <col min="13580" max="13580" width="42.28515625" style="14" bestFit="1" customWidth="1"/>
    <col min="13581" max="13581" width="13.5703125" style="14" bestFit="1" customWidth="1"/>
    <col min="13582" max="13582" width="7.7109375" style="14" bestFit="1" customWidth="1"/>
    <col min="13583" max="13583" width="10.7109375" style="14" bestFit="1" customWidth="1"/>
    <col min="13584" max="13584" width="9.28515625" style="14" bestFit="1" customWidth="1"/>
    <col min="13585" max="13585" width="8.7109375" style="14" bestFit="1" customWidth="1"/>
    <col min="13586" max="13824" width="9.140625" style="14"/>
    <col min="13825" max="13825" width="4.42578125" style="14" bestFit="1" customWidth="1"/>
    <col min="13826" max="13826" width="13.85546875" style="14" bestFit="1" customWidth="1"/>
    <col min="13827" max="13827" width="11.28515625" style="14" bestFit="1" customWidth="1"/>
    <col min="13828" max="13828" width="14.5703125" style="14" bestFit="1" customWidth="1"/>
    <col min="13829" max="13829" width="4.5703125" style="14" bestFit="1" customWidth="1"/>
    <col min="13830" max="13830" width="22.140625" style="14" bestFit="1" customWidth="1"/>
    <col min="13831" max="13831" width="24.140625" style="14" bestFit="1" customWidth="1"/>
    <col min="13832" max="13832" width="10.7109375" style="14" bestFit="1" customWidth="1"/>
    <col min="13833" max="13833" width="20" style="14" bestFit="1" customWidth="1"/>
    <col min="13834" max="13834" width="11.85546875" style="14" bestFit="1" customWidth="1"/>
    <col min="13835" max="13835" width="10.42578125" style="14" bestFit="1" customWidth="1"/>
    <col min="13836" max="13836" width="42.28515625" style="14" bestFit="1" customWidth="1"/>
    <col min="13837" max="13837" width="13.5703125" style="14" bestFit="1" customWidth="1"/>
    <col min="13838" max="13838" width="7.7109375" style="14" bestFit="1" customWidth="1"/>
    <col min="13839" max="13839" width="10.7109375" style="14" bestFit="1" customWidth="1"/>
    <col min="13840" max="13840" width="9.28515625" style="14" bestFit="1" customWidth="1"/>
    <col min="13841" max="13841" width="8.7109375" style="14" bestFit="1" customWidth="1"/>
    <col min="13842" max="14080" width="9.140625" style="14"/>
    <col min="14081" max="14081" width="4.42578125" style="14" bestFit="1" customWidth="1"/>
    <col min="14082" max="14082" width="13.85546875" style="14" bestFit="1" customWidth="1"/>
    <col min="14083" max="14083" width="11.28515625" style="14" bestFit="1" customWidth="1"/>
    <col min="14084" max="14084" width="14.5703125" style="14" bestFit="1" customWidth="1"/>
    <col min="14085" max="14085" width="4.5703125" style="14" bestFit="1" customWidth="1"/>
    <col min="14086" max="14086" width="22.140625" style="14" bestFit="1" customWidth="1"/>
    <col min="14087" max="14087" width="24.140625" style="14" bestFit="1" customWidth="1"/>
    <col min="14088" max="14088" width="10.7109375" style="14" bestFit="1" customWidth="1"/>
    <col min="14089" max="14089" width="20" style="14" bestFit="1" customWidth="1"/>
    <col min="14090" max="14090" width="11.85546875" style="14" bestFit="1" customWidth="1"/>
    <col min="14091" max="14091" width="10.42578125" style="14" bestFit="1" customWidth="1"/>
    <col min="14092" max="14092" width="42.28515625" style="14" bestFit="1" customWidth="1"/>
    <col min="14093" max="14093" width="13.5703125" style="14" bestFit="1" customWidth="1"/>
    <col min="14094" max="14094" width="7.7109375" style="14" bestFit="1" customWidth="1"/>
    <col min="14095" max="14095" width="10.7109375" style="14" bestFit="1" customWidth="1"/>
    <col min="14096" max="14096" width="9.28515625" style="14" bestFit="1" customWidth="1"/>
    <col min="14097" max="14097" width="8.7109375" style="14" bestFit="1" customWidth="1"/>
    <col min="14098" max="14336" width="9.140625" style="14"/>
    <col min="14337" max="14337" width="4.42578125" style="14" bestFit="1" customWidth="1"/>
    <col min="14338" max="14338" width="13.85546875" style="14" bestFit="1" customWidth="1"/>
    <col min="14339" max="14339" width="11.28515625" style="14" bestFit="1" customWidth="1"/>
    <col min="14340" max="14340" width="14.5703125" style="14" bestFit="1" customWidth="1"/>
    <col min="14341" max="14341" width="4.5703125" style="14" bestFit="1" customWidth="1"/>
    <col min="14342" max="14342" width="22.140625" style="14" bestFit="1" customWidth="1"/>
    <col min="14343" max="14343" width="24.140625" style="14" bestFit="1" customWidth="1"/>
    <col min="14344" max="14344" width="10.7109375" style="14" bestFit="1" customWidth="1"/>
    <col min="14345" max="14345" width="20" style="14" bestFit="1" customWidth="1"/>
    <col min="14346" max="14346" width="11.85546875" style="14" bestFit="1" customWidth="1"/>
    <col min="14347" max="14347" width="10.42578125" style="14" bestFit="1" customWidth="1"/>
    <col min="14348" max="14348" width="42.28515625" style="14" bestFit="1" customWidth="1"/>
    <col min="14349" max="14349" width="13.5703125" style="14" bestFit="1" customWidth="1"/>
    <col min="14350" max="14350" width="7.7109375" style="14" bestFit="1" customWidth="1"/>
    <col min="14351" max="14351" width="10.7109375" style="14" bestFit="1" customWidth="1"/>
    <col min="14352" max="14352" width="9.28515625" style="14" bestFit="1" customWidth="1"/>
    <col min="14353" max="14353" width="8.7109375" style="14" bestFit="1" customWidth="1"/>
    <col min="14354" max="14592" width="9.140625" style="14"/>
    <col min="14593" max="14593" width="4.42578125" style="14" bestFit="1" customWidth="1"/>
    <col min="14594" max="14594" width="13.85546875" style="14" bestFit="1" customWidth="1"/>
    <col min="14595" max="14595" width="11.28515625" style="14" bestFit="1" customWidth="1"/>
    <col min="14596" max="14596" width="14.5703125" style="14" bestFit="1" customWidth="1"/>
    <col min="14597" max="14597" width="4.5703125" style="14" bestFit="1" customWidth="1"/>
    <col min="14598" max="14598" width="22.140625" style="14" bestFit="1" customWidth="1"/>
    <col min="14599" max="14599" width="24.140625" style="14" bestFit="1" customWidth="1"/>
    <col min="14600" max="14600" width="10.7109375" style="14" bestFit="1" customWidth="1"/>
    <col min="14601" max="14601" width="20" style="14" bestFit="1" customWidth="1"/>
    <col min="14602" max="14602" width="11.85546875" style="14" bestFit="1" customWidth="1"/>
    <col min="14603" max="14603" width="10.42578125" style="14" bestFit="1" customWidth="1"/>
    <col min="14604" max="14604" width="42.28515625" style="14" bestFit="1" customWidth="1"/>
    <col min="14605" max="14605" width="13.5703125" style="14" bestFit="1" customWidth="1"/>
    <col min="14606" max="14606" width="7.7109375" style="14" bestFit="1" customWidth="1"/>
    <col min="14607" max="14607" width="10.7109375" style="14" bestFit="1" customWidth="1"/>
    <col min="14608" max="14608" width="9.28515625" style="14" bestFit="1" customWidth="1"/>
    <col min="14609" max="14609" width="8.7109375" style="14" bestFit="1" customWidth="1"/>
    <col min="14610" max="14848" width="9.140625" style="14"/>
    <col min="14849" max="14849" width="4.42578125" style="14" bestFit="1" customWidth="1"/>
    <col min="14850" max="14850" width="13.85546875" style="14" bestFit="1" customWidth="1"/>
    <col min="14851" max="14851" width="11.28515625" style="14" bestFit="1" customWidth="1"/>
    <col min="14852" max="14852" width="14.5703125" style="14" bestFit="1" customWidth="1"/>
    <col min="14853" max="14853" width="4.5703125" style="14" bestFit="1" customWidth="1"/>
    <col min="14854" max="14854" width="22.140625" style="14" bestFit="1" customWidth="1"/>
    <col min="14855" max="14855" width="24.140625" style="14" bestFit="1" customWidth="1"/>
    <col min="14856" max="14856" width="10.7109375" style="14" bestFit="1" customWidth="1"/>
    <col min="14857" max="14857" width="20" style="14" bestFit="1" customWidth="1"/>
    <col min="14858" max="14858" width="11.85546875" style="14" bestFit="1" customWidth="1"/>
    <col min="14859" max="14859" width="10.42578125" style="14" bestFit="1" customWidth="1"/>
    <col min="14860" max="14860" width="42.28515625" style="14" bestFit="1" customWidth="1"/>
    <col min="14861" max="14861" width="13.5703125" style="14" bestFit="1" customWidth="1"/>
    <col min="14862" max="14862" width="7.7109375" style="14" bestFit="1" customWidth="1"/>
    <col min="14863" max="14863" width="10.7109375" style="14" bestFit="1" customWidth="1"/>
    <col min="14864" max="14864" width="9.28515625" style="14" bestFit="1" customWidth="1"/>
    <col min="14865" max="14865" width="8.7109375" style="14" bestFit="1" customWidth="1"/>
    <col min="14866" max="15104" width="9.140625" style="14"/>
    <col min="15105" max="15105" width="4.42578125" style="14" bestFit="1" customWidth="1"/>
    <col min="15106" max="15106" width="13.85546875" style="14" bestFit="1" customWidth="1"/>
    <col min="15107" max="15107" width="11.28515625" style="14" bestFit="1" customWidth="1"/>
    <col min="15108" max="15108" width="14.5703125" style="14" bestFit="1" customWidth="1"/>
    <col min="15109" max="15109" width="4.5703125" style="14" bestFit="1" customWidth="1"/>
    <col min="15110" max="15110" width="22.140625" style="14" bestFit="1" customWidth="1"/>
    <col min="15111" max="15111" width="24.140625" style="14" bestFit="1" customWidth="1"/>
    <col min="15112" max="15112" width="10.7109375" style="14" bestFit="1" customWidth="1"/>
    <col min="15113" max="15113" width="20" style="14" bestFit="1" customWidth="1"/>
    <col min="15114" max="15114" width="11.85546875" style="14" bestFit="1" customWidth="1"/>
    <col min="15115" max="15115" width="10.42578125" style="14" bestFit="1" customWidth="1"/>
    <col min="15116" max="15116" width="42.28515625" style="14" bestFit="1" customWidth="1"/>
    <col min="15117" max="15117" width="13.5703125" style="14" bestFit="1" customWidth="1"/>
    <col min="15118" max="15118" width="7.7109375" style="14" bestFit="1" customWidth="1"/>
    <col min="15119" max="15119" width="10.7109375" style="14" bestFit="1" customWidth="1"/>
    <col min="15120" max="15120" width="9.28515625" style="14" bestFit="1" customWidth="1"/>
    <col min="15121" max="15121" width="8.7109375" style="14" bestFit="1" customWidth="1"/>
    <col min="15122" max="15360" width="9.140625" style="14"/>
    <col min="15361" max="15361" width="4.42578125" style="14" bestFit="1" customWidth="1"/>
    <col min="15362" max="15362" width="13.85546875" style="14" bestFit="1" customWidth="1"/>
    <col min="15363" max="15363" width="11.28515625" style="14" bestFit="1" customWidth="1"/>
    <col min="15364" max="15364" width="14.5703125" style="14" bestFit="1" customWidth="1"/>
    <col min="15365" max="15365" width="4.5703125" style="14" bestFit="1" customWidth="1"/>
    <col min="15366" max="15366" width="22.140625" style="14" bestFit="1" customWidth="1"/>
    <col min="15367" max="15367" width="24.140625" style="14" bestFit="1" customWidth="1"/>
    <col min="15368" max="15368" width="10.7109375" style="14" bestFit="1" customWidth="1"/>
    <col min="15369" max="15369" width="20" style="14" bestFit="1" customWidth="1"/>
    <col min="15370" max="15370" width="11.85546875" style="14" bestFit="1" customWidth="1"/>
    <col min="15371" max="15371" width="10.42578125" style="14" bestFit="1" customWidth="1"/>
    <col min="15372" max="15372" width="42.28515625" style="14" bestFit="1" customWidth="1"/>
    <col min="15373" max="15373" width="13.5703125" style="14" bestFit="1" customWidth="1"/>
    <col min="15374" max="15374" width="7.7109375" style="14" bestFit="1" customWidth="1"/>
    <col min="15375" max="15375" width="10.7109375" style="14" bestFit="1" customWidth="1"/>
    <col min="15376" max="15376" width="9.28515625" style="14" bestFit="1" customWidth="1"/>
    <col min="15377" max="15377" width="8.7109375" style="14" bestFit="1" customWidth="1"/>
    <col min="15378" max="15616" width="9.140625" style="14"/>
    <col min="15617" max="15617" width="4.42578125" style="14" bestFit="1" customWidth="1"/>
    <col min="15618" max="15618" width="13.85546875" style="14" bestFit="1" customWidth="1"/>
    <col min="15619" max="15619" width="11.28515625" style="14" bestFit="1" customWidth="1"/>
    <col min="15620" max="15620" width="14.5703125" style="14" bestFit="1" customWidth="1"/>
    <col min="15621" max="15621" width="4.5703125" style="14" bestFit="1" customWidth="1"/>
    <col min="15622" max="15622" width="22.140625" style="14" bestFit="1" customWidth="1"/>
    <col min="15623" max="15623" width="24.140625" style="14" bestFit="1" customWidth="1"/>
    <col min="15624" max="15624" width="10.7109375" style="14" bestFit="1" customWidth="1"/>
    <col min="15625" max="15625" width="20" style="14" bestFit="1" customWidth="1"/>
    <col min="15626" max="15626" width="11.85546875" style="14" bestFit="1" customWidth="1"/>
    <col min="15627" max="15627" width="10.42578125" style="14" bestFit="1" customWidth="1"/>
    <col min="15628" max="15628" width="42.28515625" style="14" bestFit="1" customWidth="1"/>
    <col min="15629" max="15629" width="13.5703125" style="14" bestFit="1" customWidth="1"/>
    <col min="15630" max="15630" width="7.7109375" style="14" bestFit="1" customWidth="1"/>
    <col min="15631" max="15631" width="10.7109375" style="14" bestFit="1" customWidth="1"/>
    <col min="15632" max="15632" width="9.28515625" style="14" bestFit="1" customWidth="1"/>
    <col min="15633" max="15633" width="8.7109375" style="14" bestFit="1" customWidth="1"/>
    <col min="15634" max="15872" width="9.140625" style="14"/>
    <col min="15873" max="15873" width="4.42578125" style="14" bestFit="1" customWidth="1"/>
    <col min="15874" max="15874" width="13.85546875" style="14" bestFit="1" customWidth="1"/>
    <col min="15875" max="15875" width="11.28515625" style="14" bestFit="1" customWidth="1"/>
    <col min="15876" max="15876" width="14.5703125" style="14" bestFit="1" customWidth="1"/>
    <col min="15877" max="15877" width="4.5703125" style="14" bestFit="1" customWidth="1"/>
    <col min="15878" max="15878" width="22.140625" style="14" bestFit="1" customWidth="1"/>
    <col min="15879" max="15879" width="24.140625" style="14" bestFit="1" customWidth="1"/>
    <col min="15880" max="15880" width="10.7109375" style="14" bestFit="1" customWidth="1"/>
    <col min="15881" max="15881" width="20" style="14" bestFit="1" customWidth="1"/>
    <col min="15882" max="15882" width="11.85546875" style="14" bestFit="1" customWidth="1"/>
    <col min="15883" max="15883" width="10.42578125" style="14" bestFit="1" customWidth="1"/>
    <col min="15884" max="15884" width="42.28515625" style="14" bestFit="1" customWidth="1"/>
    <col min="15885" max="15885" width="13.5703125" style="14" bestFit="1" customWidth="1"/>
    <col min="15886" max="15886" width="7.7109375" style="14" bestFit="1" customWidth="1"/>
    <col min="15887" max="15887" width="10.7109375" style="14" bestFit="1" customWidth="1"/>
    <col min="15888" max="15888" width="9.28515625" style="14" bestFit="1" customWidth="1"/>
    <col min="15889" max="15889" width="8.7109375" style="14" bestFit="1" customWidth="1"/>
    <col min="15890" max="16128" width="9.140625" style="14"/>
    <col min="16129" max="16129" width="4.42578125" style="14" bestFit="1" customWidth="1"/>
    <col min="16130" max="16130" width="13.85546875" style="14" bestFit="1" customWidth="1"/>
    <col min="16131" max="16131" width="11.28515625" style="14" bestFit="1" customWidth="1"/>
    <col min="16132" max="16132" width="14.5703125" style="14" bestFit="1" customWidth="1"/>
    <col min="16133" max="16133" width="4.5703125" style="14" bestFit="1" customWidth="1"/>
    <col min="16134" max="16134" width="22.140625" style="14" bestFit="1" customWidth="1"/>
    <col min="16135" max="16135" width="24.140625" style="14" bestFit="1" customWidth="1"/>
    <col min="16136" max="16136" width="10.7109375" style="14" bestFit="1" customWidth="1"/>
    <col min="16137" max="16137" width="20" style="14" bestFit="1" customWidth="1"/>
    <col min="16138" max="16138" width="11.85546875" style="14" bestFit="1" customWidth="1"/>
    <col min="16139" max="16139" width="10.42578125" style="14" bestFit="1" customWidth="1"/>
    <col min="16140" max="16140" width="42.28515625" style="14" bestFit="1" customWidth="1"/>
    <col min="16141" max="16141" width="13.5703125" style="14" bestFit="1" customWidth="1"/>
    <col min="16142" max="16142" width="7.7109375" style="14" bestFit="1" customWidth="1"/>
    <col min="16143" max="16143" width="10.7109375" style="14" bestFit="1" customWidth="1"/>
    <col min="16144" max="16144" width="9.28515625" style="14" bestFit="1" customWidth="1"/>
    <col min="16145" max="16145" width="8.7109375" style="14" bestFit="1" customWidth="1"/>
    <col min="16146" max="16384" width="9.140625" style="14"/>
  </cols>
  <sheetData>
    <row r="1" spans="1:17" ht="25.5" x14ac:dyDescent="0.2">
      <c r="A1" s="10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0</v>
      </c>
      <c r="I1" s="11" t="s">
        <v>37</v>
      </c>
      <c r="J1" s="11" t="s">
        <v>38</v>
      </c>
      <c r="K1" s="12" t="s">
        <v>39</v>
      </c>
      <c r="L1" s="11" t="s">
        <v>40</v>
      </c>
      <c r="M1" s="11" t="s">
        <v>41</v>
      </c>
      <c r="N1" s="10" t="s">
        <v>42</v>
      </c>
      <c r="O1" s="10" t="s">
        <v>43</v>
      </c>
      <c r="P1" s="10" t="s">
        <v>44</v>
      </c>
      <c r="Q1" s="13" t="s">
        <v>45</v>
      </c>
    </row>
    <row r="2" spans="1:17" ht="15" hidden="1" x14ac:dyDescent="0.25">
      <c r="A2" s="15" t="s">
        <v>46</v>
      </c>
      <c r="B2" s="14" t="s">
        <v>47</v>
      </c>
      <c r="C2" s="14" t="s">
        <v>48</v>
      </c>
      <c r="D2" s="14" t="s">
        <v>49</v>
      </c>
      <c r="E2" s="16" t="s">
        <v>50</v>
      </c>
      <c r="F2" s="14" t="s">
        <v>51</v>
      </c>
      <c r="G2" s="14" t="s">
        <v>52</v>
      </c>
      <c r="H2" s="17">
        <v>5418.9394766711184</v>
      </c>
      <c r="I2" s="14" t="s">
        <v>53</v>
      </c>
      <c r="J2" s="18">
        <v>35292</v>
      </c>
      <c r="K2" s="18">
        <v>22893</v>
      </c>
      <c r="L2" s="14" t="s">
        <v>54</v>
      </c>
      <c r="M2" s="14" t="s">
        <v>55</v>
      </c>
      <c r="N2" s="19">
        <v>105000</v>
      </c>
      <c r="O2" s="19" t="s">
        <v>56</v>
      </c>
      <c r="P2" s="20" t="s">
        <v>57</v>
      </c>
      <c r="Q2" s="14">
        <v>1</v>
      </c>
    </row>
    <row r="3" spans="1:17" ht="15" hidden="1" x14ac:dyDescent="0.25">
      <c r="A3" s="15" t="s">
        <v>58</v>
      </c>
      <c r="B3" s="14" t="s">
        <v>59</v>
      </c>
      <c r="C3" s="14" t="s">
        <v>60</v>
      </c>
      <c r="D3" s="14" t="s">
        <v>61</v>
      </c>
      <c r="E3" s="16" t="s">
        <v>50</v>
      </c>
      <c r="F3" s="14" t="s">
        <v>51</v>
      </c>
      <c r="G3" s="14" t="s">
        <v>62</v>
      </c>
      <c r="H3" s="17">
        <v>12707.398332184133</v>
      </c>
      <c r="I3" s="14" t="s">
        <v>63</v>
      </c>
      <c r="J3" s="18">
        <v>34380</v>
      </c>
      <c r="K3" s="18">
        <v>25186</v>
      </c>
      <c r="L3" s="14" t="s">
        <v>64</v>
      </c>
      <c r="M3" s="14" t="s">
        <v>55</v>
      </c>
      <c r="N3" s="19">
        <v>150020</v>
      </c>
      <c r="O3" s="19" t="s">
        <v>65</v>
      </c>
      <c r="P3" s="20" t="s">
        <v>57</v>
      </c>
      <c r="Q3" s="14">
        <v>1</v>
      </c>
    </row>
    <row r="4" spans="1:17" ht="15" hidden="1" x14ac:dyDescent="0.25">
      <c r="A4" s="15" t="s">
        <v>66</v>
      </c>
      <c r="B4" s="14" t="s">
        <v>67</v>
      </c>
      <c r="C4" s="14" t="s">
        <v>68</v>
      </c>
      <c r="D4" s="14" t="s">
        <v>69</v>
      </c>
      <c r="E4" s="16" t="s">
        <v>50</v>
      </c>
      <c r="F4" s="14" t="s">
        <v>51</v>
      </c>
      <c r="G4" s="14" t="s">
        <v>70</v>
      </c>
      <c r="H4" s="17">
        <v>7041.4857976093836</v>
      </c>
      <c r="I4" s="14" t="s">
        <v>63</v>
      </c>
      <c r="J4" s="18">
        <v>35292</v>
      </c>
      <c r="K4" s="18">
        <v>21979</v>
      </c>
      <c r="L4" s="14" t="s">
        <v>71</v>
      </c>
      <c r="M4" s="14" t="s">
        <v>72</v>
      </c>
      <c r="N4" s="19" t="s">
        <v>73</v>
      </c>
      <c r="O4" s="19" t="s">
        <v>74</v>
      </c>
      <c r="P4" s="20" t="s">
        <v>57</v>
      </c>
      <c r="Q4" s="14">
        <v>1</v>
      </c>
    </row>
    <row r="5" spans="1:17" ht="15" hidden="1" x14ac:dyDescent="0.25">
      <c r="A5" s="15" t="s">
        <v>75</v>
      </c>
      <c r="B5" s="14" t="s">
        <v>76</v>
      </c>
      <c r="C5" s="14" t="s">
        <v>77</v>
      </c>
      <c r="D5" s="14" t="s">
        <v>78</v>
      </c>
      <c r="E5" s="16" t="s">
        <v>50</v>
      </c>
      <c r="F5" s="14" t="s">
        <v>51</v>
      </c>
      <c r="G5" s="14" t="s">
        <v>79</v>
      </c>
      <c r="H5" s="17">
        <v>9017.0352559581006</v>
      </c>
      <c r="I5" s="14" t="s">
        <v>53</v>
      </c>
      <c r="J5" s="18">
        <v>35321</v>
      </c>
      <c r="K5" s="18">
        <v>22059</v>
      </c>
      <c r="L5" s="14" t="s">
        <v>80</v>
      </c>
      <c r="M5" s="14" t="s">
        <v>72</v>
      </c>
      <c r="N5" s="19" t="s">
        <v>81</v>
      </c>
      <c r="O5" s="19" t="s">
        <v>82</v>
      </c>
      <c r="P5" s="20" t="s">
        <v>57</v>
      </c>
      <c r="Q5" s="14">
        <v>1</v>
      </c>
    </row>
    <row r="6" spans="1:17" ht="15" hidden="1" x14ac:dyDescent="0.25">
      <c r="A6" s="15" t="s">
        <v>83</v>
      </c>
      <c r="B6" s="14" t="s">
        <v>84</v>
      </c>
      <c r="C6" s="14" t="s">
        <v>85</v>
      </c>
      <c r="D6" s="14" t="s">
        <v>86</v>
      </c>
      <c r="E6" s="16" t="s">
        <v>87</v>
      </c>
      <c r="F6" s="14" t="s">
        <v>51</v>
      </c>
      <c r="G6" s="14" t="s">
        <v>88</v>
      </c>
      <c r="H6" s="17">
        <v>9510.0582876089993</v>
      </c>
      <c r="I6" s="14" t="s">
        <v>53</v>
      </c>
      <c r="J6" s="18">
        <v>35321</v>
      </c>
      <c r="K6" s="18">
        <v>23891</v>
      </c>
      <c r="L6" s="14" t="s">
        <v>89</v>
      </c>
      <c r="M6" s="14" t="s">
        <v>90</v>
      </c>
      <c r="N6" s="19">
        <v>100034</v>
      </c>
      <c r="O6" s="19" t="s">
        <v>91</v>
      </c>
      <c r="P6" s="20" t="s">
        <v>57</v>
      </c>
      <c r="Q6" s="14">
        <v>1</v>
      </c>
    </row>
    <row r="7" spans="1:17" ht="15" x14ac:dyDescent="0.25">
      <c r="A7" s="15" t="s">
        <v>92</v>
      </c>
      <c r="B7" s="14" t="s">
        <v>93</v>
      </c>
      <c r="C7" s="14" t="s">
        <v>94</v>
      </c>
      <c r="D7" s="14" t="s">
        <v>95</v>
      </c>
      <c r="E7" s="16" t="s">
        <v>87</v>
      </c>
      <c r="F7" s="14" t="s">
        <v>51</v>
      </c>
      <c r="G7" s="14" t="s">
        <v>52</v>
      </c>
      <c r="H7" s="17">
        <v>7191.8240266017674</v>
      </c>
      <c r="I7" s="14" t="s">
        <v>53</v>
      </c>
      <c r="J7" s="18">
        <v>35321</v>
      </c>
      <c r="K7" s="18">
        <v>20104</v>
      </c>
      <c r="L7" s="14" t="s">
        <v>96</v>
      </c>
      <c r="M7" s="14" t="s">
        <v>55</v>
      </c>
      <c r="N7" s="19" t="s">
        <v>97</v>
      </c>
      <c r="O7" s="19" t="s">
        <v>98</v>
      </c>
      <c r="P7" s="20" t="s">
        <v>57</v>
      </c>
      <c r="Q7" s="14">
        <v>1</v>
      </c>
    </row>
    <row r="8" spans="1:17" ht="15" hidden="1" x14ac:dyDescent="0.25">
      <c r="A8" s="15" t="s">
        <v>99</v>
      </c>
      <c r="B8" s="14" t="s">
        <v>100</v>
      </c>
      <c r="C8" s="14" t="s">
        <v>101</v>
      </c>
      <c r="D8" s="14" t="s">
        <v>102</v>
      </c>
      <c r="E8" s="16" t="s">
        <v>50</v>
      </c>
      <c r="F8" s="14" t="s">
        <v>103</v>
      </c>
      <c r="G8" s="14" t="s">
        <v>104</v>
      </c>
      <c r="H8" s="17">
        <v>6209.8910488522833</v>
      </c>
      <c r="I8" s="14" t="s">
        <v>53</v>
      </c>
      <c r="J8" s="18">
        <v>35208</v>
      </c>
      <c r="K8" s="18">
        <v>22949</v>
      </c>
      <c r="L8" s="14" t="s">
        <v>105</v>
      </c>
      <c r="M8" s="14" t="s">
        <v>55</v>
      </c>
      <c r="N8" s="19">
        <v>110002</v>
      </c>
      <c r="O8" s="19" t="s">
        <v>74</v>
      </c>
      <c r="P8" s="20" t="s">
        <v>106</v>
      </c>
      <c r="Q8" s="14">
        <v>2</v>
      </c>
    </row>
    <row r="9" spans="1:17" ht="15" x14ac:dyDescent="0.25">
      <c r="A9" s="15" t="s">
        <v>107</v>
      </c>
      <c r="B9" s="14" t="s">
        <v>5</v>
      </c>
      <c r="C9" s="14" t="s">
        <v>108</v>
      </c>
      <c r="D9" s="14" t="s">
        <v>109</v>
      </c>
      <c r="E9" s="16" t="s">
        <v>87</v>
      </c>
      <c r="F9" s="14" t="s">
        <v>103</v>
      </c>
      <c r="G9" s="14" t="s">
        <v>110</v>
      </c>
      <c r="H9" s="17">
        <v>14613.372183667399</v>
      </c>
      <c r="I9" s="14" t="s">
        <v>63</v>
      </c>
      <c r="J9" s="18">
        <v>35292</v>
      </c>
      <c r="K9" s="18">
        <v>21194</v>
      </c>
      <c r="L9" s="14" t="s">
        <v>111</v>
      </c>
      <c r="M9" s="14" t="s">
        <v>72</v>
      </c>
      <c r="N9" s="19" t="s">
        <v>112</v>
      </c>
      <c r="O9" s="19" t="s">
        <v>113</v>
      </c>
      <c r="P9" s="20" t="s">
        <v>106</v>
      </c>
      <c r="Q9" s="14">
        <v>2</v>
      </c>
    </row>
    <row r="10" spans="1:17" ht="15" x14ac:dyDescent="0.25">
      <c r="A10" s="15" t="s">
        <v>114</v>
      </c>
      <c r="B10" s="14" t="s">
        <v>115</v>
      </c>
      <c r="C10" s="14" t="s">
        <v>85</v>
      </c>
      <c r="D10" s="14" t="s">
        <v>116</v>
      </c>
      <c r="E10" s="16" t="s">
        <v>87</v>
      </c>
      <c r="F10" s="14" t="s">
        <v>103</v>
      </c>
      <c r="G10" s="14" t="s">
        <v>117</v>
      </c>
      <c r="H10" s="17">
        <v>13587.3733966329</v>
      </c>
      <c r="I10" s="14" t="s">
        <v>63</v>
      </c>
      <c r="J10" s="18">
        <v>35451</v>
      </c>
      <c r="K10" s="18">
        <v>24134</v>
      </c>
      <c r="L10" s="14" t="s">
        <v>118</v>
      </c>
      <c r="M10" s="14" t="s">
        <v>55</v>
      </c>
      <c r="N10" s="19">
        <v>154041</v>
      </c>
      <c r="O10" s="19" t="s">
        <v>119</v>
      </c>
      <c r="P10" s="20" t="s">
        <v>120</v>
      </c>
      <c r="Q10" s="14">
        <v>3</v>
      </c>
    </row>
    <row r="11" spans="1:17" ht="15" hidden="1" x14ac:dyDescent="0.25">
      <c r="A11" s="15" t="s">
        <v>121</v>
      </c>
      <c r="B11" s="14" t="s">
        <v>122</v>
      </c>
      <c r="C11" s="14" t="s">
        <v>123</v>
      </c>
      <c r="D11" s="14" t="s">
        <v>124</v>
      </c>
      <c r="E11" s="16" t="s">
        <v>50</v>
      </c>
      <c r="F11" s="14" t="s">
        <v>103</v>
      </c>
      <c r="G11" s="14" t="s">
        <v>125</v>
      </c>
      <c r="H11" s="17">
        <v>15190.4570729188</v>
      </c>
      <c r="I11" s="14" t="s">
        <v>63</v>
      </c>
      <c r="J11" s="18">
        <v>34436</v>
      </c>
      <c r="K11" s="18">
        <v>26821</v>
      </c>
      <c r="L11" s="14" t="s">
        <v>126</v>
      </c>
      <c r="M11" s="14" t="s">
        <v>127</v>
      </c>
      <c r="N11" s="19">
        <v>114099</v>
      </c>
      <c r="O11" s="19" t="s">
        <v>128</v>
      </c>
      <c r="P11" s="20" t="s">
        <v>129</v>
      </c>
      <c r="Q11" s="14">
        <v>4</v>
      </c>
    </row>
    <row r="12" spans="1:17" ht="15" hidden="1" x14ac:dyDescent="0.25">
      <c r="A12" s="15" t="s">
        <v>130</v>
      </c>
      <c r="B12" s="14" t="s">
        <v>131</v>
      </c>
      <c r="C12" s="14" t="s">
        <v>132</v>
      </c>
      <c r="D12" s="14" t="s">
        <v>69</v>
      </c>
      <c r="E12" s="16" t="s">
        <v>50</v>
      </c>
      <c r="F12" s="14" t="s">
        <v>103</v>
      </c>
      <c r="G12" s="14" t="s">
        <v>133</v>
      </c>
      <c r="H12" s="17">
        <v>12169.6033781476</v>
      </c>
      <c r="I12" s="14" t="s">
        <v>134</v>
      </c>
      <c r="J12" s="18">
        <v>35290</v>
      </c>
      <c r="K12" s="18">
        <v>22250</v>
      </c>
      <c r="L12" s="14" t="s">
        <v>135</v>
      </c>
      <c r="M12" s="14" t="s">
        <v>136</v>
      </c>
      <c r="N12" s="19">
        <v>155006</v>
      </c>
      <c r="O12" s="19" t="s">
        <v>137</v>
      </c>
      <c r="P12" s="20" t="s">
        <v>138</v>
      </c>
      <c r="Q12" s="14">
        <v>5</v>
      </c>
    </row>
    <row r="13" spans="1:17" ht="15" hidden="1" x14ac:dyDescent="0.25">
      <c r="A13" s="15" t="s">
        <v>139</v>
      </c>
      <c r="B13" s="14" t="s">
        <v>140</v>
      </c>
      <c r="C13" s="14" t="s">
        <v>141</v>
      </c>
      <c r="D13" s="14" t="s">
        <v>142</v>
      </c>
      <c r="E13" s="16" t="s">
        <v>87</v>
      </c>
      <c r="F13" s="14" t="s">
        <v>143</v>
      </c>
      <c r="G13" s="14" t="s">
        <v>144</v>
      </c>
      <c r="H13" s="17">
        <v>11744.058764424301</v>
      </c>
      <c r="I13" s="14" t="s">
        <v>134</v>
      </c>
      <c r="J13" s="18">
        <v>35122</v>
      </c>
      <c r="K13" s="18">
        <v>24085</v>
      </c>
      <c r="L13" s="14" t="s">
        <v>145</v>
      </c>
      <c r="M13" s="14" t="s">
        <v>55</v>
      </c>
      <c r="N13" s="19" t="s">
        <v>146</v>
      </c>
      <c r="O13" s="19" t="s">
        <v>147</v>
      </c>
      <c r="P13" s="20" t="s">
        <v>148</v>
      </c>
      <c r="Q13" s="14">
        <v>12</v>
      </c>
    </row>
    <row r="14" spans="1:17" ht="15" hidden="1" x14ac:dyDescent="0.25">
      <c r="A14" s="15" t="s">
        <v>149</v>
      </c>
      <c r="B14" s="14" t="s">
        <v>150</v>
      </c>
      <c r="C14" s="14" t="s">
        <v>132</v>
      </c>
      <c r="D14" s="14" t="s">
        <v>151</v>
      </c>
      <c r="E14" s="16" t="s">
        <v>50</v>
      </c>
      <c r="F14" s="14" t="s">
        <v>143</v>
      </c>
      <c r="G14" s="14" t="s">
        <v>152</v>
      </c>
      <c r="H14" s="17">
        <v>10687.814774165099</v>
      </c>
      <c r="I14" s="14" t="s">
        <v>63</v>
      </c>
      <c r="J14" s="18">
        <v>34788</v>
      </c>
      <c r="K14" s="18">
        <v>25186</v>
      </c>
      <c r="L14" s="14" t="s">
        <v>153</v>
      </c>
      <c r="M14" s="14" t="s">
        <v>154</v>
      </c>
      <c r="N14" s="19">
        <v>145037</v>
      </c>
      <c r="O14" s="19" t="s">
        <v>155</v>
      </c>
      <c r="P14" s="20" t="s">
        <v>156</v>
      </c>
      <c r="Q14" s="14">
        <v>13</v>
      </c>
    </row>
    <row r="15" spans="1:17" ht="15" hidden="1" x14ac:dyDescent="0.25">
      <c r="A15" s="15" t="s">
        <v>157</v>
      </c>
      <c r="B15" s="14" t="s">
        <v>158</v>
      </c>
      <c r="C15" s="14" t="s">
        <v>159</v>
      </c>
      <c r="D15" s="14" t="s">
        <v>160</v>
      </c>
      <c r="E15" s="16" t="s">
        <v>50</v>
      </c>
      <c r="F15" s="14" t="s">
        <v>161</v>
      </c>
      <c r="G15" s="14" t="s">
        <v>162</v>
      </c>
      <c r="H15" s="17">
        <v>10721.362397126901</v>
      </c>
      <c r="I15" s="14" t="s">
        <v>63</v>
      </c>
      <c r="J15" s="18">
        <v>35321</v>
      </c>
      <c r="K15" s="18">
        <v>24300</v>
      </c>
      <c r="L15" s="14" t="s">
        <v>163</v>
      </c>
      <c r="M15" s="14" t="s">
        <v>55</v>
      </c>
      <c r="N15" s="19">
        <v>108110</v>
      </c>
      <c r="O15" s="19" t="s">
        <v>164</v>
      </c>
      <c r="P15" s="20" t="s">
        <v>165</v>
      </c>
      <c r="Q15" s="14">
        <v>14</v>
      </c>
    </row>
    <row r="16" spans="1:17" ht="15" hidden="1" x14ac:dyDescent="0.25">
      <c r="A16" s="15" t="s">
        <v>166</v>
      </c>
      <c r="B16" s="14" t="s">
        <v>167</v>
      </c>
      <c r="C16" s="14" t="s">
        <v>168</v>
      </c>
      <c r="D16" s="14" t="s">
        <v>69</v>
      </c>
      <c r="E16" s="16" t="s">
        <v>50</v>
      </c>
      <c r="F16" s="14" t="s">
        <v>161</v>
      </c>
      <c r="G16" s="14" t="s">
        <v>169</v>
      </c>
      <c r="H16" s="17">
        <v>6801.3577514660437</v>
      </c>
      <c r="I16" s="14" t="s">
        <v>53</v>
      </c>
      <c r="J16" s="18">
        <v>35096</v>
      </c>
      <c r="K16" s="18">
        <v>26553</v>
      </c>
      <c r="L16" s="14" t="s">
        <v>170</v>
      </c>
      <c r="M16" s="14" t="s">
        <v>55</v>
      </c>
      <c r="N16" s="19">
        <v>110000</v>
      </c>
      <c r="O16" s="19" t="s">
        <v>74</v>
      </c>
      <c r="P16" s="20" t="s">
        <v>165</v>
      </c>
      <c r="Q16" s="14">
        <v>14</v>
      </c>
    </row>
    <row r="17" spans="1:17" ht="15" hidden="1" x14ac:dyDescent="0.25">
      <c r="A17" s="15" t="s">
        <v>171</v>
      </c>
      <c r="B17" s="14" t="s">
        <v>172</v>
      </c>
      <c r="C17" s="14" t="s">
        <v>173</v>
      </c>
      <c r="D17" s="14" t="s">
        <v>174</v>
      </c>
      <c r="E17" s="16" t="s">
        <v>50</v>
      </c>
      <c r="F17" s="14" t="s">
        <v>161</v>
      </c>
      <c r="G17" s="14" t="s">
        <v>175</v>
      </c>
      <c r="H17" s="17">
        <v>12416.518764765749</v>
      </c>
      <c r="I17" s="14" t="s">
        <v>53</v>
      </c>
      <c r="J17" s="18">
        <v>35292</v>
      </c>
      <c r="K17" s="18">
        <v>25810</v>
      </c>
      <c r="L17" s="14" t="s">
        <v>176</v>
      </c>
      <c r="M17" s="14" t="s">
        <v>55</v>
      </c>
      <c r="N17" s="19">
        <v>115116</v>
      </c>
      <c r="O17" s="19" t="s">
        <v>177</v>
      </c>
      <c r="P17" s="20" t="s">
        <v>165</v>
      </c>
      <c r="Q17" s="14">
        <v>14</v>
      </c>
    </row>
    <row r="18" spans="1:17" ht="15" hidden="1" x14ac:dyDescent="0.25">
      <c r="A18" s="15" t="s">
        <v>178</v>
      </c>
      <c r="B18" s="14" t="s">
        <v>179</v>
      </c>
      <c r="C18" s="14" t="s">
        <v>60</v>
      </c>
      <c r="D18" s="14" t="s">
        <v>102</v>
      </c>
      <c r="E18" s="16" t="s">
        <v>50</v>
      </c>
      <c r="F18" s="14" t="s">
        <v>161</v>
      </c>
      <c r="G18" s="14" t="s">
        <v>169</v>
      </c>
      <c r="H18" s="17">
        <v>6990.5973601102469</v>
      </c>
      <c r="I18" s="14" t="s">
        <v>180</v>
      </c>
      <c r="J18" s="18">
        <v>35445</v>
      </c>
      <c r="K18" s="18">
        <v>26821</v>
      </c>
      <c r="L18" s="14" t="s">
        <v>181</v>
      </c>
      <c r="M18" s="14" t="s">
        <v>90</v>
      </c>
      <c r="N18" s="19">
        <v>123400</v>
      </c>
      <c r="O18" s="19" t="s">
        <v>182</v>
      </c>
      <c r="P18" s="20" t="s">
        <v>165</v>
      </c>
      <c r="Q18" s="14">
        <v>14</v>
      </c>
    </row>
    <row r="19" spans="1:17" ht="15" hidden="1" x14ac:dyDescent="0.25">
      <c r="A19" s="15" t="s">
        <v>183</v>
      </c>
      <c r="B19" s="14" t="s">
        <v>184</v>
      </c>
      <c r="C19" s="14" t="s">
        <v>185</v>
      </c>
      <c r="D19" s="14" t="s">
        <v>186</v>
      </c>
      <c r="E19" s="16" t="s">
        <v>50</v>
      </c>
      <c r="F19" s="14" t="s">
        <v>161</v>
      </c>
      <c r="G19" s="14" t="s">
        <v>187</v>
      </c>
      <c r="H19" s="17">
        <v>9729.7852775936954</v>
      </c>
      <c r="I19" s="14" t="s">
        <v>53</v>
      </c>
      <c r="J19" s="18">
        <v>35208</v>
      </c>
      <c r="K19" s="18">
        <v>21989</v>
      </c>
      <c r="L19" s="14" t="s">
        <v>188</v>
      </c>
      <c r="M19" s="14" t="s">
        <v>55</v>
      </c>
      <c r="N19" s="19">
        <v>100012</v>
      </c>
      <c r="O19" s="19" t="s">
        <v>189</v>
      </c>
      <c r="P19" s="20" t="s">
        <v>165</v>
      </c>
      <c r="Q19" s="14">
        <v>14</v>
      </c>
    </row>
    <row r="20" spans="1:17" ht="15" hidden="1" x14ac:dyDescent="0.25">
      <c r="A20" s="15" t="s">
        <v>190</v>
      </c>
      <c r="B20" s="14" t="s">
        <v>191</v>
      </c>
      <c r="C20" s="14" t="s">
        <v>192</v>
      </c>
      <c r="D20" s="14" t="s">
        <v>49</v>
      </c>
      <c r="E20" s="16" t="s">
        <v>50</v>
      </c>
      <c r="F20" s="14" t="s">
        <v>161</v>
      </c>
      <c r="G20" s="14" t="s">
        <v>193</v>
      </c>
      <c r="H20" s="17">
        <v>11788.046787464711</v>
      </c>
      <c r="I20" s="14" t="s">
        <v>63</v>
      </c>
      <c r="J20" s="18">
        <v>34436</v>
      </c>
      <c r="K20" s="18">
        <v>21115</v>
      </c>
      <c r="L20" s="14" t="s">
        <v>194</v>
      </c>
      <c r="M20" s="14" t="s">
        <v>55</v>
      </c>
      <c r="N20" s="19">
        <v>112192</v>
      </c>
      <c r="O20" s="19" t="s">
        <v>195</v>
      </c>
      <c r="P20" s="20" t="s">
        <v>165</v>
      </c>
      <c r="Q20" s="14">
        <v>14</v>
      </c>
    </row>
    <row r="21" spans="1:17" ht="15" x14ac:dyDescent="0.25">
      <c r="A21" s="15" t="s">
        <v>196</v>
      </c>
      <c r="B21" s="14" t="s">
        <v>197</v>
      </c>
      <c r="C21" s="14" t="s">
        <v>132</v>
      </c>
      <c r="D21" s="14" t="s">
        <v>198</v>
      </c>
      <c r="E21" s="16" t="s">
        <v>50</v>
      </c>
      <c r="F21" s="14" t="s">
        <v>161</v>
      </c>
      <c r="G21" s="14" t="s">
        <v>199</v>
      </c>
      <c r="H21" s="17">
        <v>8592.4044860840258</v>
      </c>
      <c r="I21" s="14" t="s">
        <v>53</v>
      </c>
      <c r="J21" s="18">
        <v>35442</v>
      </c>
      <c r="K21" s="18">
        <v>24134</v>
      </c>
      <c r="L21" s="14" t="s">
        <v>200</v>
      </c>
      <c r="M21" s="14" t="s">
        <v>55</v>
      </c>
      <c r="N21" s="19">
        <v>120219</v>
      </c>
      <c r="O21" s="19" t="s">
        <v>201</v>
      </c>
      <c r="P21" s="20" t="s">
        <v>165</v>
      </c>
      <c r="Q21" s="14">
        <v>14</v>
      </c>
    </row>
    <row r="22" spans="1:17" ht="15" hidden="1" x14ac:dyDescent="0.25">
      <c r="A22" s="15" t="s">
        <v>202</v>
      </c>
      <c r="B22" s="14" t="s">
        <v>203</v>
      </c>
      <c r="C22" s="14" t="s">
        <v>68</v>
      </c>
      <c r="D22" s="14" t="s">
        <v>78</v>
      </c>
      <c r="E22" s="16" t="s">
        <v>50</v>
      </c>
      <c r="F22" s="14" t="s">
        <v>161</v>
      </c>
      <c r="G22" s="14" t="s">
        <v>199</v>
      </c>
      <c r="H22" s="17">
        <v>6318.3004549578254</v>
      </c>
      <c r="I22" s="14" t="s">
        <v>53</v>
      </c>
      <c r="J22" s="18">
        <v>35096</v>
      </c>
      <c r="K22" s="18">
        <v>20433</v>
      </c>
      <c r="L22" s="14" t="s">
        <v>204</v>
      </c>
      <c r="M22" s="14" t="s">
        <v>55</v>
      </c>
      <c r="N22" s="19">
        <v>107114</v>
      </c>
      <c r="O22" s="19" t="s">
        <v>205</v>
      </c>
      <c r="P22" s="20" t="s">
        <v>165</v>
      </c>
      <c r="Q22" s="14">
        <v>14</v>
      </c>
    </row>
    <row r="23" spans="1:17" ht="15" x14ac:dyDescent="0.25">
      <c r="A23" s="15" t="s">
        <v>206</v>
      </c>
      <c r="B23" s="14" t="s">
        <v>207</v>
      </c>
      <c r="C23" s="14" t="s">
        <v>208</v>
      </c>
      <c r="D23" s="14" t="s">
        <v>124</v>
      </c>
      <c r="E23" s="16" t="s">
        <v>50</v>
      </c>
      <c r="F23" s="14" t="s">
        <v>161</v>
      </c>
      <c r="G23" s="14" t="s">
        <v>209</v>
      </c>
      <c r="H23" s="17">
        <v>9118.718256106542</v>
      </c>
      <c r="I23" s="14" t="s">
        <v>53</v>
      </c>
      <c r="J23" s="18">
        <v>35332</v>
      </c>
      <c r="K23" s="18">
        <v>21194</v>
      </c>
      <c r="L23" s="14" t="s">
        <v>210</v>
      </c>
      <c r="M23" s="14" t="s">
        <v>55</v>
      </c>
      <c r="N23" s="19">
        <v>157800</v>
      </c>
      <c r="O23" s="19" t="s">
        <v>211</v>
      </c>
      <c r="P23" s="20" t="s">
        <v>165</v>
      </c>
      <c r="Q23" s="14">
        <v>14</v>
      </c>
    </row>
    <row r="24" spans="1:17" ht="15" hidden="1" x14ac:dyDescent="0.25">
      <c r="A24" s="15" t="s">
        <v>212</v>
      </c>
      <c r="B24" s="14" t="s">
        <v>213</v>
      </c>
      <c r="C24" s="14" t="s">
        <v>185</v>
      </c>
      <c r="D24" s="14" t="s">
        <v>151</v>
      </c>
      <c r="E24" s="16" t="s">
        <v>50</v>
      </c>
      <c r="F24" s="14" t="s">
        <v>161</v>
      </c>
      <c r="G24" s="14" t="s">
        <v>187</v>
      </c>
      <c r="H24" s="17">
        <v>12649.177735950938</v>
      </c>
      <c r="I24" s="14" t="s">
        <v>63</v>
      </c>
      <c r="J24" s="18">
        <v>35290</v>
      </c>
      <c r="K24" s="18">
        <v>22280</v>
      </c>
      <c r="L24" s="14" t="s">
        <v>214</v>
      </c>
      <c r="M24" s="14" t="s">
        <v>215</v>
      </c>
      <c r="N24" s="19" t="s">
        <v>216</v>
      </c>
      <c r="O24" s="19" t="s">
        <v>217</v>
      </c>
      <c r="P24" s="20" t="s">
        <v>165</v>
      </c>
      <c r="Q24" s="14">
        <v>14</v>
      </c>
    </row>
    <row r="25" spans="1:17" ht="15" hidden="1" x14ac:dyDescent="0.25">
      <c r="A25" s="15" t="s">
        <v>218</v>
      </c>
      <c r="B25" s="14" t="s">
        <v>219</v>
      </c>
      <c r="C25" s="14" t="s">
        <v>220</v>
      </c>
      <c r="D25" s="14" t="s">
        <v>124</v>
      </c>
      <c r="E25" s="16" t="s">
        <v>50</v>
      </c>
      <c r="F25" s="14" t="s">
        <v>161</v>
      </c>
      <c r="G25" s="14" t="s">
        <v>175</v>
      </c>
      <c r="H25" s="17">
        <v>9575.1729492277009</v>
      </c>
      <c r="I25" s="14" t="s">
        <v>180</v>
      </c>
      <c r="J25" s="18">
        <v>35451</v>
      </c>
      <c r="K25" s="18">
        <v>27551</v>
      </c>
      <c r="L25" s="14" t="s">
        <v>221</v>
      </c>
      <c r="M25" s="14" t="s">
        <v>55</v>
      </c>
      <c r="N25" s="19">
        <v>113654</v>
      </c>
      <c r="O25" s="19" t="s">
        <v>222</v>
      </c>
      <c r="P25" s="20" t="s">
        <v>165</v>
      </c>
      <c r="Q25" s="14">
        <v>14</v>
      </c>
    </row>
    <row r="26" spans="1:17" ht="15" hidden="1" x14ac:dyDescent="0.25">
      <c r="A26" s="15" t="s">
        <v>223</v>
      </c>
      <c r="B26" s="14" t="s">
        <v>224</v>
      </c>
      <c r="C26" s="14" t="s">
        <v>132</v>
      </c>
      <c r="D26" s="14" t="s">
        <v>225</v>
      </c>
      <c r="E26" s="16" t="s">
        <v>50</v>
      </c>
      <c r="F26" s="14" t="s">
        <v>161</v>
      </c>
      <c r="G26" s="14" t="s">
        <v>187</v>
      </c>
      <c r="H26" s="17">
        <v>9186.8043650826003</v>
      </c>
      <c r="I26" s="14" t="s">
        <v>180</v>
      </c>
      <c r="J26" s="18">
        <v>35290</v>
      </c>
      <c r="K26" s="18">
        <v>22065</v>
      </c>
      <c r="L26" s="14" t="s">
        <v>226</v>
      </c>
      <c r="M26" s="14" t="s">
        <v>55</v>
      </c>
      <c r="N26" s="19" t="s">
        <v>227</v>
      </c>
      <c r="O26" s="19" t="s">
        <v>228</v>
      </c>
      <c r="P26" s="20" t="s">
        <v>165</v>
      </c>
      <c r="Q26" s="14">
        <v>14</v>
      </c>
    </row>
    <row r="27" spans="1:17" ht="15" hidden="1" x14ac:dyDescent="0.25">
      <c r="A27" s="15" t="s">
        <v>229</v>
      </c>
      <c r="B27" s="14" t="s">
        <v>230</v>
      </c>
      <c r="C27" s="14" t="s">
        <v>231</v>
      </c>
      <c r="D27" s="14" t="s">
        <v>142</v>
      </c>
      <c r="E27" s="16" t="s">
        <v>87</v>
      </c>
      <c r="F27" s="14" t="s">
        <v>161</v>
      </c>
      <c r="G27" s="14" t="s">
        <v>144</v>
      </c>
      <c r="H27" s="17">
        <v>13552.180889683978</v>
      </c>
      <c r="I27" s="14" t="s">
        <v>63</v>
      </c>
      <c r="J27" s="18">
        <v>35208</v>
      </c>
      <c r="K27" s="18">
        <v>22927</v>
      </c>
      <c r="L27" s="14" t="s">
        <v>232</v>
      </c>
      <c r="M27" s="14" t="s">
        <v>233</v>
      </c>
      <c r="N27" s="19">
        <v>113020</v>
      </c>
      <c r="O27" s="19" t="s">
        <v>234</v>
      </c>
      <c r="P27" s="20" t="s">
        <v>165</v>
      </c>
      <c r="Q27" s="14">
        <v>14</v>
      </c>
    </row>
    <row r="28" spans="1:17" ht="15" hidden="1" x14ac:dyDescent="0.25">
      <c r="A28" s="15" t="s">
        <v>235</v>
      </c>
      <c r="B28" s="14" t="s">
        <v>236</v>
      </c>
      <c r="C28" s="14" t="s">
        <v>237</v>
      </c>
      <c r="D28" s="14" t="s">
        <v>238</v>
      </c>
      <c r="E28" s="16" t="s">
        <v>87</v>
      </c>
      <c r="F28" s="14" t="s">
        <v>161</v>
      </c>
      <c r="G28" s="14" t="s">
        <v>239</v>
      </c>
      <c r="H28" s="17">
        <v>11129.8708790295</v>
      </c>
      <c r="I28" s="14" t="s">
        <v>63</v>
      </c>
      <c r="J28" s="18">
        <v>35332</v>
      </c>
      <c r="K28" s="18">
        <v>24085</v>
      </c>
      <c r="L28" s="14" t="s">
        <v>240</v>
      </c>
      <c r="M28" s="14" t="s">
        <v>241</v>
      </c>
      <c r="N28" s="19">
        <v>143430</v>
      </c>
      <c r="O28" s="19" t="s">
        <v>242</v>
      </c>
      <c r="P28" s="20" t="s">
        <v>165</v>
      </c>
      <c r="Q28" s="14">
        <v>14</v>
      </c>
    </row>
    <row r="29" spans="1:17" ht="15" hidden="1" x14ac:dyDescent="0.25">
      <c r="A29" s="15" t="s">
        <v>243</v>
      </c>
      <c r="B29" s="14" t="s">
        <v>244</v>
      </c>
      <c r="C29" s="14" t="s">
        <v>108</v>
      </c>
      <c r="D29" s="14" t="s">
        <v>238</v>
      </c>
      <c r="E29" s="16" t="s">
        <v>87</v>
      </c>
      <c r="F29" s="14" t="s">
        <v>143</v>
      </c>
      <c r="G29" s="14" t="s">
        <v>245</v>
      </c>
      <c r="H29" s="17">
        <v>6741.1748858595456</v>
      </c>
      <c r="I29" s="14" t="s">
        <v>53</v>
      </c>
      <c r="J29" s="18">
        <v>34955</v>
      </c>
      <c r="K29" s="18">
        <v>23891</v>
      </c>
      <c r="L29" s="14" t="s">
        <v>246</v>
      </c>
      <c r="M29" s="14" t="s">
        <v>55</v>
      </c>
      <c r="N29" s="19">
        <v>125026</v>
      </c>
      <c r="O29" s="19" t="s">
        <v>247</v>
      </c>
      <c r="P29" s="20" t="s">
        <v>248</v>
      </c>
      <c r="Q29" s="14">
        <v>15</v>
      </c>
    </row>
    <row r="30" spans="1:17" ht="15" hidden="1" x14ac:dyDescent="0.25">
      <c r="A30" s="15" t="s">
        <v>249</v>
      </c>
      <c r="B30" s="14" t="s">
        <v>250</v>
      </c>
      <c r="C30" s="14" t="s">
        <v>251</v>
      </c>
      <c r="D30" s="14" t="s">
        <v>252</v>
      </c>
      <c r="E30" s="16" t="s">
        <v>87</v>
      </c>
      <c r="F30" s="14" t="s">
        <v>143</v>
      </c>
      <c r="G30" s="14" t="s">
        <v>253</v>
      </c>
      <c r="H30" s="17">
        <v>12924.048181149799</v>
      </c>
      <c r="I30" s="14" t="s">
        <v>63</v>
      </c>
      <c r="J30" s="18">
        <v>35032</v>
      </c>
      <c r="K30" s="18">
        <v>22893</v>
      </c>
      <c r="L30" s="14" t="s">
        <v>254</v>
      </c>
      <c r="M30" s="14" t="s">
        <v>55</v>
      </c>
      <c r="N30" s="19">
        <v>117740</v>
      </c>
      <c r="O30" s="19" t="s">
        <v>255</v>
      </c>
      <c r="P30" s="20" t="s">
        <v>248</v>
      </c>
      <c r="Q30" s="14">
        <v>15</v>
      </c>
    </row>
    <row r="31" spans="1:17" ht="15" x14ac:dyDescent="0.25">
      <c r="A31" s="15" t="s">
        <v>256</v>
      </c>
      <c r="B31" s="14" t="s">
        <v>257</v>
      </c>
      <c r="C31" s="14" t="s">
        <v>258</v>
      </c>
      <c r="D31" s="14" t="s">
        <v>259</v>
      </c>
      <c r="E31" s="16" t="s">
        <v>50</v>
      </c>
      <c r="F31" s="14" t="s">
        <v>143</v>
      </c>
      <c r="G31" s="14" t="s">
        <v>104</v>
      </c>
      <c r="H31" s="17">
        <v>11395.712607802161</v>
      </c>
      <c r="I31" s="14" t="s">
        <v>134</v>
      </c>
      <c r="J31" s="18">
        <v>35460</v>
      </c>
      <c r="K31" s="18">
        <v>20104</v>
      </c>
      <c r="L31" s="14" t="s">
        <v>260</v>
      </c>
      <c r="M31" s="14" t="s">
        <v>261</v>
      </c>
      <c r="N31" s="19" t="s">
        <v>262</v>
      </c>
      <c r="O31" s="19" t="s">
        <v>74</v>
      </c>
      <c r="P31" s="20" t="s">
        <v>263</v>
      </c>
      <c r="Q31" s="14">
        <v>16</v>
      </c>
    </row>
    <row r="32" spans="1:17" ht="15" hidden="1" x14ac:dyDescent="0.25">
      <c r="A32" s="15" t="s">
        <v>264</v>
      </c>
      <c r="B32" s="14" t="s">
        <v>265</v>
      </c>
      <c r="C32" s="14" t="s">
        <v>266</v>
      </c>
      <c r="D32" s="14" t="s">
        <v>267</v>
      </c>
      <c r="E32" s="16" t="s">
        <v>87</v>
      </c>
      <c r="F32" s="14" t="s">
        <v>268</v>
      </c>
      <c r="G32" s="14" t="s">
        <v>144</v>
      </c>
      <c r="H32" s="17">
        <v>10238.0106795096</v>
      </c>
      <c r="I32" s="14" t="s">
        <v>134</v>
      </c>
      <c r="J32" s="18">
        <v>35442</v>
      </c>
      <c r="K32" s="18">
        <v>24300</v>
      </c>
      <c r="L32" s="14" t="s">
        <v>269</v>
      </c>
      <c r="M32" s="14" t="s">
        <v>270</v>
      </c>
      <c r="N32" s="19">
        <v>193000</v>
      </c>
      <c r="O32" s="19" t="s">
        <v>271</v>
      </c>
      <c r="P32" s="20" t="s">
        <v>272</v>
      </c>
      <c r="Q32" s="14">
        <v>17</v>
      </c>
    </row>
    <row r="33" spans="1:17" ht="15" hidden="1" x14ac:dyDescent="0.25">
      <c r="A33" s="15" t="s">
        <v>273</v>
      </c>
      <c r="B33" s="14" t="s">
        <v>274</v>
      </c>
      <c r="C33" s="14" t="s">
        <v>266</v>
      </c>
      <c r="D33" s="14" t="s">
        <v>95</v>
      </c>
      <c r="E33" s="16" t="s">
        <v>87</v>
      </c>
      <c r="F33" s="14" t="s">
        <v>268</v>
      </c>
      <c r="G33" s="14" t="s">
        <v>275</v>
      </c>
      <c r="H33" s="17">
        <v>10389.8779733723</v>
      </c>
      <c r="I33" s="14" t="s">
        <v>53</v>
      </c>
      <c r="J33" s="18">
        <v>35096</v>
      </c>
      <c r="K33" s="18">
        <v>25810</v>
      </c>
      <c r="L33" s="14" t="s">
        <v>276</v>
      </c>
      <c r="M33" s="14" t="s">
        <v>127</v>
      </c>
      <c r="N33" s="19" t="s">
        <v>277</v>
      </c>
      <c r="O33" s="19" t="s">
        <v>278</v>
      </c>
      <c r="P33" s="20" t="s">
        <v>279</v>
      </c>
      <c r="Q33" s="14">
        <v>18</v>
      </c>
    </row>
    <row r="34" spans="1:17" ht="15" hidden="1" x14ac:dyDescent="0.25">
      <c r="A34" s="15" t="s">
        <v>280</v>
      </c>
      <c r="B34" s="14" t="s">
        <v>281</v>
      </c>
      <c r="C34" s="14" t="s">
        <v>94</v>
      </c>
      <c r="D34" s="14" t="s">
        <v>282</v>
      </c>
      <c r="E34" s="16" t="s">
        <v>87</v>
      </c>
      <c r="F34" s="14" t="s">
        <v>268</v>
      </c>
      <c r="G34" s="14" t="s">
        <v>253</v>
      </c>
      <c r="H34" s="17">
        <v>11142.1670754684</v>
      </c>
      <c r="I34" s="14" t="s">
        <v>63</v>
      </c>
      <c r="J34" s="18">
        <v>35208</v>
      </c>
      <c r="K34" s="18">
        <v>22913</v>
      </c>
      <c r="L34" s="14" t="s">
        <v>283</v>
      </c>
      <c r="M34" s="14" t="s">
        <v>72</v>
      </c>
      <c r="N34" s="19">
        <v>193001</v>
      </c>
      <c r="O34" s="19" t="s">
        <v>284</v>
      </c>
      <c r="P34" s="20" t="s">
        <v>279</v>
      </c>
      <c r="Q34" s="14">
        <v>18</v>
      </c>
    </row>
    <row r="35" spans="1:17" ht="15" hidden="1" x14ac:dyDescent="0.25">
      <c r="A35" s="15" t="s">
        <v>285</v>
      </c>
      <c r="B35" s="14" t="s">
        <v>286</v>
      </c>
      <c r="C35" s="14" t="s">
        <v>287</v>
      </c>
      <c r="D35" s="14" t="s">
        <v>288</v>
      </c>
      <c r="E35" s="16" t="s">
        <v>50</v>
      </c>
      <c r="F35" s="14" t="s">
        <v>289</v>
      </c>
      <c r="G35" s="14" t="s">
        <v>239</v>
      </c>
      <c r="H35" s="17">
        <v>11477.095535836535</v>
      </c>
      <c r="I35" s="14" t="s">
        <v>63</v>
      </c>
      <c r="J35" s="18">
        <v>35208</v>
      </c>
      <c r="K35" s="18">
        <v>25186</v>
      </c>
      <c r="L35" s="14" t="s">
        <v>290</v>
      </c>
      <c r="M35" s="14" t="s">
        <v>55</v>
      </c>
      <c r="N35" s="19">
        <v>112378</v>
      </c>
      <c r="O35" s="19" t="s">
        <v>291</v>
      </c>
      <c r="P35" s="20" t="s">
        <v>292</v>
      </c>
      <c r="Q35" s="14">
        <v>19</v>
      </c>
    </row>
    <row r="36" spans="1:17" ht="15" hidden="1" x14ac:dyDescent="0.25">
      <c r="A36" s="15" t="s">
        <v>293</v>
      </c>
      <c r="B36" s="14" t="s">
        <v>294</v>
      </c>
      <c r="C36" s="14" t="s">
        <v>68</v>
      </c>
      <c r="D36" s="14" t="s">
        <v>124</v>
      </c>
      <c r="E36" s="16" t="s">
        <v>50</v>
      </c>
      <c r="F36" s="14" t="s">
        <v>289</v>
      </c>
      <c r="G36" s="14" t="s">
        <v>239</v>
      </c>
      <c r="H36" s="17">
        <v>5742.2490484559476</v>
      </c>
      <c r="I36" s="14" t="s">
        <v>63</v>
      </c>
      <c r="J36" s="18">
        <v>35290</v>
      </c>
      <c r="K36" s="18">
        <v>23891</v>
      </c>
      <c r="L36" s="14" t="s">
        <v>295</v>
      </c>
      <c r="M36" s="14" t="s">
        <v>55</v>
      </c>
      <c r="N36" s="19">
        <v>112432</v>
      </c>
      <c r="O36" s="19" t="s">
        <v>296</v>
      </c>
      <c r="P36" s="20" t="s">
        <v>292</v>
      </c>
      <c r="Q36" s="14">
        <v>19</v>
      </c>
    </row>
    <row r="37" spans="1:17" ht="15" hidden="1" x14ac:dyDescent="0.25">
      <c r="A37" s="15" t="s">
        <v>297</v>
      </c>
      <c r="B37" s="14" t="s">
        <v>298</v>
      </c>
      <c r="C37" s="14" t="s">
        <v>299</v>
      </c>
      <c r="D37" s="14" t="s">
        <v>300</v>
      </c>
      <c r="E37" s="16" t="s">
        <v>50</v>
      </c>
      <c r="F37" s="14" t="s">
        <v>289</v>
      </c>
      <c r="G37" s="14" t="s">
        <v>144</v>
      </c>
      <c r="H37" s="17">
        <v>8081.7875863473264</v>
      </c>
      <c r="I37" s="14" t="s">
        <v>134</v>
      </c>
      <c r="J37" s="18">
        <v>35096</v>
      </c>
      <c r="K37" s="18">
        <v>24085</v>
      </c>
      <c r="L37" s="14" t="s">
        <v>301</v>
      </c>
      <c r="M37" s="14" t="s">
        <v>55</v>
      </c>
      <c r="N37" s="19">
        <v>132098</v>
      </c>
      <c r="O37" s="19" t="s">
        <v>302</v>
      </c>
      <c r="P37" s="20" t="s">
        <v>292</v>
      </c>
      <c r="Q37" s="14">
        <v>19</v>
      </c>
    </row>
    <row r="38" spans="1:17" ht="15" hidden="1" x14ac:dyDescent="0.25">
      <c r="A38" s="15" t="s">
        <v>303</v>
      </c>
      <c r="B38" s="14" t="s">
        <v>304</v>
      </c>
      <c r="C38" s="14" t="s">
        <v>185</v>
      </c>
      <c r="D38" s="14" t="s">
        <v>305</v>
      </c>
      <c r="E38" s="16" t="s">
        <v>50</v>
      </c>
      <c r="F38" s="14" t="s">
        <v>289</v>
      </c>
      <c r="G38" s="14" t="s">
        <v>104</v>
      </c>
      <c r="H38" s="17">
        <v>7611.2957853310199</v>
      </c>
      <c r="I38" s="14" t="s">
        <v>134</v>
      </c>
      <c r="J38" s="18">
        <v>35332</v>
      </c>
      <c r="K38" s="18">
        <v>22893</v>
      </c>
      <c r="L38" s="14" t="s">
        <v>306</v>
      </c>
      <c r="M38" s="14" t="s">
        <v>55</v>
      </c>
      <c r="N38" s="19">
        <v>101765</v>
      </c>
      <c r="O38" s="19" t="s">
        <v>307</v>
      </c>
      <c r="P38" s="20" t="s">
        <v>292</v>
      </c>
      <c r="Q38" s="14">
        <v>19</v>
      </c>
    </row>
    <row r="39" spans="1:17" ht="15" x14ac:dyDescent="0.25">
      <c r="A39" s="15" t="s">
        <v>308</v>
      </c>
      <c r="B39" s="14" t="s">
        <v>309</v>
      </c>
      <c r="C39" s="14" t="s">
        <v>168</v>
      </c>
      <c r="D39" s="14" t="s">
        <v>310</v>
      </c>
      <c r="E39" s="16" t="s">
        <v>50</v>
      </c>
      <c r="F39" s="14" t="s">
        <v>289</v>
      </c>
      <c r="G39" s="14" t="s">
        <v>311</v>
      </c>
      <c r="H39" s="17">
        <v>14336.118175428066</v>
      </c>
      <c r="I39" s="14" t="s">
        <v>63</v>
      </c>
      <c r="J39" s="18">
        <v>34380</v>
      </c>
      <c r="K39" s="18">
        <v>23757</v>
      </c>
      <c r="L39" s="14" t="s">
        <v>312</v>
      </c>
      <c r="M39" s="14" t="s">
        <v>55</v>
      </c>
      <c r="N39" s="19">
        <v>122307</v>
      </c>
      <c r="O39" s="19" t="s">
        <v>313</v>
      </c>
      <c r="P39" s="20" t="s">
        <v>292</v>
      </c>
      <c r="Q39" s="14">
        <v>19</v>
      </c>
    </row>
    <row r="40" spans="1:17" ht="15" hidden="1" x14ac:dyDescent="0.25">
      <c r="A40" s="15" t="s">
        <v>314</v>
      </c>
      <c r="B40" s="14" t="s">
        <v>315</v>
      </c>
      <c r="C40" s="14" t="s">
        <v>316</v>
      </c>
      <c r="D40" s="14" t="s">
        <v>317</v>
      </c>
      <c r="E40" s="16" t="s">
        <v>50</v>
      </c>
      <c r="F40" s="14" t="s">
        <v>268</v>
      </c>
      <c r="G40" s="14" t="s">
        <v>104</v>
      </c>
      <c r="H40" s="17">
        <v>9406.7912250329755</v>
      </c>
      <c r="I40" s="14" t="s">
        <v>53</v>
      </c>
      <c r="J40" s="18">
        <v>35122</v>
      </c>
      <c r="K40" s="18">
        <v>22065</v>
      </c>
      <c r="L40" s="14" t="s">
        <v>318</v>
      </c>
      <c r="M40" s="14" t="s">
        <v>319</v>
      </c>
      <c r="N40" s="19" t="s">
        <v>320</v>
      </c>
      <c r="O40" s="19" t="s">
        <v>321</v>
      </c>
      <c r="P40" s="20" t="s">
        <v>322</v>
      </c>
      <c r="Q40" s="14">
        <v>20</v>
      </c>
    </row>
    <row r="41" spans="1:17" ht="15" hidden="1" x14ac:dyDescent="0.25">
      <c r="A41" s="15" t="s">
        <v>323</v>
      </c>
      <c r="B41" s="14" t="s">
        <v>324</v>
      </c>
      <c r="C41" s="14" t="s">
        <v>325</v>
      </c>
      <c r="D41" s="14" t="s">
        <v>326</v>
      </c>
      <c r="E41" s="16" t="s">
        <v>50</v>
      </c>
      <c r="F41" s="14" t="s">
        <v>268</v>
      </c>
      <c r="G41" s="14" t="s">
        <v>253</v>
      </c>
      <c r="H41" s="17">
        <v>10117.7278312244</v>
      </c>
      <c r="I41" s="14" t="s">
        <v>134</v>
      </c>
      <c r="J41" s="18">
        <v>35258</v>
      </c>
      <c r="K41" s="18">
        <v>21979</v>
      </c>
      <c r="L41" s="14" t="s">
        <v>327</v>
      </c>
      <c r="M41" s="14" t="s">
        <v>55</v>
      </c>
      <c r="N41" s="19">
        <v>193002</v>
      </c>
      <c r="O41" s="19" t="s">
        <v>328</v>
      </c>
      <c r="P41" s="20" t="s">
        <v>322</v>
      </c>
      <c r="Q41" s="14">
        <v>20</v>
      </c>
    </row>
    <row r="42" spans="1:17" ht="15" x14ac:dyDescent="0.25">
      <c r="A42" s="15" t="s">
        <v>329</v>
      </c>
      <c r="B42" s="14" t="s">
        <v>330</v>
      </c>
      <c r="C42" s="14" t="s">
        <v>331</v>
      </c>
      <c r="D42" s="14" t="s">
        <v>116</v>
      </c>
      <c r="E42" s="16" t="s">
        <v>87</v>
      </c>
      <c r="F42" s="14" t="s">
        <v>268</v>
      </c>
      <c r="G42" s="14" t="s">
        <v>311</v>
      </c>
      <c r="H42" s="17">
        <v>12247.747148017401</v>
      </c>
      <c r="I42" s="14" t="s">
        <v>63</v>
      </c>
      <c r="J42" s="18">
        <v>35290</v>
      </c>
      <c r="K42" s="18">
        <v>20100</v>
      </c>
      <c r="L42" s="14" t="s">
        <v>332</v>
      </c>
      <c r="M42" s="14" t="s">
        <v>55</v>
      </c>
      <c r="N42" s="19" t="s">
        <v>333</v>
      </c>
      <c r="O42" s="19" t="s">
        <v>334</v>
      </c>
      <c r="P42" s="20" t="s">
        <v>322</v>
      </c>
      <c r="Q42" s="14">
        <v>20</v>
      </c>
    </row>
    <row r="43" spans="1:17" ht="15" x14ac:dyDescent="0.25">
      <c r="A43" s="15" t="s">
        <v>335</v>
      </c>
      <c r="B43" s="14" t="s">
        <v>336</v>
      </c>
      <c r="C43" s="14" t="s">
        <v>337</v>
      </c>
      <c r="D43" s="14" t="s">
        <v>225</v>
      </c>
      <c r="E43" s="16" t="s">
        <v>50</v>
      </c>
      <c r="F43" s="14" t="s">
        <v>338</v>
      </c>
      <c r="G43" s="14" t="s">
        <v>339</v>
      </c>
      <c r="H43" s="17">
        <v>8668.5274506055521</v>
      </c>
      <c r="I43" s="14" t="s">
        <v>180</v>
      </c>
      <c r="J43" s="18">
        <v>34955</v>
      </c>
      <c r="K43" s="18">
        <v>24134</v>
      </c>
      <c r="L43" s="14" t="s">
        <v>340</v>
      </c>
      <c r="M43" s="14" t="s">
        <v>55</v>
      </c>
      <c r="N43" s="19" t="s">
        <v>341</v>
      </c>
      <c r="O43" s="19" t="s">
        <v>74</v>
      </c>
      <c r="P43" s="20" t="s">
        <v>342</v>
      </c>
      <c r="Q43" s="14">
        <v>23</v>
      </c>
    </row>
    <row r="44" spans="1:17" ht="15" hidden="1" x14ac:dyDescent="0.25">
      <c r="A44" s="15" t="s">
        <v>343</v>
      </c>
      <c r="B44" s="14" t="s">
        <v>344</v>
      </c>
      <c r="C44" s="14" t="s">
        <v>345</v>
      </c>
      <c r="D44" s="14" t="s">
        <v>346</v>
      </c>
      <c r="E44" s="16" t="s">
        <v>87</v>
      </c>
      <c r="F44" s="14" t="s">
        <v>338</v>
      </c>
      <c r="G44" s="14" t="s">
        <v>347</v>
      </c>
      <c r="H44" s="17">
        <v>11472.290380362065</v>
      </c>
      <c r="I44" s="14" t="s">
        <v>180</v>
      </c>
      <c r="J44" s="18">
        <v>35442</v>
      </c>
      <c r="K44" s="18">
        <v>22927</v>
      </c>
      <c r="L44" s="14" t="s">
        <v>348</v>
      </c>
      <c r="M44" s="14" t="s">
        <v>55</v>
      </c>
      <c r="N44" s="19">
        <v>193005</v>
      </c>
      <c r="O44" s="19" t="s">
        <v>349</v>
      </c>
      <c r="P44" s="20" t="s">
        <v>342</v>
      </c>
      <c r="Q44" s="14">
        <v>23</v>
      </c>
    </row>
    <row r="45" spans="1:17" ht="15" hidden="1" x14ac:dyDescent="0.25">
      <c r="A45" s="15" t="s">
        <v>350</v>
      </c>
      <c r="B45" s="14" t="s">
        <v>351</v>
      </c>
      <c r="C45" s="14" t="s">
        <v>331</v>
      </c>
      <c r="D45" s="14" t="s">
        <v>352</v>
      </c>
      <c r="E45" s="16" t="s">
        <v>87</v>
      </c>
      <c r="F45" s="14" t="s">
        <v>338</v>
      </c>
      <c r="G45" s="14" t="s">
        <v>347</v>
      </c>
      <c r="H45" s="17">
        <v>6545.2883217567833</v>
      </c>
      <c r="I45" s="14" t="s">
        <v>180</v>
      </c>
      <c r="J45" s="18">
        <v>35445</v>
      </c>
      <c r="K45" s="18">
        <v>22250</v>
      </c>
      <c r="L45" s="14" t="s">
        <v>353</v>
      </c>
      <c r="M45" s="14" t="s">
        <v>55</v>
      </c>
      <c r="N45" s="19" t="s">
        <v>354</v>
      </c>
      <c r="O45" s="19" t="s">
        <v>355</v>
      </c>
      <c r="P45" s="20" t="s">
        <v>342</v>
      </c>
      <c r="Q45" s="14">
        <v>23</v>
      </c>
    </row>
    <row r="46" spans="1:17" ht="15" x14ac:dyDescent="0.25">
      <c r="A46" s="15" t="s">
        <v>356</v>
      </c>
      <c r="B46" s="14" t="s">
        <v>357</v>
      </c>
      <c r="C46" s="14" t="s">
        <v>237</v>
      </c>
      <c r="D46" s="14" t="s">
        <v>282</v>
      </c>
      <c r="E46" s="16" t="s">
        <v>87</v>
      </c>
      <c r="F46" s="14" t="s">
        <v>338</v>
      </c>
      <c r="G46" s="14" t="s">
        <v>358</v>
      </c>
      <c r="H46" s="17">
        <v>13514.395410585492</v>
      </c>
      <c r="I46" s="14" t="s">
        <v>134</v>
      </c>
      <c r="J46" s="18">
        <v>34788</v>
      </c>
      <c r="K46" s="18">
        <v>21186</v>
      </c>
      <c r="L46" s="14" t="s">
        <v>359</v>
      </c>
      <c r="M46" s="14" t="s">
        <v>55</v>
      </c>
      <c r="N46" s="19">
        <v>193003</v>
      </c>
      <c r="O46" s="19" t="s">
        <v>360</v>
      </c>
      <c r="P46" s="20" t="s">
        <v>342</v>
      </c>
      <c r="Q46" s="14">
        <v>23</v>
      </c>
    </row>
    <row r="47" spans="1:17" ht="15" hidden="1" x14ac:dyDescent="0.25">
      <c r="A47" s="15" t="s">
        <v>361</v>
      </c>
      <c r="B47" s="14" t="s">
        <v>362</v>
      </c>
      <c r="C47" s="14" t="s">
        <v>231</v>
      </c>
      <c r="D47" s="14" t="s">
        <v>363</v>
      </c>
      <c r="E47" s="16" t="s">
        <v>87</v>
      </c>
      <c r="F47" s="14" t="s">
        <v>338</v>
      </c>
      <c r="G47" s="14" t="s">
        <v>339</v>
      </c>
      <c r="H47" s="17">
        <v>5053.6033918022285</v>
      </c>
      <c r="I47" s="14" t="s">
        <v>180</v>
      </c>
      <c r="J47" s="18">
        <v>35032</v>
      </c>
      <c r="K47" s="18">
        <v>26821</v>
      </c>
      <c r="L47" s="14" t="s">
        <v>364</v>
      </c>
      <c r="M47" s="14" t="s">
        <v>154</v>
      </c>
      <c r="N47" s="19">
        <v>193004</v>
      </c>
      <c r="O47" s="19" t="s">
        <v>365</v>
      </c>
      <c r="P47" s="20" t="s">
        <v>342</v>
      </c>
      <c r="Q47" s="14">
        <v>23</v>
      </c>
    </row>
    <row r="48" spans="1:17" ht="15" hidden="1" x14ac:dyDescent="0.25">
      <c r="A48" s="15" t="s">
        <v>366</v>
      </c>
      <c r="B48" s="14" t="s">
        <v>367</v>
      </c>
      <c r="C48" s="14" t="s">
        <v>368</v>
      </c>
      <c r="D48" s="14" t="s">
        <v>369</v>
      </c>
      <c r="E48" s="16" t="s">
        <v>87</v>
      </c>
      <c r="F48" s="14" t="s">
        <v>338</v>
      </c>
      <c r="G48" s="14" t="s">
        <v>347</v>
      </c>
      <c r="H48" s="17">
        <v>11069.850875497006</v>
      </c>
      <c r="I48" s="14" t="s">
        <v>134</v>
      </c>
      <c r="J48" s="18">
        <v>35460</v>
      </c>
      <c r="K48" s="18">
        <v>26553</v>
      </c>
      <c r="L48" s="14" t="s">
        <v>370</v>
      </c>
      <c r="M48" s="14" t="s">
        <v>55</v>
      </c>
      <c r="N48" s="19" t="s">
        <v>371</v>
      </c>
      <c r="O48" s="19" t="s">
        <v>372</v>
      </c>
      <c r="P48" s="20" t="s">
        <v>342</v>
      </c>
      <c r="Q48" s="14">
        <v>23</v>
      </c>
    </row>
    <row r="49" spans="1:17" ht="15" hidden="1" x14ac:dyDescent="0.25">
      <c r="A49" s="15" t="s">
        <v>373</v>
      </c>
      <c r="B49" s="14" t="s">
        <v>374</v>
      </c>
      <c r="C49" s="14" t="s">
        <v>375</v>
      </c>
      <c r="D49" s="14" t="s">
        <v>142</v>
      </c>
      <c r="E49" s="16" t="s">
        <v>87</v>
      </c>
      <c r="F49" s="14" t="s">
        <v>376</v>
      </c>
      <c r="G49" s="14" t="s">
        <v>144</v>
      </c>
      <c r="H49" s="17">
        <v>12592.183135589101</v>
      </c>
      <c r="I49" s="14" t="s">
        <v>63</v>
      </c>
      <c r="J49" s="18">
        <v>35504</v>
      </c>
      <c r="K49" s="18">
        <v>24085</v>
      </c>
      <c r="L49" s="14" t="s">
        <v>377</v>
      </c>
      <c r="M49" s="14" t="s">
        <v>55</v>
      </c>
      <c r="N49" s="19">
        <v>193006</v>
      </c>
      <c r="O49" s="19" t="s">
        <v>378</v>
      </c>
      <c r="P49" s="20" t="s">
        <v>379</v>
      </c>
      <c r="Q49" s="14">
        <v>29</v>
      </c>
    </row>
    <row r="50" spans="1:17" ht="15" hidden="1" x14ac:dyDescent="0.25">
      <c r="A50" s="15" t="s">
        <v>380</v>
      </c>
      <c r="B50" s="14" t="s">
        <v>381</v>
      </c>
      <c r="C50" s="14" t="s">
        <v>382</v>
      </c>
      <c r="D50" s="14" t="s">
        <v>238</v>
      </c>
      <c r="E50" s="16" t="s">
        <v>87</v>
      </c>
      <c r="F50" s="14" t="s">
        <v>376</v>
      </c>
      <c r="G50" s="14" t="s">
        <v>383</v>
      </c>
      <c r="H50" s="17">
        <v>10643.3766537518</v>
      </c>
      <c r="I50" s="14" t="s">
        <v>134</v>
      </c>
      <c r="J50" s="18">
        <v>34759</v>
      </c>
      <c r="K50" s="18">
        <v>25186</v>
      </c>
      <c r="L50" s="14" t="s">
        <v>384</v>
      </c>
      <c r="M50" s="14" t="s">
        <v>55</v>
      </c>
      <c r="N50" s="19" t="s">
        <v>385</v>
      </c>
      <c r="O50" s="19" t="s">
        <v>386</v>
      </c>
      <c r="P50" s="20" t="s">
        <v>387</v>
      </c>
      <c r="Q50" s="14">
        <v>30</v>
      </c>
    </row>
    <row r="51" spans="1:17" ht="15" hidden="1" x14ac:dyDescent="0.25">
      <c r="A51" s="15" t="s">
        <v>388</v>
      </c>
      <c r="B51" s="14" t="s">
        <v>389</v>
      </c>
      <c r="C51" s="14" t="s">
        <v>68</v>
      </c>
      <c r="D51" s="14" t="s">
        <v>69</v>
      </c>
      <c r="E51" s="16" t="s">
        <v>50</v>
      </c>
      <c r="F51" s="14" t="s">
        <v>390</v>
      </c>
      <c r="G51" s="14" t="s">
        <v>391</v>
      </c>
      <c r="H51" s="17">
        <v>9453.2607782707091</v>
      </c>
      <c r="I51" s="14" t="s">
        <v>63</v>
      </c>
      <c r="J51" s="18">
        <v>34714</v>
      </c>
      <c r="K51" s="18">
        <v>22250</v>
      </c>
      <c r="L51" s="14" t="s">
        <v>301</v>
      </c>
      <c r="M51" s="14" t="s">
        <v>55</v>
      </c>
      <c r="N51" s="19">
        <v>101888</v>
      </c>
      <c r="O51" s="19" t="s">
        <v>392</v>
      </c>
      <c r="P51" s="20" t="s">
        <v>393</v>
      </c>
      <c r="Q51" s="14">
        <v>31</v>
      </c>
    </row>
    <row r="52" spans="1:17" ht="15" hidden="1" x14ac:dyDescent="0.25">
      <c r="A52" s="15" t="s">
        <v>394</v>
      </c>
      <c r="B52" s="21" t="s">
        <v>395</v>
      </c>
      <c r="C52" s="21" t="s">
        <v>325</v>
      </c>
      <c r="D52" s="14" t="s">
        <v>396</v>
      </c>
      <c r="E52" s="16" t="s">
        <v>50</v>
      </c>
      <c r="F52" s="14" t="s">
        <v>390</v>
      </c>
      <c r="G52" s="21" t="s">
        <v>397</v>
      </c>
      <c r="H52" s="17">
        <v>13104.8464892221</v>
      </c>
      <c r="I52" s="14" t="s">
        <v>134</v>
      </c>
      <c r="J52" s="18">
        <v>35445</v>
      </c>
      <c r="K52" s="18">
        <v>26821</v>
      </c>
      <c r="L52" s="14" t="s">
        <v>398</v>
      </c>
      <c r="M52" s="14" t="s">
        <v>72</v>
      </c>
      <c r="N52" s="19">
        <v>155888</v>
      </c>
      <c r="O52" s="19" t="s">
        <v>399</v>
      </c>
      <c r="P52" s="20" t="s">
        <v>393</v>
      </c>
      <c r="Q52" s="14">
        <v>31</v>
      </c>
    </row>
    <row r="53" spans="1:17" ht="15" hidden="1" x14ac:dyDescent="0.25">
      <c r="A53" s="15" t="s">
        <v>400</v>
      </c>
      <c r="B53" s="21" t="s">
        <v>401</v>
      </c>
      <c r="C53" s="21" t="s">
        <v>402</v>
      </c>
      <c r="D53" s="14" t="s">
        <v>69</v>
      </c>
      <c r="E53" s="16" t="s">
        <v>50</v>
      </c>
      <c r="F53" s="14" t="s">
        <v>390</v>
      </c>
      <c r="G53" s="21" t="s">
        <v>403</v>
      </c>
      <c r="H53" s="17">
        <v>8415.0990823491975</v>
      </c>
      <c r="I53" s="14" t="s">
        <v>134</v>
      </c>
      <c r="J53" s="18">
        <v>34788</v>
      </c>
      <c r="K53" s="18">
        <v>22908</v>
      </c>
      <c r="L53" s="14" t="s">
        <v>404</v>
      </c>
      <c r="M53" s="14" t="s">
        <v>55</v>
      </c>
      <c r="N53" s="19">
        <v>129543</v>
      </c>
      <c r="O53" s="19" t="s">
        <v>405</v>
      </c>
      <c r="P53" s="20" t="s">
        <v>393</v>
      </c>
      <c r="Q53" s="14">
        <v>31</v>
      </c>
    </row>
    <row r="54" spans="1:17" ht="15" hidden="1" x14ac:dyDescent="0.25">
      <c r="A54" s="15" t="s">
        <v>406</v>
      </c>
      <c r="B54" s="14" t="s">
        <v>407</v>
      </c>
      <c r="C54" s="14" t="s">
        <v>316</v>
      </c>
      <c r="D54" s="14" t="s">
        <v>174</v>
      </c>
      <c r="E54" s="16" t="s">
        <v>50</v>
      </c>
      <c r="F54" s="14" t="s">
        <v>390</v>
      </c>
      <c r="G54" s="14" t="s">
        <v>391</v>
      </c>
      <c r="H54" s="17">
        <v>12616.153463888215</v>
      </c>
      <c r="I54" s="14" t="s">
        <v>63</v>
      </c>
      <c r="J54" s="18">
        <v>34759</v>
      </c>
      <c r="K54" s="18">
        <v>22927</v>
      </c>
      <c r="L54" s="14" t="s">
        <v>408</v>
      </c>
      <c r="M54" s="14" t="s">
        <v>55</v>
      </c>
      <c r="N54" s="19">
        <v>126765</v>
      </c>
      <c r="O54" s="19" t="s">
        <v>409</v>
      </c>
      <c r="P54" s="20" t="s">
        <v>393</v>
      </c>
      <c r="Q54" s="14">
        <v>31</v>
      </c>
    </row>
    <row r="55" spans="1:17" ht="15" hidden="1" x14ac:dyDescent="0.25">
      <c r="A55" s="15" t="s">
        <v>410</v>
      </c>
      <c r="B55" s="21" t="s">
        <v>411</v>
      </c>
      <c r="C55" s="21" t="s">
        <v>412</v>
      </c>
      <c r="D55" s="14" t="s">
        <v>326</v>
      </c>
      <c r="E55" s="16" t="s">
        <v>50</v>
      </c>
      <c r="F55" s="14" t="s">
        <v>390</v>
      </c>
      <c r="G55" s="21" t="s">
        <v>403</v>
      </c>
      <c r="H55" s="17">
        <v>5356.4388461651015</v>
      </c>
      <c r="I55" s="14" t="s">
        <v>63</v>
      </c>
      <c r="J55" s="18">
        <v>35258</v>
      </c>
      <c r="K55" s="18">
        <v>21600</v>
      </c>
      <c r="L55" s="14" t="s">
        <v>413</v>
      </c>
      <c r="M55" s="14" t="s">
        <v>55</v>
      </c>
      <c r="N55" s="19">
        <v>121644</v>
      </c>
      <c r="O55" s="19" t="s">
        <v>74</v>
      </c>
      <c r="P55" s="20" t="s">
        <v>393</v>
      </c>
      <c r="Q55" s="14">
        <v>31</v>
      </c>
    </row>
    <row r="56" spans="1:17" ht="15" x14ac:dyDescent="0.25">
      <c r="A56" s="15" t="s">
        <v>414</v>
      </c>
      <c r="B56" s="21" t="s">
        <v>415</v>
      </c>
      <c r="C56" s="21" t="s">
        <v>416</v>
      </c>
      <c r="D56" s="14" t="s">
        <v>417</v>
      </c>
      <c r="E56" s="16" t="s">
        <v>50</v>
      </c>
      <c r="F56" s="14" t="s">
        <v>390</v>
      </c>
      <c r="G56" s="21" t="s">
        <v>418</v>
      </c>
      <c r="H56" s="17">
        <v>7699.1781874603867</v>
      </c>
      <c r="I56" s="14" t="s">
        <v>63</v>
      </c>
      <c r="J56" s="18">
        <v>35442</v>
      </c>
      <c r="K56" s="18">
        <v>24134</v>
      </c>
      <c r="L56" s="14" t="s">
        <v>419</v>
      </c>
      <c r="M56" s="14" t="s">
        <v>55</v>
      </c>
      <c r="N56" s="19">
        <v>104255</v>
      </c>
      <c r="O56" s="19" t="s">
        <v>420</v>
      </c>
      <c r="P56" s="20" t="s">
        <v>393</v>
      </c>
      <c r="Q56" s="14">
        <v>31</v>
      </c>
    </row>
    <row r="57" spans="1:17" ht="15" x14ac:dyDescent="0.25">
      <c r="A57" s="15" t="s">
        <v>421</v>
      </c>
      <c r="B57" s="21" t="s">
        <v>422</v>
      </c>
      <c r="C57" s="21" t="s">
        <v>168</v>
      </c>
      <c r="D57" s="14" t="s">
        <v>423</v>
      </c>
      <c r="E57" s="16" t="s">
        <v>50</v>
      </c>
      <c r="F57" s="14" t="s">
        <v>390</v>
      </c>
      <c r="G57" s="21" t="s">
        <v>418</v>
      </c>
      <c r="H57" s="17">
        <v>6769.9436427326746</v>
      </c>
      <c r="I57" s="14" t="s">
        <v>134</v>
      </c>
      <c r="J57" s="18">
        <v>35460</v>
      </c>
      <c r="K57" s="18">
        <v>21194</v>
      </c>
      <c r="L57" s="14" t="s">
        <v>424</v>
      </c>
      <c r="M57" s="14" t="s">
        <v>425</v>
      </c>
      <c r="N57" s="19">
        <v>111765</v>
      </c>
      <c r="O57" s="19" t="s">
        <v>74</v>
      </c>
      <c r="P57" s="20" t="s">
        <v>393</v>
      </c>
      <c r="Q57" s="14">
        <v>31</v>
      </c>
    </row>
    <row r="58" spans="1:17" ht="15" hidden="1" x14ac:dyDescent="0.25">
      <c r="A58" s="15" t="s">
        <v>426</v>
      </c>
      <c r="B58" s="14" t="s">
        <v>427</v>
      </c>
      <c r="C58" s="14" t="s">
        <v>428</v>
      </c>
      <c r="D58" s="14" t="s">
        <v>429</v>
      </c>
      <c r="E58" s="16" t="s">
        <v>50</v>
      </c>
      <c r="F58" s="14" t="s">
        <v>390</v>
      </c>
      <c r="G58" s="14" t="s">
        <v>169</v>
      </c>
      <c r="H58" s="17">
        <v>8334.4812476725183</v>
      </c>
      <c r="I58" s="14" t="s">
        <v>53</v>
      </c>
      <c r="J58" s="18">
        <v>35504</v>
      </c>
      <c r="K58" s="18">
        <v>26553</v>
      </c>
      <c r="L58" s="14" t="s">
        <v>430</v>
      </c>
      <c r="M58" s="14" t="s">
        <v>55</v>
      </c>
      <c r="N58" s="19">
        <v>123454</v>
      </c>
      <c r="O58" s="19" t="s">
        <v>74</v>
      </c>
      <c r="P58" s="20" t="s">
        <v>393</v>
      </c>
      <c r="Q58" s="14">
        <v>31</v>
      </c>
    </row>
    <row r="59" spans="1:17" ht="15" hidden="1" x14ac:dyDescent="0.25">
      <c r="A59" s="15" t="s">
        <v>431</v>
      </c>
      <c r="B59" s="21" t="s">
        <v>432</v>
      </c>
      <c r="C59" s="21" t="s">
        <v>433</v>
      </c>
      <c r="D59" s="14" t="s">
        <v>317</v>
      </c>
      <c r="E59" s="16" t="s">
        <v>50</v>
      </c>
      <c r="F59" s="14" t="s">
        <v>390</v>
      </c>
      <c r="G59" s="21" t="s">
        <v>403</v>
      </c>
      <c r="H59" s="17">
        <v>13349.155517093794</v>
      </c>
      <c r="I59" s="14" t="s">
        <v>63</v>
      </c>
      <c r="J59" s="18">
        <v>35122</v>
      </c>
      <c r="K59" s="18">
        <v>23253</v>
      </c>
      <c r="L59" s="14" t="s">
        <v>434</v>
      </c>
      <c r="M59" s="14" t="s">
        <v>127</v>
      </c>
      <c r="N59" s="19">
        <v>102008</v>
      </c>
      <c r="O59" s="19" t="s">
        <v>435</v>
      </c>
      <c r="P59" s="20" t="s">
        <v>393</v>
      </c>
      <c r="Q59" s="14">
        <v>31</v>
      </c>
    </row>
    <row r="60" spans="1:17" ht="15" hidden="1" x14ac:dyDescent="0.25">
      <c r="A60" s="15" t="s">
        <v>436</v>
      </c>
      <c r="B60" s="21" t="s">
        <v>437</v>
      </c>
      <c r="C60" s="21" t="s">
        <v>316</v>
      </c>
      <c r="D60" s="14" t="s">
        <v>438</v>
      </c>
      <c r="E60" s="16" t="s">
        <v>50</v>
      </c>
      <c r="F60" s="14" t="s">
        <v>390</v>
      </c>
      <c r="G60" s="21" t="s">
        <v>418</v>
      </c>
      <c r="H60" s="17">
        <v>7045.2632223453566</v>
      </c>
      <c r="I60" s="14" t="s">
        <v>63</v>
      </c>
      <c r="J60" s="18">
        <v>35032</v>
      </c>
      <c r="K60" s="18">
        <v>22065</v>
      </c>
      <c r="L60" s="14" t="s">
        <v>439</v>
      </c>
      <c r="M60" s="14" t="s">
        <v>55</v>
      </c>
      <c r="N60" s="19">
        <v>128708</v>
      </c>
      <c r="O60" s="19" t="s">
        <v>440</v>
      </c>
      <c r="P60" s="20" t="s">
        <v>393</v>
      </c>
      <c r="Q60" s="14">
        <v>31</v>
      </c>
    </row>
    <row r="61" spans="1:17" ht="15" hidden="1" x14ac:dyDescent="0.25">
      <c r="A61" s="15" t="s">
        <v>441</v>
      </c>
      <c r="B61" s="21" t="s">
        <v>442</v>
      </c>
      <c r="C61" s="21" t="s">
        <v>443</v>
      </c>
      <c r="D61" s="14" t="s">
        <v>225</v>
      </c>
      <c r="E61" s="16" t="s">
        <v>50</v>
      </c>
      <c r="F61" s="14" t="s">
        <v>390</v>
      </c>
      <c r="G61" s="21" t="s">
        <v>418</v>
      </c>
      <c r="H61" s="17">
        <v>6943.8446212997997</v>
      </c>
      <c r="I61" s="14" t="s">
        <v>63</v>
      </c>
      <c r="J61" s="18">
        <v>34955</v>
      </c>
      <c r="K61" s="18">
        <v>21979</v>
      </c>
      <c r="L61" s="14" t="s">
        <v>404</v>
      </c>
      <c r="M61" s="14" t="s">
        <v>55</v>
      </c>
      <c r="N61" s="19">
        <v>186599</v>
      </c>
      <c r="O61" s="19" t="s">
        <v>444</v>
      </c>
      <c r="P61" s="20" t="s">
        <v>393</v>
      </c>
      <c r="Q61" s="14">
        <v>31</v>
      </c>
    </row>
    <row r="62" spans="1:17" ht="15" hidden="1" x14ac:dyDescent="0.25">
      <c r="A62" s="15" t="s">
        <v>445</v>
      </c>
      <c r="B62" s="14" t="s">
        <v>446</v>
      </c>
      <c r="C62" s="14" t="s">
        <v>447</v>
      </c>
      <c r="D62" s="14" t="s">
        <v>282</v>
      </c>
      <c r="E62" s="16" t="s">
        <v>87</v>
      </c>
      <c r="F62" s="14" t="s">
        <v>376</v>
      </c>
      <c r="G62" s="14" t="s">
        <v>383</v>
      </c>
      <c r="H62" s="17">
        <v>7810.6406505531404</v>
      </c>
      <c r="I62" s="14" t="s">
        <v>53</v>
      </c>
      <c r="J62" s="18">
        <v>31108</v>
      </c>
      <c r="K62" s="18">
        <v>23891</v>
      </c>
      <c r="L62" s="14" t="s">
        <v>448</v>
      </c>
      <c r="M62" s="14" t="s">
        <v>55</v>
      </c>
      <c r="N62" s="19">
        <v>193007</v>
      </c>
      <c r="O62" s="19" t="s">
        <v>449</v>
      </c>
      <c r="P62" s="20" t="s">
        <v>393</v>
      </c>
      <c r="Q62" s="14">
        <v>31</v>
      </c>
    </row>
    <row r="63" spans="1:17" ht="15" hidden="1" x14ac:dyDescent="0.25">
      <c r="A63" s="15" t="s">
        <v>450</v>
      </c>
      <c r="B63" s="14" t="s">
        <v>451</v>
      </c>
      <c r="C63" s="14" t="s">
        <v>141</v>
      </c>
      <c r="D63" s="14" t="s">
        <v>452</v>
      </c>
      <c r="E63" s="16" t="s">
        <v>87</v>
      </c>
      <c r="F63" s="14" t="s">
        <v>376</v>
      </c>
      <c r="G63" s="14" t="s">
        <v>383</v>
      </c>
      <c r="H63" s="17">
        <v>8520.7696909160004</v>
      </c>
      <c r="I63" s="14" t="s">
        <v>53</v>
      </c>
      <c r="J63" s="18">
        <v>32023</v>
      </c>
      <c r="K63" s="18">
        <v>22893</v>
      </c>
      <c r="L63" s="14" t="s">
        <v>453</v>
      </c>
      <c r="M63" s="14" t="s">
        <v>55</v>
      </c>
      <c r="N63" s="19" t="s">
        <v>454</v>
      </c>
      <c r="O63" s="19" t="s">
        <v>455</v>
      </c>
      <c r="P63" s="20" t="s">
        <v>393</v>
      </c>
      <c r="Q63" s="14">
        <v>31</v>
      </c>
    </row>
    <row r="64" spans="1:17" ht="15" hidden="1" x14ac:dyDescent="0.25">
      <c r="A64" s="15" t="s">
        <v>456</v>
      </c>
      <c r="B64" s="21" t="s">
        <v>457</v>
      </c>
      <c r="C64" s="21" t="s">
        <v>458</v>
      </c>
      <c r="D64" s="14" t="s">
        <v>116</v>
      </c>
      <c r="E64" s="16" t="s">
        <v>87</v>
      </c>
      <c r="F64" s="14" t="s">
        <v>390</v>
      </c>
      <c r="G64" s="21" t="s">
        <v>459</v>
      </c>
      <c r="H64" s="17">
        <v>14142.038140808014</v>
      </c>
      <c r="I64" s="14" t="s">
        <v>63</v>
      </c>
      <c r="J64" s="18">
        <v>35153</v>
      </c>
      <c r="K64" s="18">
        <v>24814</v>
      </c>
      <c r="L64" s="14" t="s">
        <v>460</v>
      </c>
      <c r="M64" s="14" t="s">
        <v>55</v>
      </c>
      <c r="N64" s="19">
        <v>108644</v>
      </c>
      <c r="O64" s="19" t="s">
        <v>461</v>
      </c>
      <c r="P64" s="20" t="s">
        <v>393</v>
      </c>
      <c r="Q64" s="14">
        <v>31</v>
      </c>
    </row>
    <row r="65" spans="1:17" ht="15" x14ac:dyDescent="0.25">
      <c r="A65" s="15" t="s">
        <v>462</v>
      </c>
      <c r="B65" s="14" t="s">
        <v>463</v>
      </c>
      <c r="C65" s="14" t="s">
        <v>464</v>
      </c>
      <c r="D65" s="14" t="s">
        <v>288</v>
      </c>
      <c r="E65" s="16" t="s">
        <v>50</v>
      </c>
      <c r="F65" s="14" t="s">
        <v>376</v>
      </c>
      <c r="G65" s="14" t="s">
        <v>465</v>
      </c>
      <c r="H65" s="17">
        <v>5715.3864960983001</v>
      </c>
      <c r="I65" s="14" t="s">
        <v>180</v>
      </c>
      <c r="J65" s="18">
        <v>33211</v>
      </c>
      <c r="K65" s="18">
        <v>20104</v>
      </c>
      <c r="L65" s="14" t="s">
        <v>466</v>
      </c>
      <c r="M65" s="14" t="s">
        <v>55</v>
      </c>
      <c r="N65" s="19">
        <v>193008</v>
      </c>
      <c r="O65" s="19" t="s">
        <v>467</v>
      </c>
      <c r="P65" s="20" t="s">
        <v>468</v>
      </c>
      <c r="Q65" s="14">
        <v>33</v>
      </c>
    </row>
  </sheetData>
  <autoFilter ref="A1:Q65" xr:uid="{E99A7298-E8C1-44E9-B277-40D01542037E}">
    <filterColumn colId="10">
      <dynamicFilter type="M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4"/>
  <sheetViews>
    <sheetView workbookViewId="0">
      <selection activeCell="C28" sqref="C28"/>
    </sheetView>
  </sheetViews>
  <sheetFormatPr defaultRowHeight="15" x14ac:dyDescent="0.25"/>
  <cols>
    <col min="1" max="1" width="20.42578125" bestFit="1" customWidth="1"/>
    <col min="5" max="5" width="12.140625" bestFit="1" customWidth="1"/>
    <col min="6" max="6" width="11.28515625" bestFit="1" customWidth="1"/>
  </cols>
  <sheetData>
    <row r="1" spans="1:6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D2" t="s">
        <v>582</v>
      </c>
      <c r="E2" t="s">
        <v>583</v>
      </c>
    </row>
    <row r="5" spans="1:6" x14ac:dyDescent="0.25">
      <c r="A5" s="1" t="s">
        <v>14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1:6" hidden="1" x14ac:dyDescent="0.25">
      <c r="A6" s="1" t="s">
        <v>5</v>
      </c>
      <c r="B6" s="1">
        <v>10000</v>
      </c>
      <c r="C6" s="1">
        <v>4000</v>
      </c>
      <c r="D6" s="1">
        <v>2000</v>
      </c>
      <c r="E6" s="2">
        <v>12000</v>
      </c>
      <c r="F6" s="3">
        <v>400</v>
      </c>
    </row>
    <row r="7" spans="1:6" x14ac:dyDescent="0.25">
      <c r="A7" s="1" t="s">
        <v>6</v>
      </c>
      <c r="B7" s="1">
        <v>2000</v>
      </c>
      <c r="C7" s="1">
        <v>800</v>
      </c>
      <c r="D7" s="1">
        <v>400</v>
      </c>
      <c r="E7" s="2">
        <v>2400</v>
      </c>
      <c r="F7" s="3">
        <v>80</v>
      </c>
    </row>
    <row r="8" spans="1:6" x14ac:dyDescent="0.25">
      <c r="A8" s="1" t="s">
        <v>7</v>
      </c>
      <c r="B8" s="1">
        <v>3000</v>
      </c>
      <c r="C8" s="1">
        <v>1200</v>
      </c>
      <c r="D8" s="1">
        <v>600</v>
      </c>
      <c r="E8" s="2">
        <v>3600</v>
      </c>
      <c r="F8" s="3">
        <v>120</v>
      </c>
    </row>
    <row r="9" spans="1:6" x14ac:dyDescent="0.25">
      <c r="A9" s="1" t="s">
        <v>8</v>
      </c>
      <c r="B9" s="1">
        <v>5000</v>
      </c>
      <c r="C9" s="1">
        <v>2000</v>
      </c>
      <c r="D9" s="1">
        <v>1000</v>
      </c>
      <c r="E9" s="2">
        <v>6000</v>
      </c>
      <c r="F9" s="3">
        <v>200</v>
      </c>
    </row>
    <row r="10" spans="1:6" hidden="1" x14ac:dyDescent="0.25">
      <c r="A10" s="1" t="s">
        <v>9</v>
      </c>
      <c r="B10" s="1">
        <v>10000</v>
      </c>
      <c r="C10" s="1">
        <v>4000</v>
      </c>
      <c r="D10" s="1">
        <v>2000</v>
      </c>
      <c r="E10" s="2">
        <v>12000</v>
      </c>
      <c r="F10" s="3">
        <v>400</v>
      </c>
    </row>
    <row r="11" spans="1:6" x14ac:dyDescent="0.25">
      <c r="A11" s="1" t="s">
        <v>10</v>
      </c>
      <c r="B11" s="1">
        <v>1200</v>
      </c>
      <c r="C11" s="1">
        <v>480</v>
      </c>
      <c r="D11" s="1">
        <v>240</v>
      </c>
      <c r="E11" s="2">
        <v>1440</v>
      </c>
      <c r="F11" s="3">
        <v>48</v>
      </c>
    </row>
    <row r="12" spans="1:6" x14ac:dyDescent="0.25">
      <c r="A12" s="1" t="s">
        <v>11</v>
      </c>
      <c r="B12" s="1">
        <v>1750</v>
      </c>
      <c r="C12" s="1">
        <v>700</v>
      </c>
      <c r="D12" s="1">
        <v>350</v>
      </c>
      <c r="E12" s="2">
        <v>2100</v>
      </c>
      <c r="F12" s="3">
        <v>70</v>
      </c>
    </row>
    <row r="13" spans="1:6" x14ac:dyDescent="0.25">
      <c r="A13" s="1" t="s">
        <v>12</v>
      </c>
      <c r="B13" s="1">
        <v>3400</v>
      </c>
      <c r="C13" s="1">
        <v>1360</v>
      </c>
      <c r="D13" s="1">
        <v>680</v>
      </c>
      <c r="E13" s="2">
        <v>4080</v>
      </c>
      <c r="F13" s="3">
        <v>136</v>
      </c>
    </row>
    <row r="14" spans="1:6" x14ac:dyDescent="0.25">
      <c r="A14" s="1" t="s">
        <v>13</v>
      </c>
      <c r="B14" s="1">
        <v>2200</v>
      </c>
      <c r="C14" s="1">
        <v>880</v>
      </c>
      <c r="D14" s="1">
        <v>440</v>
      </c>
      <c r="E14" s="2">
        <v>2640</v>
      </c>
      <c r="F14" s="3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69"/>
  <sheetViews>
    <sheetView zoomScaleNormal="100" workbookViewId="0">
      <selection activeCell="F76" sqref="F76"/>
    </sheetView>
  </sheetViews>
  <sheetFormatPr defaultRowHeight="12.75" x14ac:dyDescent="0.2"/>
  <cols>
    <col min="1" max="1" width="4.42578125" style="14" bestFit="1" customWidth="1"/>
    <col min="2" max="2" width="13.85546875" style="14" bestFit="1" customWidth="1"/>
    <col min="3" max="3" width="11.28515625" style="14" bestFit="1" customWidth="1"/>
    <col min="4" max="4" width="14.5703125" style="14" bestFit="1" customWidth="1"/>
    <col min="5" max="5" width="4.5703125" style="16" bestFit="1" customWidth="1"/>
    <col min="6" max="6" width="22.140625" style="14" bestFit="1" customWidth="1"/>
    <col min="7" max="7" width="24.140625" style="14" bestFit="1" customWidth="1"/>
    <col min="8" max="8" width="10.7109375" style="14" bestFit="1" customWidth="1"/>
    <col min="9" max="9" width="20" style="14" bestFit="1" customWidth="1"/>
    <col min="10" max="248" width="9.140625" style="14"/>
    <col min="249" max="249" width="4.42578125" style="14" bestFit="1" customWidth="1"/>
    <col min="250" max="250" width="13.85546875" style="14" bestFit="1" customWidth="1"/>
    <col min="251" max="251" width="11.28515625" style="14" bestFit="1" customWidth="1"/>
    <col min="252" max="252" width="14.5703125" style="14" bestFit="1" customWidth="1"/>
    <col min="253" max="253" width="4.5703125" style="14" bestFit="1" customWidth="1"/>
    <col min="254" max="254" width="22.140625" style="14" bestFit="1" customWidth="1"/>
    <col min="255" max="255" width="24.140625" style="14" bestFit="1" customWidth="1"/>
    <col min="256" max="256" width="10.7109375" style="14" bestFit="1" customWidth="1"/>
    <col min="257" max="257" width="20" style="14" bestFit="1" customWidth="1"/>
    <col min="258" max="258" width="11.85546875" style="14" bestFit="1" customWidth="1"/>
    <col min="259" max="259" width="10.42578125" style="14" bestFit="1" customWidth="1"/>
    <col min="260" max="260" width="42.28515625" style="14" bestFit="1" customWidth="1"/>
    <col min="261" max="261" width="13.5703125" style="14" bestFit="1" customWidth="1"/>
    <col min="262" max="262" width="7.7109375" style="14" bestFit="1" customWidth="1"/>
    <col min="263" max="263" width="10.7109375" style="14" bestFit="1" customWidth="1"/>
    <col min="264" max="264" width="9.28515625" style="14" bestFit="1" customWidth="1"/>
    <col min="265" max="265" width="8.7109375" style="14" bestFit="1" customWidth="1"/>
    <col min="266" max="504" width="9.140625" style="14"/>
    <col min="505" max="505" width="4.42578125" style="14" bestFit="1" customWidth="1"/>
    <col min="506" max="506" width="13.85546875" style="14" bestFit="1" customWidth="1"/>
    <col min="507" max="507" width="11.28515625" style="14" bestFit="1" customWidth="1"/>
    <col min="508" max="508" width="14.5703125" style="14" bestFit="1" customWidth="1"/>
    <col min="509" max="509" width="4.5703125" style="14" bestFit="1" customWidth="1"/>
    <col min="510" max="510" width="22.140625" style="14" bestFit="1" customWidth="1"/>
    <col min="511" max="511" width="24.140625" style="14" bestFit="1" customWidth="1"/>
    <col min="512" max="512" width="10.7109375" style="14" bestFit="1" customWidth="1"/>
    <col min="513" max="513" width="20" style="14" bestFit="1" customWidth="1"/>
    <col min="514" max="514" width="11.85546875" style="14" bestFit="1" customWidth="1"/>
    <col min="515" max="515" width="10.42578125" style="14" bestFit="1" customWidth="1"/>
    <col min="516" max="516" width="42.28515625" style="14" bestFit="1" customWidth="1"/>
    <col min="517" max="517" width="13.5703125" style="14" bestFit="1" customWidth="1"/>
    <col min="518" max="518" width="7.7109375" style="14" bestFit="1" customWidth="1"/>
    <col min="519" max="519" width="10.7109375" style="14" bestFit="1" customWidth="1"/>
    <col min="520" max="520" width="9.28515625" style="14" bestFit="1" customWidth="1"/>
    <col min="521" max="521" width="8.7109375" style="14" bestFit="1" customWidth="1"/>
    <col min="522" max="760" width="9.140625" style="14"/>
    <col min="761" max="761" width="4.42578125" style="14" bestFit="1" customWidth="1"/>
    <col min="762" max="762" width="13.85546875" style="14" bestFit="1" customWidth="1"/>
    <col min="763" max="763" width="11.28515625" style="14" bestFit="1" customWidth="1"/>
    <col min="764" max="764" width="14.5703125" style="14" bestFit="1" customWidth="1"/>
    <col min="765" max="765" width="4.5703125" style="14" bestFit="1" customWidth="1"/>
    <col min="766" max="766" width="22.140625" style="14" bestFit="1" customWidth="1"/>
    <col min="767" max="767" width="24.140625" style="14" bestFit="1" customWidth="1"/>
    <col min="768" max="768" width="10.7109375" style="14" bestFit="1" customWidth="1"/>
    <col min="769" max="769" width="20" style="14" bestFit="1" customWidth="1"/>
    <col min="770" max="770" width="11.85546875" style="14" bestFit="1" customWidth="1"/>
    <col min="771" max="771" width="10.42578125" style="14" bestFit="1" customWidth="1"/>
    <col min="772" max="772" width="42.28515625" style="14" bestFit="1" customWidth="1"/>
    <col min="773" max="773" width="13.5703125" style="14" bestFit="1" customWidth="1"/>
    <col min="774" max="774" width="7.7109375" style="14" bestFit="1" customWidth="1"/>
    <col min="775" max="775" width="10.7109375" style="14" bestFit="1" customWidth="1"/>
    <col min="776" max="776" width="9.28515625" style="14" bestFit="1" customWidth="1"/>
    <col min="777" max="777" width="8.7109375" style="14" bestFit="1" customWidth="1"/>
    <col min="778" max="1016" width="9.140625" style="14"/>
    <col min="1017" max="1017" width="4.42578125" style="14" bestFit="1" customWidth="1"/>
    <col min="1018" max="1018" width="13.85546875" style="14" bestFit="1" customWidth="1"/>
    <col min="1019" max="1019" width="11.28515625" style="14" bestFit="1" customWidth="1"/>
    <col min="1020" max="1020" width="14.5703125" style="14" bestFit="1" customWidth="1"/>
    <col min="1021" max="1021" width="4.5703125" style="14" bestFit="1" customWidth="1"/>
    <col min="1022" max="1022" width="22.140625" style="14" bestFit="1" customWidth="1"/>
    <col min="1023" max="1023" width="24.140625" style="14" bestFit="1" customWidth="1"/>
    <col min="1024" max="1024" width="10.7109375" style="14" bestFit="1" customWidth="1"/>
    <col min="1025" max="1025" width="20" style="14" bestFit="1" customWidth="1"/>
    <col min="1026" max="1026" width="11.85546875" style="14" bestFit="1" customWidth="1"/>
    <col min="1027" max="1027" width="10.42578125" style="14" bestFit="1" customWidth="1"/>
    <col min="1028" max="1028" width="42.28515625" style="14" bestFit="1" customWidth="1"/>
    <col min="1029" max="1029" width="13.5703125" style="14" bestFit="1" customWidth="1"/>
    <col min="1030" max="1030" width="7.7109375" style="14" bestFit="1" customWidth="1"/>
    <col min="1031" max="1031" width="10.7109375" style="14" bestFit="1" customWidth="1"/>
    <col min="1032" max="1032" width="9.28515625" style="14" bestFit="1" customWidth="1"/>
    <col min="1033" max="1033" width="8.7109375" style="14" bestFit="1" customWidth="1"/>
    <col min="1034" max="1272" width="9.140625" style="14"/>
    <col min="1273" max="1273" width="4.42578125" style="14" bestFit="1" customWidth="1"/>
    <col min="1274" max="1274" width="13.85546875" style="14" bestFit="1" customWidth="1"/>
    <col min="1275" max="1275" width="11.28515625" style="14" bestFit="1" customWidth="1"/>
    <col min="1276" max="1276" width="14.5703125" style="14" bestFit="1" customWidth="1"/>
    <col min="1277" max="1277" width="4.5703125" style="14" bestFit="1" customWidth="1"/>
    <col min="1278" max="1278" width="22.140625" style="14" bestFit="1" customWidth="1"/>
    <col min="1279" max="1279" width="24.140625" style="14" bestFit="1" customWidth="1"/>
    <col min="1280" max="1280" width="10.7109375" style="14" bestFit="1" customWidth="1"/>
    <col min="1281" max="1281" width="20" style="14" bestFit="1" customWidth="1"/>
    <col min="1282" max="1282" width="11.85546875" style="14" bestFit="1" customWidth="1"/>
    <col min="1283" max="1283" width="10.42578125" style="14" bestFit="1" customWidth="1"/>
    <col min="1284" max="1284" width="42.28515625" style="14" bestFit="1" customWidth="1"/>
    <col min="1285" max="1285" width="13.5703125" style="14" bestFit="1" customWidth="1"/>
    <col min="1286" max="1286" width="7.7109375" style="14" bestFit="1" customWidth="1"/>
    <col min="1287" max="1287" width="10.7109375" style="14" bestFit="1" customWidth="1"/>
    <col min="1288" max="1288" width="9.28515625" style="14" bestFit="1" customWidth="1"/>
    <col min="1289" max="1289" width="8.7109375" style="14" bestFit="1" customWidth="1"/>
    <col min="1290" max="1528" width="9.140625" style="14"/>
    <col min="1529" max="1529" width="4.42578125" style="14" bestFit="1" customWidth="1"/>
    <col min="1530" max="1530" width="13.85546875" style="14" bestFit="1" customWidth="1"/>
    <col min="1531" max="1531" width="11.28515625" style="14" bestFit="1" customWidth="1"/>
    <col min="1532" max="1532" width="14.5703125" style="14" bestFit="1" customWidth="1"/>
    <col min="1533" max="1533" width="4.5703125" style="14" bestFit="1" customWidth="1"/>
    <col min="1534" max="1534" width="22.140625" style="14" bestFit="1" customWidth="1"/>
    <col min="1535" max="1535" width="24.140625" style="14" bestFit="1" customWidth="1"/>
    <col min="1536" max="1536" width="10.7109375" style="14" bestFit="1" customWidth="1"/>
    <col min="1537" max="1537" width="20" style="14" bestFit="1" customWidth="1"/>
    <col min="1538" max="1538" width="11.85546875" style="14" bestFit="1" customWidth="1"/>
    <col min="1539" max="1539" width="10.42578125" style="14" bestFit="1" customWidth="1"/>
    <col min="1540" max="1540" width="42.28515625" style="14" bestFit="1" customWidth="1"/>
    <col min="1541" max="1541" width="13.5703125" style="14" bestFit="1" customWidth="1"/>
    <col min="1542" max="1542" width="7.7109375" style="14" bestFit="1" customWidth="1"/>
    <col min="1543" max="1543" width="10.7109375" style="14" bestFit="1" customWidth="1"/>
    <col min="1544" max="1544" width="9.28515625" style="14" bestFit="1" customWidth="1"/>
    <col min="1545" max="1545" width="8.7109375" style="14" bestFit="1" customWidth="1"/>
    <col min="1546" max="1784" width="9.140625" style="14"/>
    <col min="1785" max="1785" width="4.42578125" style="14" bestFit="1" customWidth="1"/>
    <col min="1786" max="1786" width="13.85546875" style="14" bestFit="1" customWidth="1"/>
    <col min="1787" max="1787" width="11.28515625" style="14" bestFit="1" customWidth="1"/>
    <col min="1788" max="1788" width="14.5703125" style="14" bestFit="1" customWidth="1"/>
    <col min="1789" max="1789" width="4.5703125" style="14" bestFit="1" customWidth="1"/>
    <col min="1790" max="1790" width="22.140625" style="14" bestFit="1" customWidth="1"/>
    <col min="1791" max="1791" width="24.140625" style="14" bestFit="1" customWidth="1"/>
    <col min="1792" max="1792" width="10.7109375" style="14" bestFit="1" customWidth="1"/>
    <col min="1793" max="1793" width="20" style="14" bestFit="1" customWidth="1"/>
    <col min="1794" max="1794" width="11.85546875" style="14" bestFit="1" customWidth="1"/>
    <col min="1795" max="1795" width="10.42578125" style="14" bestFit="1" customWidth="1"/>
    <col min="1796" max="1796" width="42.28515625" style="14" bestFit="1" customWidth="1"/>
    <col min="1797" max="1797" width="13.5703125" style="14" bestFit="1" customWidth="1"/>
    <col min="1798" max="1798" width="7.7109375" style="14" bestFit="1" customWidth="1"/>
    <col min="1799" max="1799" width="10.7109375" style="14" bestFit="1" customWidth="1"/>
    <col min="1800" max="1800" width="9.28515625" style="14" bestFit="1" customWidth="1"/>
    <col min="1801" max="1801" width="8.7109375" style="14" bestFit="1" customWidth="1"/>
    <col min="1802" max="2040" width="9.140625" style="14"/>
    <col min="2041" max="2041" width="4.42578125" style="14" bestFit="1" customWidth="1"/>
    <col min="2042" max="2042" width="13.85546875" style="14" bestFit="1" customWidth="1"/>
    <col min="2043" max="2043" width="11.28515625" style="14" bestFit="1" customWidth="1"/>
    <col min="2044" max="2044" width="14.5703125" style="14" bestFit="1" customWidth="1"/>
    <col min="2045" max="2045" width="4.5703125" style="14" bestFit="1" customWidth="1"/>
    <col min="2046" max="2046" width="22.140625" style="14" bestFit="1" customWidth="1"/>
    <col min="2047" max="2047" width="24.140625" style="14" bestFit="1" customWidth="1"/>
    <col min="2048" max="2048" width="10.7109375" style="14" bestFit="1" customWidth="1"/>
    <col min="2049" max="2049" width="20" style="14" bestFit="1" customWidth="1"/>
    <col min="2050" max="2050" width="11.85546875" style="14" bestFit="1" customWidth="1"/>
    <col min="2051" max="2051" width="10.42578125" style="14" bestFit="1" customWidth="1"/>
    <col min="2052" max="2052" width="42.28515625" style="14" bestFit="1" customWidth="1"/>
    <col min="2053" max="2053" width="13.5703125" style="14" bestFit="1" customWidth="1"/>
    <col min="2054" max="2054" width="7.7109375" style="14" bestFit="1" customWidth="1"/>
    <col min="2055" max="2055" width="10.7109375" style="14" bestFit="1" customWidth="1"/>
    <col min="2056" max="2056" width="9.28515625" style="14" bestFit="1" customWidth="1"/>
    <col min="2057" max="2057" width="8.7109375" style="14" bestFit="1" customWidth="1"/>
    <col min="2058" max="2296" width="9.140625" style="14"/>
    <col min="2297" max="2297" width="4.42578125" style="14" bestFit="1" customWidth="1"/>
    <col min="2298" max="2298" width="13.85546875" style="14" bestFit="1" customWidth="1"/>
    <col min="2299" max="2299" width="11.28515625" style="14" bestFit="1" customWidth="1"/>
    <col min="2300" max="2300" width="14.5703125" style="14" bestFit="1" customWidth="1"/>
    <col min="2301" max="2301" width="4.5703125" style="14" bestFit="1" customWidth="1"/>
    <col min="2302" max="2302" width="22.140625" style="14" bestFit="1" customWidth="1"/>
    <col min="2303" max="2303" width="24.140625" style="14" bestFit="1" customWidth="1"/>
    <col min="2304" max="2304" width="10.7109375" style="14" bestFit="1" customWidth="1"/>
    <col min="2305" max="2305" width="20" style="14" bestFit="1" customWidth="1"/>
    <col min="2306" max="2306" width="11.85546875" style="14" bestFit="1" customWidth="1"/>
    <col min="2307" max="2307" width="10.42578125" style="14" bestFit="1" customWidth="1"/>
    <col min="2308" max="2308" width="42.28515625" style="14" bestFit="1" customWidth="1"/>
    <col min="2309" max="2309" width="13.5703125" style="14" bestFit="1" customWidth="1"/>
    <col min="2310" max="2310" width="7.7109375" style="14" bestFit="1" customWidth="1"/>
    <col min="2311" max="2311" width="10.7109375" style="14" bestFit="1" customWidth="1"/>
    <col min="2312" max="2312" width="9.28515625" style="14" bestFit="1" customWidth="1"/>
    <col min="2313" max="2313" width="8.7109375" style="14" bestFit="1" customWidth="1"/>
    <col min="2314" max="2552" width="9.140625" style="14"/>
    <col min="2553" max="2553" width="4.42578125" style="14" bestFit="1" customWidth="1"/>
    <col min="2554" max="2554" width="13.85546875" style="14" bestFit="1" customWidth="1"/>
    <col min="2555" max="2555" width="11.28515625" style="14" bestFit="1" customWidth="1"/>
    <col min="2556" max="2556" width="14.5703125" style="14" bestFit="1" customWidth="1"/>
    <col min="2557" max="2557" width="4.5703125" style="14" bestFit="1" customWidth="1"/>
    <col min="2558" max="2558" width="22.140625" style="14" bestFit="1" customWidth="1"/>
    <col min="2559" max="2559" width="24.140625" style="14" bestFit="1" customWidth="1"/>
    <col min="2560" max="2560" width="10.7109375" style="14" bestFit="1" customWidth="1"/>
    <col min="2561" max="2561" width="20" style="14" bestFit="1" customWidth="1"/>
    <col min="2562" max="2562" width="11.85546875" style="14" bestFit="1" customWidth="1"/>
    <col min="2563" max="2563" width="10.42578125" style="14" bestFit="1" customWidth="1"/>
    <col min="2564" max="2564" width="42.28515625" style="14" bestFit="1" customWidth="1"/>
    <col min="2565" max="2565" width="13.5703125" style="14" bestFit="1" customWidth="1"/>
    <col min="2566" max="2566" width="7.7109375" style="14" bestFit="1" customWidth="1"/>
    <col min="2567" max="2567" width="10.7109375" style="14" bestFit="1" customWidth="1"/>
    <col min="2568" max="2568" width="9.28515625" style="14" bestFit="1" customWidth="1"/>
    <col min="2569" max="2569" width="8.7109375" style="14" bestFit="1" customWidth="1"/>
    <col min="2570" max="2808" width="9.140625" style="14"/>
    <col min="2809" max="2809" width="4.42578125" style="14" bestFit="1" customWidth="1"/>
    <col min="2810" max="2810" width="13.85546875" style="14" bestFit="1" customWidth="1"/>
    <col min="2811" max="2811" width="11.28515625" style="14" bestFit="1" customWidth="1"/>
    <col min="2812" max="2812" width="14.5703125" style="14" bestFit="1" customWidth="1"/>
    <col min="2813" max="2813" width="4.5703125" style="14" bestFit="1" customWidth="1"/>
    <col min="2814" max="2814" width="22.140625" style="14" bestFit="1" customWidth="1"/>
    <col min="2815" max="2815" width="24.140625" style="14" bestFit="1" customWidth="1"/>
    <col min="2816" max="2816" width="10.7109375" style="14" bestFit="1" customWidth="1"/>
    <col min="2817" max="2817" width="20" style="14" bestFit="1" customWidth="1"/>
    <col min="2818" max="2818" width="11.85546875" style="14" bestFit="1" customWidth="1"/>
    <col min="2819" max="2819" width="10.42578125" style="14" bestFit="1" customWidth="1"/>
    <col min="2820" max="2820" width="42.28515625" style="14" bestFit="1" customWidth="1"/>
    <col min="2821" max="2821" width="13.5703125" style="14" bestFit="1" customWidth="1"/>
    <col min="2822" max="2822" width="7.7109375" style="14" bestFit="1" customWidth="1"/>
    <col min="2823" max="2823" width="10.7109375" style="14" bestFit="1" customWidth="1"/>
    <col min="2824" max="2824" width="9.28515625" style="14" bestFit="1" customWidth="1"/>
    <col min="2825" max="2825" width="8.7109375" style="14" bestFit="1" customWidth="1"/>
    <col min="2826" max="3064" width="9.140625" style="14"/>
    <col min="3065" max="3065" width="4.42578125" style="14" bestFit="1" customWidth="1"/>
    <col min="3066" max="3066" width="13.85546875" style="14" bestFit="1" customWidth="1"/>
    <col min="3067" max="3067" width="11.28515625" style="14" bestFit="1" customWidth="1"/>
    <col min="3068" max="3068" width="14.5703125" style="14" bestFit="1" customWidth="1"/>
    <col min="3069" max="3069" width="4.5703125" style="14" bestFit="1" customWidth="1"/>
    <col min="3070" max="3070" width="22.140625" style="14" bestFit="1" customWidth="1"/>
    <col min="3071" max="3071" width="24.140625" style="14" bestFit="1" customWidth="1"/>
    <col min="3072" max="3072" width="10.7109375" style="14" bestFit="1" customWidth="1"/>
    <col min="3073" max="3073" width="20" style="14" bestFit="1" customWidth="1"/>
    <col min="3074" max="3074" width="11.85546875" style="14" bestFit="1" customWidth="1"/>
    <col min="3075" max="3075" width="10.42578125" style="14" bestFit="1" customWidth="1"/>
    <col min="3076" max="3076" width="42.28515625" style="14" bestFit="1" customWidth="1"/>
    <col min="3077" max="3077" width="13.5703125" style="14" bestFit="1" customWidth="1"/>
    <col min="3078" max="3078" width="7.7109375" style="14" bestFit="1" customWidth="1"/>
    <col min="3079" max="3079" width="10.7109375" style="14" bestFit="1" customWidth="1"/>
    <col min="3080" max="3080" width="9.28515625" style="14" bestFit="1" customWidth="1"/>
    <col min="3081" max="3081" width="8.7109375" style="14" bestFit="1" customWidth="1"/>
    <col min="3082" max="3320" width="9.140625" style="14"/>
    <col min="3321" max="3321" width="4.42578125" style="14" bestFit="1" customWidth="1"/>
    <col min="3322" max="3322" width="13.85546875" style="14" bestFit="1" customWidth="1"/>
    <col min="3323" max="3323" width="11.28515625" style="14" bestFit="1" customWidth="1"/>
    <col min="3324" max="3324" width="14.5703125" style="14" bestFit="1" customWidth="1"/>
    <col min="3325" max="3325" width="4.5703125" style="14" bestFit="1" customWidth="1"/>
    <col min="3326" max="3326" width="22.140625" style="14" bestFit="1" customWidth="1"/>
    <col min="3327" max="3327" width="24.140625" style="14" bestFit="1" customWidth="1"/>
    <col min="3328" max="3328" width="10.7109375" style="14" bestFit="1" customWidth="1"/>
    <col min="3329" max="3329" width="20" style="14" bestFit="1" customWidth="1"/>
    <col min="3330" max="3330" width="11.85546875" style="14" bestFit="1" customWidth="1"/>
    <col min="3331" max="3331" width="10.42578125" style="14" bestFit="1" customWidth="1"/>
    <col min="3332" max="3332" width="42.28515625" style="14" bestFit="1" customWidth="1"/>
    <col min="3333" max="3333" width="13.5703125" style="14" bestFit="1" customWidth="1"/>
    <col min="3334" max="3334" width="7.7109375" style="14" bestFit="1" customWidth="1"/>
    <col min="3335" max="3335" width="10.7109375" style="14" bestFit="1" customWidth="1"/>
    <col min="3336" max="3336" width="9.28515625" style="14" bestFit="1" customWidth="1"/>
    <col min="3337" max="3337" width="8.7109375" style="14" bestFit="1" customWidth="1"/>
    <col min="3338" max="3576" width="9.140625" style="14"/>
    <col min="3577" max="3577" width="4.42578125" style="14" bestFit="1" customWidth="1"/>
    <col min="3578" max="3578" width="13.85546875" style="14" bestFit="1" customWidth="1"/>
    <col min="3579" max="3579" width="11.28515625" style="14" bestFit="1" customWidth="1"/>
    <col min="3580" max="3580" width="14.5703125" style="14" bestFit="1" customWidth="1"/>
    <col min="3581" max="3581" width="4.5703125" style="14" bestFit="1" customWidth="1"/>
    <col min="3582" max="3582" width="22.140625" style="14" bestFit="1" customWidth="1"/>
    <col min="3583" max="3583" width="24.140625" style="14" bestFit="1" customWidth="1"/>
    <col min="3584" max="3584" width="10.7109375" style="14" bestFit="1" customWidth="1"/>
    <col min="3585" max="3585" width="20" style="14" bestFit="1" customWidth="1"/>
    <col min="3586" max="3586" width="11.85546875" style="14" bestFit="1" customWidth="1"/>
    <col min="3587" max="3587" width="10.42578125" style="14" bestFit="1" customWidth="1"/>
    <col min="3588" max="3588" width="42.28515625" style="14" bestFit="1" customWidth="1"/>
    <col min="3589" max="3589" width="13.5703125" style="14" bestFit="1" customWidth="1"/>
    <col min="3590" max="3590" width="7.7109375" style="14" bestFit="1" customWidth="1"/>
    <col min="3591" max="3591" width="10.7109375" style="14" bestFit="1" customWidth="1"/>
    <col min="3592" max="3592" width="9.28515625" style="14" bestFit="1" customWidth="1"/>
    <col min="3593" max="3593" width="8.7109375" style="14" bestFit="1" customWidth="1"/>
    <col min="3594" max="3832" width="9.140625" style="14"/>
    <col min="3833" max="3833" width="4.42578125" style="14" bestFit="1" customWidth="1"/>
    <col min="3834" max="3834" width="13.85546875" style="14" bestFit="1" customWidth="1"/>
    <col min="3835" max="3835" width="11.28515625" style="14" bestFit="1" customWidth="1"/>
    <col min="3836" max="3836" width="14.5703125" style="14" bestFit="1" customWidth="1"/>
    <col min="3837" max="3837" width="4.5703125" style="14" bestFit="1" customWidth="1"/>
    <col min="3838" max="3838" width="22.140625" style="14" bestFit="1" customWidth="1"/>
    <col min="3839" max="3839" width="24.140625" style="14" bestFit="1" customWidth="1"/>
    <col min="3840" max="3840" width="10.7109375" style="14" bestFit="1" customWidth="1"/>
    <col min="3841" max="3841" width="20" style="14" bestFit="1" customWidth="1"/>
    <col min="3842" max="3842" width="11.85546875" style="14" bestFit="1" customWidth="1"/>
    <col min="3843" max="3843" width="10.42578125" style="14" bestFit="1" customWidth="1"/>
    <col min="3844" max="3844" width="42.28515625" style="14" bestFit="1" customWidth="1"/>
    <col min="3845" max="3845" width="13.5703125" style="14" bestFit="1" customWidth="1"/>
    <col min="3846" max="3846" width="7.7109375" style="14" bestFit="1" customWidth="1"/>
    <col min="3847" max="3847" width="10.7109375" style="14" bestFit="1" customWidth="1"/>
    <col min="3848" max="3848" width="9.28515625" style="14" bestFit="1" customWidth="1"/>
    <col min="3849" max="3849" width="8.7109375" style="14" bestFit="1" customWidth="1"/>
    <col min="3850" max="4088" width="9.140625" style="14"/>
    <col min="4089" max="4089" width="4.42578125" style="14" bestFit="1" customWidth="1"/>
    <col min="4090" max="4090" width="13.85546875" style="14" bestFit="1" customWidth="1"/>
    <col min="4091" max="4091" width="11.28515625" style="14" bestFit="1" customWidth="1"/>
    <col min="4092" max="4092" width="14.5703125" style="14" bestFit="1" customWidth="1"/>
    <col min="4093" max="4093" width="4.5703125" style="14" bestFit="1" customWidth="1"/>
    <col min="4094" max="4094" width="22.140625" style="14" bestFit="1" customWidth="1"/>
    <col min="4095" max="4095" width="24.140625" style="14" bestFit="1" customWidth="1"/>
    <col min="4096" max="4096" width="10.7109375" style="14" bestFit="1" customWidth="1"/>
    <col min="4097" max="4097" width="20" style="14" bestFit="1" customWidth="1"/>
    <col min="4098" max="4098" width="11.85546875" style="14" bestFit="1" customWidth="1"/>
    <col min="4099" max="4099" width="10.42578125" style="14" bestFit="1" customWidth="1"/>
    <col min="4100" max="4100" width="42.28515625" style="14" bestFit="1" customWidth="1"/>
    <col min="4101" max="4101" width="13.5703125" style="14" bestFit="1" customWidth="1"/>
    <col min="4102" max="4102" width="7.7109375" style="14" bestFit="1" customWidth="1"/>
    <col min="4103" max="4103" width="10.7109375" style="14" bestFit="1" customWidth="1"/>
    <col min="4104" max="4104" width="9.28515625" style="14" bestFit="1" customWidth="1"/>
    <col min="4105" max="4105" width="8.7109375" style="14" bestFit="1" customWidth="1"/>
    <col min="4106" max="4344" width="9.140625" style="14"/>
    <col min="4345" max="4345" width="4.42578125" style="14" bestFit="1" customWidth="1"/>
    <col min="4346" max="4346" width="13.85546875" style="14" bestFit="1" customWidth="1"/>
    <col min="4347" max="4347" width="11.28515625" style="14" bestFit="1" customWidth="1"/>
    <col min="4348" max="4348" width="14.5703125" style="14" bestFit="1" customWidth="1"/>
    <col min="4349" max="4349" width="4.5703125" style="14" bestFit="1" customWidth="1"/>
    <col min="4350" max="4350" width="22.140625" style="14" bestFit="1" customWidth="1"/>
    <col min="4351" max="4351" width="24.140625" style="14" bestFit="1" customWidth="1"/>
    <col min="4352" max="4352" width="10.7109375" style="14" bestFit="1" customWidth="1"/>
    <col min="4353" max="4353" width="20" style="14" bestFit="1" customWidth="1"/>
    <col min="4354" max="4354" width="11.85546875" style="14" bestFit="1" customWidth="1"/>
    <col min="4355" max="4355" width="10.42578125" style="14" bestFit="1" customWidth="1"/>
    <col min="4356" max="4356" width="42.28515625" style="14" bestFit="1" customWidth="1"/>
    <col min="4357" max="4357" width="13.5703125" style="14" bestFit="1" customWidth="1"/>
    <col min="4358" max="4358" width="7.7109375" style="14" bestFit="1" customWidth="1"/>
    <col min="4359" max="4359" width="10.7109375" style="14" bestFit="1" customWidth="1"/>
    <col min="4360" max="4360" width="9.28515625" style="14" bestFit="1" customWidth="1"/>
    <col min="4361" max="4361" width="8.7109375" style="14" bestFit="1" customWidth="1"/>
    <col min="4362" max="4600" width="9.140625" style="14"/>
    <col min="4601" max="4601" width="4.42578125" style="14" bestFit="1" customWidth="1"/>
    <col min="4602" max="4602" width="13.85546875" style="14" bestFit="1" customWidth="1"/>
    <col min="4603" max="4603" width="11.28515625" style="14" bestFit="1" customWidth="1"/>
    <col min="4604" max="4604" width="14.5703125" style="14" bestFit="1" customWidth="1"/>
    <col min="4605" max="4605" width="4.5703125" style="14" bestFit="1" customWidth="1"/>
    <col min="4606" max="4606" width="22.140625" style="14" bestFit="1" customWidth="1"/>
    <col min="4607" max="4607" width="24.140625" style="14" bestFit="1" customWidth="1"/>
    <col min="4608" max="4608" width="10.7109375" style="14" bestFit="1" customWidth="1"/>
    <col min="4609" max="4609" width="20" style="14" bestFit="1" customWidth="1"/>
    <col min="4610" max="4610" width="11.85546875" style="14" bestFit="1" customWidth="1"/>
    <col min="4611" max="4611" width="10.42578125" style="14" bestFit="1" customWidth="1"/>
    <col min="4612" max="4612" width="42.28515625" style="14" bestFit="1" customWidth="1"/>
    <col min="4613" max="4613" width="13.5703125" style="14" bestFit="1" customWidth="1"/>
    <col min="4614" max="4614" width="7.7109375" style="14" bestFit="1" customWidth="1"/>
    <col min="4615" max="4615" width="10.7109375" style="14" bestFit="1" customWidth="1"/>
    <col min="4616" max="4616" width="9.28515625" style="14" bestFit="1" customWidth="1"/>
    <col min="4617" max="4617" width="8.7109375" style="14" bestFit="1" customWidth="1"/>
    <col min="4618" max="4856" width="9.140625" style="14"/>
    <col min="4857" max="4857" width="4.42578125" style="14" bestFit="1" customWidth="1"/>
    <col min="4858" max="4858" width="13.85546875" style="14" bestFit="1" customWidth="1"/>
    <col min="4859" max="4859" width="11.28515625" style="14" bestFit="1" customWidth="1"/>
    <col min="4860" max="4860" width="14.5703125" style="14" bestFit="1" customWidth="1"/>
    <col min="4861" max="4861" width="4.5703125" style="14" bestFit="1" customWidth="1"/>
    <col min="4862" max="4862" width="22.140625" style="14" bestFit="1" customWidth="1"/>
    <col min="4863" max="4863" width="24.140625" style="14" bestFit="1" customWidth="1"/>
    <col min="4864" max="4864" width="10.7109375" style="14" bestFit="1" customWidth="1"/>
    <col min="4865" max="4865" width="20" style="14" bestFit="1" customWidth="1"/>
    <col min="4866" max="4866" width="11.85546875" style="14" bestFit="1" customWidth="1"/>
    <col min="4867" max="4867" width="10.42578125" style="14" bestFit="1" customWidth="1"/>
    <col min="4868" max="4868" width="42.28515625" style="14" bestFit="1" customWidth="1"/>
    <col min="4869" max="4869" width="13.5703125" style="14" bestFit="1" customWidth="1"/>
    <col min="4870" max="4870" width="7.7109375" style="14" bestFit="1" customWidth="1"/>
    <col min="4871" max="4871" width="10.7109375" style="14" bestFit="1" customWidth="1"/>
    <col min="4872" max="4872" width="9.28515625" style="14" bestFit="1" customWidth="1"/>
    <col min="4873" max="4873" width="8.7109375" style="14" bestFit="1" customWidth="1"/>
    <col min="4874" max="5112" width="9.140625" style="14"/>
    <col min="5113" max="5113" width="4.42578125" style="14" bestFit="1" customWidth="1"/>
    <col min="5114" max="5114" width="13.85546875" style="14" bestFit="1" customWidth="1"/>
    <col min="5115" max="5115" width="11.28515625" style="14" bestFit="1" customWidth="1"/>
    <col min="5116" max="5116" width="14.5703125" style="14" bestFit="1" customWidth="1"/>
    <col min="5117" max="5117" width="4.5703125" style="14" bestFit="1" customWidth="1"/>
    <col min="5118" max="5118" width="22.140625" style="14" bestFit="1" customWidth="1"/>
    <col min="5119" max="5119" width="24.140625" style="14" bestFit="1" customWidth="1"/>
    <col min="5120" max="5120" width="10.7109375" style="14" bestFit="1" customWidth="1"/>
    <col min="5121" max="5121" width="20" style="14" bestFit="1" customWidth="1"/>
    <col min="5122" max="5122" width="11.85546875" style="14" bestFit="1" customWidth="1"/>
    <col min="5123" max="5123" width="10.42578125" style="14" bestFit="1" customWidth="1"/>
    <col min="5124" max="5124" width="42.28515625" style="14" bestFit="1" customWidth="1"/>
    <col min="5125" max="5125" width="13.5703125" style="14" bestFit="1" customWidth="1"/>
    <col min="5126" max="5126" width="7.7109375" style="14" bestFit="1" customWidth="1"/>
    <col min="5127" max="5127" width="10.7109375" style="14" bestFit="1" customWidth="1"/>
    <col min="5128" max="5128" width="9.28515625" style="14" bestFit="1" customWidth="1"/>
    <col min="5129" max="5129" width="8.7109375" style="14" bestFit="1" customWidth="1"/>
    <col min="5130" max="5368" width="9.140625" style="14"/>
    <col min="5369" max="5369" width="4.42578125" style="14" bestFit="1" customWidth="1"/>
    <col min="5370" max="5370" width="13.85546875" style="14" bestFit="1" customWidth="1"/>
    <col min="5371" max="5371" width="11.28515625" style="14" bestFit="1" customWidth="1"/>
    <col min="5372" max="5372" width="14.5703125" style="14" bestFit="1" customWidth="1"/>
    <col min="5373" max="5373" width="4.5703125" style="14" bestFit="1" customWidth="1"/>
    <col min="5374" max="5374" width="22.140625" style="14" bestFit="1" customWidth="1"/>
    <col min="5375" max="5375" width="24.140625" style="14" bestFit="1" customWidth="1"/>
    <col min="5376" max="5376" width="10.7109375" style="14" bestFit="1" customWidth="1"/>
    <col min="5377" max="5377" width="20" style="14" bestFit="1" customWidth="1"/>
    <col min="5378" max="5378" width="11.85546875" style="14" bestFit="1" customWidth="1"/>
    <col min="5379" max="5379" width="10.42578125" style="14" bestFit="1" customWidth="1"/>
    <col min="5380" max="5380" width="42.28515625" style="14" bestFit="1" customWidth="1"/>
    <col min="5381" max="5381" width="13.5703125" style="14" bestFit="1" customWidth="1"/>
    <col min="5382" max="5382" width="7.7109375" style="14" bestFit="1" customWidth="1"/>
    <col min="5383" max="5383" width="10.7109375" style="14" bestFit="1" customWidth="1"/>
    <col min="5384" max="5384" width="9.28515625" style="14" bestFit="1" customWidth="1"/>
    <col min="5385" max="5385" width="8.7109375" style="14" bestFit="1" customWidth="1"/>
    <col min="5386" max="5624" width="9.140625" style="14"/>
    <col min="5625" max="5625" width="4.42578125" style="14" bestFit="1" customWidth="1"/>
    <col min="5626" max="5626" width="13.85546875" style="14" bestFit="1" customWidth="1"/>
    <col min="5627" max="5627" width="11.28515625" style="14" bestFit="1" customWidth="1"/>
    <col min="5628" max="5628" width="14.5703125" style="14" bestFit="1" customWidth="1"/>
    <col min="5629" max="5629" width="4.5703125" style="14" bestFit="1" customWidth="1"/>
    <col min="5630" max="5630" width="22.140625" style="14" bestFit="1" customWidth="1"/>
    <col min="5631" max="5631" width="24.140625" style="14" bestFit="1" customWidth="1"/>
    <col min="5632" max="5632" width="10.7109375" style="14" bestFit="1" customWidth="1"/>
    <col min="5633" max="5633" width="20" style="14" bestFit="1" customWidth="1"/>
    <col min="5634" max="5634" width="11.85546875" style="14" bestFit="1" customWidth="1"/>
    <col min="5635" max="5635" width="10.42578125" style="14" bestFit="1" customWidth="1"/>
    <col min="5636" max="5636" width="42.28515625" style="14" bestFit="1" customWidth="1"/>
    <col min="5637" max="5637" width="13.5703125" style="14" bestFit="1" customWidth="1"/>
    <col min="5638" max="5638" width="7.7109375" style="14" bestFit="1" customWidth="1"/>
    <col min="5639" max="5639" width="10.7109375" style="14" bestFit="1" customWidth="1"/>
    <col min="5640" max="5640" width="9.28515625" style="14" bestFit="1" customWidth="1"/>
    <col min="5641" max="5641" width="8.7109375" style="14" bestFit="1" customWidth="1"/>
    <col min="5642" max="5880" width="9.140625" style="14"/>
    <col min="5881" max="5881" width="4.42578125" style="14" bestFit="1" customWidth="1"/>
    <col min="5882" max="5882" width="13.85546875" style="14" bestFit="1" customWidth="1"/>
    <col min="5883" max="5883" width="11.28515625" style="14" bestFit="1" customWidth="1"/>
    <col min="5884" max="5884" width="14.5703125" style="14" bestFit="1" customWidth="1"/>
    <col min="5885" max="5885" width="4.5703125" style="14" bestFit="1" customWidth="1"/>
    <col min="5886" max="5886" width="22.140625" style="14" bestFit="1" customWidth="1"/>
    <col min="5887" max="5887" width="24.140625" style="14" bestFit="1" customWidth="1"/>
    <col min="5888" max="5888" width="10.7109375" style="14" bestFit="1" customWidth="1"/>
    <col min="5889" max="5889" width="20" style="14" bestFit="1" customWidth="1"/>
    <col min="5890" max="5890" width="11.85546875" style="14" bestFit="1" customWidth="1"/>
    <col min="5891" max="5891" width="10.42578125" style="14" bestFit="1" customWidth="1"/>
    <col min="5892" max="5892" width="42.28515625" style="14" bestFit="1" customWidth="1"/>
    <col min="5893" max="5893" width="13.5703125" style="14" bestFit="1" customWidth="1"/>
    <col min="5894" max="5894" width="7.7109375" style="14" bestFit="1" customWidth="1"/>
    <col min="5895" max="5895" width="10.7109375" style="14" bestFit="1" customWidth="1"/>
    <col min="5896" max="5896" width="9.28515625" style="14" bestFit="1" customWidth="1"/>
    <col min="5897" max="5897" width="8.7109375" style="14" bestFit="1" customWidth="1"/>
    <col min="5898" max="6136" width="9.140625" style="14"/>
    <col min="6137" max="6137" width="4.42578125" style="14" bestFit="1" customWidth="1"/>
    <col min="6138" max="6138" width="13.85546875" style="14" bestFit="1" customWidth="1"/>
    <col min="6139" max="6139" width="11.28515625" style="14" bestFit="1" customWidth="1"/>
    <col min="6140" max="6140" width="14.5703125" style="14" bestFit="1" customWidth="1"/>
    <col min="6141" max="6141" width="4.5703125" style="14" bestFit="1" customWidth="1"/>
    <col min="6142" max="6142" width="22.140625" style="14" bestFit="1" customWidth="1"/>
    <col min="6143" max="6143" width="24.140625" style="14" bestFit="1" customWidth="1"/>
    <col min="6144" max="6144" width="10.7109375" style="14" bestFit="1" customWidth="1"/>
    <col min="6145" max="6145" width="20" style="14" bestFit="1" customWidth="1"/>
    <col min="6146" max="6146" width="11.85546875" style="14" bestFit="1" customWidth="1"/>
    <col min="6147" max="6147" width="10.42578125" style="14" bestFit="1" customWidth="1"/>
    <col min="6148" max="6148" width="42.28515625" style="14" bestFit="1" customWidth="1"/>
    <col min="6149" max="6149" width="13.5703125" style="14" bestFit="1" customWidth="1"/>
    <col min="6150" max="6150" width="7.7109375" style="14" bestFit="1" customWidth="1"/>
    <col min="6151" max="6151" width="10.7109375" style="14" bestFit="1" customWidth="1"/>
    <col min="6152" max="6152" width="9.28515625" style="14" bestFit="1" customWidth="1"/>
    <col min="6153" max="6153" width="8.7109375" style="14" bestFit="1" customWidth="1"/>
    <col min="6154" max="6392" width="9.140625" style="14"/>
    <col min="6393" max="6393" width="4.42578125" style="14" bestFit="1" customWidth="1"/>
    <col min="6394" max="6394" width="13.85546875" style="14" bestFit="1" customWidth="1"/>
    <col min="6395" max="6395" width="11.28515625" style="14" bestFit="1" customWidth="1"/>
    <col min="6396" max="6396" width="14.5703125" style="14" bestFit="1" customWidth="1"/>
    <col min="6397" max="6397" width="4.5703125" style="14" bestFit="1" customWidth="1"/>
    <col min="6398" max="6398" width="22.140625" style="14" bestFit="1" customWidth="1"/>
    <col min="6399" max="6399" width="24.140625" style="14" bestFit="1" customWidth="1"/>
    <col min="6400" max="6400" width="10.7109375" style="14" bestFit="1" customWidth="1"/>
    <col min="6401" max="6401" width="20" style="14" bestFit="1" customWidth="1"/>
    <col min="6402" max="6402" width="11.85546875" style="14" bestFit="1" customWidth="1"/>
    <col min="6403" max="6403" width="10.42578125" style="14" bestFit="1" customWidth="1"/>
    <col min="6404" max="6404" width="42.28515625" style="14" bestFit="1" customWidth="1"/>
    <col min="6405" max="6405" width="13.5703125" style="14" bestFit="1" customWidth="1"/>
    <col min="6406" max="6406" width="7.7109375" style="14" bestFit="1" customWidth="1"/>
    <col min="6407" max="6407" width="10.7109375" style="14" bestFit="1" customWidth="1"/>
    <col min="6408" max="6408" width="9.28515625" style="14" bestFit="1" customWidth="1"/>
    <col min="6409" max="6409" width="8.7109375" style="14" bestFit="1" customWidth="1"/>
    <col min="6410" max="6648" width="9.140625" style="14"/>
    <col min="6649" max="6649" width="4.42578125" style="14" bestFit="1" customWidth="1"/>
    <col min="6650" max="6650" width="13.85546875" style="14" bestFit="1" customWidth="1"/>
    <col min="6651" max="6651" width="11.28515625" style="14" bestFit="1" customWidth="1"/>
    <col min="6652" max="6652" width="14.5703125" style="14" bestFit="1" customWidth="1"/>
    <col min="6653" max="6653" width="4.5703125" style="14" bestFit="1" customWidth="1"/>
    <col min="6654" max="6654" width="22.140625" style="14" bestFit="1" customWidth="1"/>
    <col min="6655" max="6655" width="24.140625" style="14" bestFit="1" customWidth="1"/>
    <col min="6656" max="6656" width="10.7109375" style="14" bestFit="1" customWidth="1"/>
    <col min="6657" max="6657" width="20" style="14" bestFit="1" customWidth="1"/>
    <col min="6658" max="6658" width="11.85546875" style="14" bestFit="1" customWidth="1"/>
    <col min="6659" max="6659" width="10.42578125" style="14" bestFit="1" customWidth="1"/>
    <col min="6660" max="6660" width="42.28515625" style="14" bestFit="1" customWidth="1"/>
    <col min="6661" max="6661" width="13.5703125" style="14" bestFit="1" customWidth="1"/>
    <col min="6662" max="6662" width="7.7109375" style="14" bestFit="1" customWidth="1"/>
    <col min="6663" max="6663" width="10.7109375" style="14" bestFit="1" customWidth="1"/>
    <col min="6664" max="6664" width="9.28515625" style="14" bestFit="1" customWidth="1"/>
    <col min="6665" max="6665" width="8.7109375" style="14" bestFit="1" customWidth="1"/>
    <col min="6666" max="6904" width="9.140625" style="14"/>
    <col min="6905" max="6905" width="4.42578125" style="14" bestFit="1" customWidth="1"/>
    <col min="6906" max="6906" width="13.85546875" style="14" bestFit="1" customWidth="1"/>
    <col min="6907" max="6907" width="11.28515625" style="14" bestFit="1" customWidth="1"/>
    <col min="6908" max="6908" width="14.5703125" style="14" bestFit="1" customWidth="1"/>
    <col min="6909" max="6909" width="4.5703125" style="14" bestFit="1" customWidth="1"/>
    <col min="6910" max="6910" width="22.140625" style="14" bestFit="1" customWidth="1"/>
    <col min="6911" max="6911" width="24.140625" style="14" bestFit="1" customWidth="1"/>
    <col min="6912" max="6912" width="10.7109375" style="14" bestFit="1" customWidth="1"/>
    <col min="6913" max="6913" width="20" style="14" bestFit="1" customWidth="1"/>
    <col min="6914" max="6914" width="11.85546875" style="14" bestFit="1" customWidth="1"/>
    <col min="6915" max="6915" width="10.42578125" style="14" bestFit="1" customWidth="1"/>
    <col min="6916" max="6916" width="42.28515625" style="14" bestFit="1" customWidth="1"/>
    <col min="6917" max="6917" width="13.5703125" style="14" bestFit="1" customWidth="1"/>
    <col min="6918" max="6918" width="7.7109375" style="14" bestFit="1" customWidth="1"/>
    <col min="6919" max="6919" width="10.7109375" style="14" bestFit="1" customWidth="1"/>
    <col min="6920" max="6920" width="9.28515625" style="14" bestFit="1" customWidth="1"/>
    <col min="6921" max="6921" width="8.7109375" style="14" bestFit="1" customWidth="1"/>
    <col min="6922" max="7160" width="9.140625" style="14"/>
    <col min="7161" max="7161" width="4.42578125" style="14" bestFit="1" customWidth="1"/>
    <col min="7162" max="7162" width="13.85546875" style="14" bestFit="1" customWidth="1"/>
    <col min="7163" max="7163" width="11.28515625" style="14" bestFit="1" customWidth="1"/>
    <col min="7164" max="7164" width="14.5703125" style="14" bestFit="1" customWidth="1"/>
    <col min="7165" max="7165" width="4.5703125" style="14" bestFit="1" customWidth="1"/>
    <col min="7166" max="7166" width="22.140625" style="14" bestFit="1" customWidth="1"/>
    <col min="7167" max="7167" width="24.140625" style="14" bestFit="1" customWidth="1"/>
    <col min="7168" max="7168" width="10.7109375" style="14" bestFit="1" customWidth="1"/>
    <col min="7169" max="7169" width="20" style="14" bestFit="1" customWidth="1"/>
    <col min="7170" max="7170" width="11.85546875" style="14" bestFit="1" customWidth="1"/>
    <col min="7171" max="7171" width="10.42578125" style="14" bestFit="1" customWidth="1"/>
    <col min="7172" max="7172" width="42.28515625" style="14" bestFit="1" customWidth="1"/>
    <col min="7173" max="7173" width="13.5703125" style="14" bestFit="1" customWidth="1"/>
    <col min="7174" max="7174" width="7.7109375" style="14" bestFit="1" customWidth="1"/>
    <col min="7175" max="7175" width="10.7109375" style="14" bestFit="1" customWidth="1"/>
    <col min="7176" max="7176" width="9.28515625" style="14" bestFit="1" customWidth="1"/>
    <col min="7177" max="7177" width="8.7109375" style="14" bestFit="1" customWidth="1"/>
    <col min="7178" max="7416" width="9.140625" style="14"/>
    <col min="7417" max="7417" width="4.42578125" style="14" bestFit="1" customWidth="1"/>
    <col min="7418" max="7418" width="13.85546875" style="14" bestFit="1" customWidth="1"/>
    <col min="7419" max="7419" width="11.28515625" style="14" bestFit="1" customWidth="1"/>
    <col min="7420" max="7420" width="14.5703125" style="14" bestFit="1" customWidth="1"/>
    <col min="7421" max="7421" width="4.5703125" style="14" bestFit="1" customWidth="1"/>
    <col min="7422" max="7422" width="22.140625" style="14" bestFit="1" customWidth="1"/>
    <col min="7423" max="7423" width="24.140625" style="14" bestFit="1" customWidth="1"/>
    <col min="7424" max="7424" width="10.7109375" style="14" bestFit="1" customWidth="1"/>
    <col min="7425" max="7425" width="20" style="14" bestFit="1" customWidth="1"/>
    <col min="7426" max="7426" width="11.85546875" style="14" bestFit="1" customWidth="1"/>
    <col min="7427" max="7427" width="10.42578125" style="14" bestFit="1" customWidth="1"/>
    <col min="7428" max="7428" width="42.28515625" style="14" bestFit="1" customWidth="1"/>
    <col min="7429" max="7429" width="13.5703125" style="14" bestFit="1" customWidth="1"/>
    <col min="7430" max="7430" width="7.7109375" style="14" bestFit="1" customWidth="1"/>
    <col min="7431" max="7431" width="10.7109375" style="14" bestFit="1" customWidth="1"/>
    <col min="7432" max="7432" width="9.28515625" style="14" bestFit="1" customWidth="1"/>
    <col min="7433" max="7433" width="8.7109375" style="14" bestFit="1" customWidth="1"/>
    <col min="7434" max="7672" width="9.140625" style="14"/>
    <col min="7673" max="7673" width="4.42578125" style="14" bestFit="1" customWidth="1"/>
    <col min="7674" max="7674" width="13.85546875" style="14" bestFit="1" customWidth="1"/>
    <col min="7675" max="7675" width="11.28515625" style="14" bestFit="1" customWidth="1"/>
    <col min="7676" max="7676" width="14.5703125" style="14" bestFit="1" customWidth="1"/>
    <col min="7677" max="7677" width="4.5703125" style="14" bestFit="1" customWidth="1"/>
    <col min="7678" max="7678" width="22.140625" style="14" bestFit="1" customWidth="1"/>
    <col min="7679" max="7679" width="24.140625" style="14" bestFit="1" customWidth="1"/>
    <col min="7680" max="7680" width="10.7109375" style="14" bestFit="1" customWidth="1"/>
    <col min="7681" max="7681" width="20" style="14" bestFit="1" customWidth="1"/>
    <col min="7682" max="7682" width="11.85546875" style="14" bestFit="1" customWidth="1"/>
    <col min="7683" max="7683" width="10.42578125" style="14" bestFit="1" customWidth="1"/>
    <col min="7684" max="7684" width="42.28515625" style="14" bestFit="1" customWidth="1"/>
    <col min="7685" max="7685" width="13.5703125" style="14" bestFit="1" customWidth="1"/>
    <col min="7686" max="7686" width="7.7109375" style="14" bestFit="1" customWidth="1"/>
    <col min="7687" max="7687" width="10.7109375" style="14" bestFit="1" customWidth="1"/>
    <col min="7688" max="7688" width="9.28515625" style="14" bestFit="1" customWidth="1"/>
    <col min="7689" max="7689" width="8.7109375" style="14" bestFit="1" customWidth="1"/>
    <col min="7690" max="7928" width="9.140625" style="14"/>
    <col min="7929" max="7929" width="4.42578125" style="14" bestFit="1" customWidth="1"/>
    <col min="7930" max="7930" width="13.85546875" style="14" bestFit="1" customWidth="1"/>
    <col min="7931" max="7931" width="11.28515625" style="14" bestFit="1" customWidth="1"/>
    <col min="7932" max="7932" width="14.5703125" style="14" bestFit="1" customWidth="1"/>
    <col min="7933" max="7933" width="4.5703125" style="14" bestFit="1" customWidth="1"/>
    <col min="7934" max="7934" width="22.140625" style="14" bestFit="1" customWidth="1"/>
    <col min="7935" max="7935" width="24.140625" style="14" bestFit="1" customWidth="1"/>
    <col min="7936" max="7936" width="10.7109375" style="14" bestFit="1" customWidth="1"/>
    <col min="7937" max="7937" width="20" style="14" bestFit="1" customWidth="1"/>
    <col min="7938" max="7938" width="11.85546875" style="14" bestFit="1" customWidth="1"/>
    <col min="7939" max="7939" width="10.42578125" style="14" bestFit="1" customWidth="1"/>
    <col min="7940" max="7940" width="42.28515625" style="14" bestFit="1" customWidth="1"/>
    <col min="7941" max="7941" width="13.5703125" style="14" bestFit="1" customWidth="1"/>
    <col min="7942" max="7942" width="7.7109375" style="14" bestFit="1" customWidth="1"/>
    <col min="7943" max="7943" width="10.7109375" style="14" bestFit="1" customWidth="1"/>
    <col min="7944" max="7944" width="9.28515625" style="14" bestFit="1" customWidth="1"/>
    <col min="7945" max="7945" width="8.7109375" style="14" bestFit="1" customWidth="1"/>
    <col min="7946" max="8184" width="9.140625" style="14"/>
    <col min="8185" max="8185" width="4.42578125" style="14" bestFit="1" customWidth="1"/>
    <col min="8186" max="8186" width="13.85546875" style="14" bestFit="1" customWidth="1"/>
    <col min="8187" max="8187" width="11.28515625" style="14" bestFit="1" customWidth="1"/>
    <col min="8188" max="8188" width="14.5703125" style="14" bestFit="1" customWidth="1"/>
    <col min="8189" max="8189" width="4.5703125" style="14" bestFit="1" customWidth="1"/>
    <col min="8190" max="8190" width="22.140625" style="14" bestFit="1" customWidth="1"/>
    <col min="8191" max="8191" width="24.140625" style="14" bestFit="1" customWidth="1"/>
    <col min="8192" max="8192" width="10.7109375" style="14" bestFit="1" customWidth="1"/>
    <col min="8193" max="8193" width="20" style="14" bestFit="1" customWidth="1"/>
    <col min="8194" max="8194" width="11.85546875" style="14" bestFit="1" customWidth="1"/>
    <col min="8195" max="8195" width="10.42578125" style="14" bestFit="1" customWidth="1"/>
    <col min="8196" max="8196" width="42.28515625" style="14" bestFit="1" customWidth="1"/>
    <col min="8197" max="8197" width="13.5703125" style="14" bestFit="1" customWidth="1"/>
    <col min="8198" max="8198" width="7.7109375" style="14" bestFit="1" customWidth="1"/>
    <col min="8199" max="8199" width="10.7109375" style="14" bestFit="1" customWidth="1"/>
    <col min="8200" max="8200" width="9.28515625" style="14" bestFit="1" customWidth="1"/>
    <col min="8201" max="8201" width="8.7109375" style="14" bestFit="1" customWidth="1"/>
    <col min="8202" max="8440" width="9.140625" style="14"/>
    <col min="8441" max="8441" width="4.42578125" style="14" bestFit="1" customWidth="1"/>
    <col min="8442" max="8442" width="13.85546875" style="14" bestFit="1" customWidth="1"/>
    <col min="8443" max="8443" width="11.28515625" style="14" bestFit="1" customWidth="1"/>
    <col min="8444" max="8444" width="14.5703125" style="14" bestFit="1" customWidth="1"/>
    <col min="8445" max="8445" width="4.5703125" style="14" bestFit="1" customWidth="1"/>
    <col min="8446" max="8446" width="22.140625" style="14" bestFit="1" customWidth="1"/>
    <col min="8447" max="8447" width="24.140625" style="14" bestFit="1" customWidth="1"/>
    <col min="8448" max="8448" width="10.7109375" style="14" bestFit="1" customWidth="1"/>
    <col min="8449" max="8449" width="20" style="14" bestFit="1" customWidth="1"/>
    <col min="8450" max="8450" width="11.85546875" style="14" bestFit="1" customWidth="1"/>
    <col min="8451" max="8451" width="10.42578125" style="14" bestFit="1" customWidth="1"/>
    <col min="8452" max="8452" width="42.28515625" style="14" bestFit="1" customWidth="1"/>
    <col min="8453" max="8453" width="13.5703125" style="14" bestFit="1" customWidth="1"/>
    <col min="8454" max="8454" width="7.7109375" style="14" bestFit="1" customWidth="1"/>
    <col min="8455" max="8455" width="10.7109375" style="14" bestFit="1" customWidth="1"/>
    <col min="8456" max="8456" width="9.28515625" style="14" bestFit="1" customWidth="1"/>
    <col min="8457" max="8457" width="8.7109375" style="14" bestFit="1" customWidth="1"/>
    <col min="8458" max="8696" width="9.140625" style="14"/>
    <col min="8697" max="8697" width="4.42578125" style="14" bestFit="1" customWidth="1"/>
    <col min="8698" max="8698" width="13.85546875" style="14" bestFit="1" customWidth="1"/>
    <col min="8699" max="8699" width="11.28515625" style="14" bestFit="1" customWidth="1"/>
    <col min="8700" max="8700" width="14.5703125" style="14" bestFit="1" customWidth="1"/>
    <col min="8701" max="8701" width="4.5703125" style="14" bestFit="1" customWidth="1"/>
    <col min="8702" max="8702" width="22.140625" style="14" bestFit="1" customWidth="1"/>
    <col min="8703" max="8703" width="24.140625" style="14" bestFit="1" customWidth="1"/>
    <col min="8704" max="8704" width="10.7109375" style="14" bestFit="1" customWidth="1"/>
    <col min="8705" max="8705" width="20" style="14" bestFit="1" customWidth="1"/>
    <col min="8706" max="8706" width="11.85546875" style="14" bestFit="1" customWidth="1"/>
    <col min="8707" max="8707" width="10.42578125" style="14" bestFit="1" customWidth="1"/>
    <col min="8708" max="8708" width="42.28515625" style="14" bestFit="1" customWidth="1"/>
    <col min="8709" max="8709" width="13.5703125" style="14" bestFit="1" customWidth="1"/>
    <col min="8710" max="8710" width="7.7109375" style="14" bestFit="1" customWidth="1"/>
    <col min="8711" max="8711" width="10.7109375" style="14" bestFit="1" customWidth="1"/>
    <col min="8712" max="8712" width="9.28515625" style="14" bestFit="1" customWidth="1"/>
    <col min="8713" max="8713" width="8.7109375" style="14" bestFit="1" customWidth="1"/>
    <col min="8714" max="8952" width="9.140625" style="14"/>
    <col min="8953" max="8953" width="4.42578125" style="14" bestFit="1" customWidth="1"/>
    <col min="8954" max="8954" width="13.85546875" style="14" bestFit="1" customWidth="1"/>
    <col min="8955" max="8955" width="11.28515625" style="14" bestFit="1" customWidth="1"/>
    <col min="8956" max="8956" width="14.5703125" style="14" bestFit="1" customWidth="1"/>
    <col min="8957" max="8957" width="4.5703125" style="14" bestFit="1" customWidth="1"/>
    <col min="8958" max="8958" width="22.140625" style="14" bestFit="1" customWidth="1"/>
    <col min="8959" max="8959" width="24.140625" style="14" bestFit="1" customWidth="1"/>
    <col min="8960" max="8960" width="10.7109375" style="14" bestFit="1" customWidth="1"/>
    <col min="8961" max="8961" width="20" style="14" bestFit="1" customWidth="1"/>
    <col min="8962" max="8962" width="11.85546875" style="14" bestFit="1" customWidth="1"/>
    <col min="8963" max="8963" width="10.42578125" style="14" bestFit="1" customWidth="1"/>
    <col min="8964" max="8964" width="42.28515625" style="14" bestFit="1" customWidth="1"/>
    <col min="8965" max="8965" width="13.5703125" style="14" bestFit="1" customWidth="1"/>
    <col min="8966" max="8966" width="7.7109375" style="14" bestFit="1" customWidth="1"/>
    <col min="8967" max="8967" width="10.7109375" style="14" bestFit="1" customWidth="1"/>
    <col min="8968" max="8968" width="9.28515625" style="14" bestFit="1" customWidth="1"/>
    <col min="8969" max="8969" width="8.7109375" style="14" bestFit="1" customWidth="1"/>
    <col min="8970" max="9208" width="9.140625" style="14"/>
    <col min="9209" max="9209" width="4.42578125" style="14" bestFit="1" customWidth="1"/>
    <col min="9210" max="9210" width="13.85546875" style="14" bestFit="1" customWidth="1"/>
    <col min="9211" max="9211" width="11.28515625" style="14" bestFit="1" customWidth="1"/>
    <col min="9212" max="9212" width="14.5703125" style="14" bestFit="1" customWidth="1"/>
    <col min="9213" max="9213" width="4.5703125" style="14" bestFit="1" customWidth="1"/>
    <col min="9214" max="9214" width="22.140625" style="14" bestFit="1" customWidth="1"/>
    <col min="9215" max="9215" width="24.140625" style="14" bestFit="1" customWidth="1"/>
    <col min="9216" max="9216" width="10.7109375" style="14" bestFit="1" customWidth="1"/>
    <col min="9217" max="9217" width="20" style="14" bestFit="1" customWidth="1"/>
    <col min="9218" max="9218" width="11.85546875" style="14" bestFit="1" customWidth="1"/>
    <col min="9219" max="9219" width="10.42578125" style="14" bestFit="1" customWidth="1"/>
    <col min="9220" max="9220" width="42.28515625" style="14" bestFit="1" customWidth="1"/>
    <col min="9221" max="9221" width="13.5703125" style="14" bestFit="1" customWidth="1"/>
    <col min="9222" max="9222" width="7.7109375" style="14" bestFit="1" customWidth="1"/>
    <col min="9223" max="9223" width="10.7109375" style="14" bestFit="1" customWidth="1"/>
    <col min="9224" max="9224" width="9.28515625" style="14" bestFit="1" customWidth="1"/>
    <col min="9225" max="9225" width="8.7109375" style="14" bestFit="1" customWidth="1"/>
    <col min="9226" max="9464" width="9.140625" style="14"/>
    <col min="9465" max="9465" width="4.42578125" style="14" bestFit="1" customWidth="1"/>
    <col min="9466" max="9466" width="13.85546875" style="14" bestFit="1" customWidth="1"/>
    <col min="9467" max="9467" width="11.28515625" style="14" bestFit="1" customWidth="1"/>
    <col min="9468" max="9468" width="14.5703125" style="14" bestFit="1" customWidth="1"/>
    <col min="9469" max="9469" width="4.5703125" style="14" bestFit="1" customWidth="1"/>
    <col min="9470" max="9470" width="22.140625" style="14" bestFit="1" customWidth="1"/>
    <col min="9471" max="9471" width="24.140625" style="14" bestFit="1" customWidth="1"/>
    <col min="9472" max="9472" width="10.7109375" style="14" bestFit="1" customWidth="1"/>
    <col min="9473" max="9473" width="20" style="14" bestFit="1" customWidth="1"/>
    <col min="9474" max="9474" width="11.85546875" style="14" bestFit="1" customWidth="1"/>
    <col min="9475" max="9475" width="10.42578125" style="14" bestFit="1" customWidth="1"/>
    <col min="9476" max="9476" width="42.28515625" style="14" bestFit="1" customWidth="1"/>
    <col min="9477" max="9477" width="13.5703125" style="14" bestFit="1" customWidth="1"/>
    <col min="9478" max="9478" width="7.7109375" style="14" bestFit="1" customWidth="1"/>
    <col min="9479" max="9479" width="10.7109375" style="14" bestFit="1" customWidth="1"/>
    <col min="9480" max="9480" width="9.28515625" style="14" bestFit="1" customWidth="1"/>
    <col min="9481" max="9481" width="8.7109375" style="14" bestFit="1" customWidth="1"/>
    <col min="9482" max="9720" width="9.140625" style="14"/>
    <col min="9721" max="9721" width="4.42578125" style="14" bestFit="1" customWidth="1"/>
    <col min="9722" max="9722" width="13.85546875" style="14" bestFit="1" customWidth="1"/>
    <col min="9723" max="9723" width="11.28515625" style="14" bestFit="1" customWidth="1"/>
    <col min="9724" max="9724" width="14.5703125" style="14" bestFit="1" customWidth="1"/>
    <col min="9725" max="9725" width="4.5703125" style="14" bestFit="1" customWidth="1"/>
    <col min="9726" max="9726" width="22.140625" style="14" bestFit="1" customWidth="1"/>
    <col min="9727" max="9727" width="24.140625" style="14" bestFit="1" customWidth="1"/>
    <col min="9728" max="9728" width="10.7109375" style="14" bestFit="1" customWidth="1"/>
    <col min="9729" max="9729" width="20" style="14" bestFit="1" customWidth="1"/>
    <col min="9730" max="9730" width="11.85546875" style="14" bestFit="1" customWidth="1"/>
    <col min="9731" max="9731" width="10.42578125" style="14" bestFit="1" customWidth="1"/>
    <col min="9732" max="9732" width="42.28515625" style="14" bestFit="1" customWidth="1"/>
    <col min="9733" max="9733" width="13.5703125" style="14" bestFit="1" customWidth="1"/>
    <col min="9734" max="9734" width="7.7109375" style="14" bestFit="1" customWidth="1"/>
    <col min="9735" max="9735" width="10.7109375" style="14" bestFit="1" customWidth="1"/>
    <col min="9736" max="9736" width="9.28515625" style="14" bestFit="1" customWidth="1"/>
    <col min="9737" max="9737" width="8.7109375" style="14" bestFit="1" customWidth="1"/>
    <col min="9738" max="9976" width="9.140625" style="14"/>
    <col min="9977" max="9977" width="4.42578125" style="14" bestFit="1" customWidth="1"/>
    <col min="9978" max="9978" width="13.85546875" style="14" bestFit="1" customWidth="1"/>
    <col min="9979" max="9979" width="11.28515625" style="14" bestFit="1" customWidth="1"/>
    <col min="9980" max="9980" width="14.5703125" style="14" bestFit="1" customWidth="1"/>
    <col min="9981" max="9981" width="4.5703125" style="14" bestFit="1" customWidth="1"/>
    <col min="9982" max="9982" width="22.140625" style="14" bestFit="1" customWidth="1"/>
    <col min="9983" max="9983" width="24.140625" style="14" bestFit="1" customWidth="1"/>
    <col min="9984" max="9984" width="10.7109375" style="14" bestFit="1" customWidth="1"/>
    <col min="9985" max="9985" width="20" style="14" bestFit="1" customWidth="1"/>
    <col min="9986" max="9986" width="11.85546875" style="14" bestFit="1" customWidth="1"/>
    <col min="9987" max="9987" width="10.42578125" style="14" bestFit="1" customWidth="1"/>
    <col min="9988" max="9988" width="42.28515625" style="14" bestFit="1" customWidth="1"/>
    <col min="9989" max="9989" width="13.5703125" style="14" bestFit="1" customWidth="1"/>
    <col min="9990" max="9990" width="7.7109375" style="14" bestFit="1" customWidth="1"/>
    <col min="9991" max="9991" width="10.7109375" style="14" bestFit="1" customWidth="1"/>
    <col min="9992" max="9992" width="9.28515625" style="14" bestFit="1" customWidth="1"/>
    <col min="9993" max="9993" width="8.7109375" style="14" bestFit="1" customWidth="1"/>
    <col min="9994" max="10232" width="9.140625" style="14"/>
    <col min="10233" max="10233" width="4.42578125" style="14" bestFit="1" customWidth="1"/>
    <col min="10234" max="10234" width="13.85546875" style="14" bestFit="1" customWidth="1"/>
    <col min="10235" max="10235" width="11.28515625" style="14" bestFit="1" customWidth="1"/>
    <col min="10236" max="10236" width="14.5703125" style="14" bestFit="1" customWidth="1"/>
    <col min="10237" max="10237" width="4.5703125" style="14" bestFit="1" customWidth="1"/>
    <col min="10238" max="10238" width="22.140625" style="14" bestFit="1" customWidth="1"/>
    <col min="10239" max="10239" width="24.140625" style="14" bestFit="1" customWidth="1"/>
    <col min="10240" max="10240" width="10.7109375" style="14" bestFit="1" customWidth="1"/>
    <col min="10241" max="10241" width="20" style="14" bestFit="1" customWidth="1"/>
    <col min="10242" max="10242" width="11.85546875" style="14" bestFit="1" customWidth="1"/>
    <col min="10243" max="10243" width="10.42578125" style="14" bestFit="1" customWidth="1"/>
    <col min="10244" max="10244" width="42.28515625" style="14" bestFit="1" customWidth="1"/>
    <col min="10245" max="10245" width="13.5703125" style="14" bestFit="1" customWidth="1"/>
    <col min="10246" max="10246" width="7.7109375" style="14" bestFit="1" customWidth="1"/>
    <col min="10247" max="10247" width="10.7109375" style="14" bestFit="1" customWidth="1"/>
    <col min="10248" max="10248" width="9.28515625" style="14" bestFit="1" customWidth="1"/>
    <col min="10249" max="10249" width="8.7109375" style="14" bestFit="1" customWidth="1"/>
    <col min="10250" max="10488" width="9.140625" style="14"/>
    <col min="10489" max="10489" width="4.42578125" style="14" bestFit="1" customWidth="1"/>
    <col min="10490" max="10490" width="13.85546875" style="14" bestFit="1" customWidth="1"/>
    <col min="10491" max="10491" width="11.28515625" style="14" bestFit="1" customWidth="1"/>
    <col min="10492" max="10492" width="14.5703125" style="14" bestFit="1" customWidth="1"/>
    <col min="10493" max="10493" width="4.5703125" style="14" bestFit="1" customWidth="1"/>
    <col min="10494" max="10494" width="22.140625" style="14" bestFit="1" customWidth="1"/>
    <col min="10495" max="10495" width="24.140625" style="14" bestFit="1" customWidth="1"/>
    <col min="10496" max="10496" width="10.7109375" style="14" bestFit="1" customWidth="1"/>
    <col min="10497" max="10497" width="20" style="14" bestFit="1" customWidth="1"/>
    <col min="10498" max="10498" width="11.85546875" style="14" bestFit="1" customWidth="1"/>
    <col min="10499" max="10499" width="10.42578125" style="14" bestFit="1" customWidth="1"/>
    <col min="10500" max="10500" width="42.28515625" style="14" bestFit="1" customWidth="1"/>
    <col min="10501" max="10501" width="13.5703125" style="14" bestFit="1" customWidth="1"/>
    <col min="10502" max="10502" width="7.7109375" style="14" bestFit="1" customWidth="1"/>
    <col min="10503" max="10503" width="10.7109375" style="14" bestFit="1" customWidth="1"/>
    <col min="10504" max="10504" width="9.28515625" style="14" bestFit="1" customWidth="1"/>
    <col min="10505" max="10505" width="8.7109375" style="14" bestFit="1" customWidth="1"/>
    <col min="10506" max="10744" width="9.140625" style="14"/>
    <col min="10745" max="10745" width="4.42578125" style="14" bestFit="1" customWidth="1"/>
    <col min="10746" max="10746" width="13.85546875" style="14" bestFit="1" customWidth="1"/>
    <col min="10747" max="10747" width="11.28515625" style="14" bestFit="1" customWidth="1"/>
    <col min="10748" max="10748" width="14.5703125" style="14" bestFit="1" customWidth="1"/>
    <col min="10749" max="10749" width="4.5703125" style="14" bestFit="1" customWidth="1"/>
    <col min="10750" max="10750" width="22.140625" style="14" bestFit="1" customWidth="1"/>
    <col min="10751" max="10751" width="24.140625" style="14" bestFit="1" customWidth="1"/>
    <col min="10752" max="10752" width="10.7109375" style="14" bestFit="1" customWidth="1"/>
    <col min="10753" max="10753" width="20" style="14" bestFit="1" customWidth="1"/>
    <col min="10754" max="10754" width="11.85546875" style="14" bestFit="1" customWidth="1"/>
    <col min="10755" max="10755" width="10.42578125" style="14" bestFit="1" customWidth="1"/>
    <col min="10756" max="10756" width="42.28515625" style="14" bestFit="1" customWidth="1"/>
    <col min="10757" max="10757" width="13.5703125" style="14" bestFit="1" customWidth="1"/>
    <col min="10758" max="10758" width="7.7109375" style="14" bestFit="1" customWidth="1"/>
    <col min="10759" max="10759" width="10.7109375" style="14" bestFit="1" customWidth="1"/>
    <col min="10760" max="10760" width="9.28515625" style="14" bestFit="1" customWidth="1"/>
    <col min="10761" max="10761" width="8.7109375" style="14" bestFit="1" customWidth="1"/>
    <col min="10762" max="11000" width="9.140625" style="14"/>
    <col min="11001" max="11001" width="4.42578125" style="14" bestFit="1" customWidth="1"/>
    <col min="11002" max="11002" width="13.85546875" style="14" bestFit="1" customWidth="1"/>
    <col min="11003" max="11003" width="11.28515625" style="14" bestFit="1" customWidth="1"/>
    <col min="11004" max="11004" width="14.5703125" style="14" bestFit="1" customWidth="1"/>
    <col min="11005" max="11005" width="4.5703125" style="14" bestFit="1" customWidth="1"/>
    <col min="11006" max="11006" width="22.140625" style="14" bestFit="1" customWidth="1"/>
    <col min="11007" max="11007" width="24.140625" style="14" bestFit="1" customWidth="1"/>
    <col min="11008" max="11008" width="10.7109375" style="14" bestFit="1" customWidth="1"/>
    <col min="11009" max="11009" width="20" style="14" bestFit="1" customWidth="1"/>
    <col min="11010" max="11010" width="11.85546875" style="14" bestFit="1" customWidth="1"/>
    <col min="11011" max="11011" width="10.42578125" style="14" bestFit="1" customWidth="1"/>
    <col min="11012" max="11012" width="42.28515625" style="14" bestFit="1" customWidth="1"/>
    <col min="11013" max="11013" width="13.5703125" style="14" bestFit="1" customWidth="1"/>
    <col min="11014" max="11014" width="7.7109375" style="14" bestFit="1" customWidth="1"/>
    <col min="11015" max="11015" width="10.7109375" style="14" bestFit="1" customWidth="1"/>
    <col min="11016" max="11016" width="9.28515625" style="14" bestFit="1" customWidth="1"/>
    <col min="11017" max="11017" width="8.7109375" style="14" bestFit="1" customWidth="1"/>
    <col min="11018" max="11256" width="9.140625" style="14"/>
    <col min="11257" max="11257" width="4.42578125" style="14" bestFit="1" customWidth="1"/>
    <col min="11258" max="11258" width="13.85546875" style="14" bestFit="1" customWidth="1"/>
    <col min="11259" max="11259" width="11.28515625" style="14" bestFit="1" customWidth="1"/>
    <col min="11260" max="11260" width="14.5703125" style="14" bestFit="1" customWidth="1"/>
    <col min="11261" max="11261" width="4.5703125" style="14" bestFit="1" customWidth="1"/>
    <col min="11262" max="11262" width="22.140625" style="14" bestFit="1" customWidth="1"/>
    <col min="11263" max="11263" width="24.140625" style="14" bestFit="1" customWidth="1"/>
    <col min="11264" max="11264" width="10.7109375" style="14" bestFit="1" customWidth="1"/>
    <col min="11265" max="11265" width="20" style="14" bestFit="1" customWidth="1"/>
    <col min="11266" max="11266" width="11.85546875" style="14" bestFit="1" customWidth="1"/>
    <col min="11267" max="11267" width="10.42578125" style="14" bestFit="1" customWidth="1"/>
    <col min="11268" max="11268" width="42.28515625" style="14" bestFit="1" customWidth="1"/>
    <col min="11269" max="11269" width="13.5703125" style="14" bestFit="1" customWidth="1"/>
    <col min="11270" max="11270" width="7.7109375" style="14" bestFit="1" customWidth="1"/>
    <col min="11271" max="11271" width="10.7109375" style="14" bestFit="1" customWidth="1"/>
    <col min="11272" max="11272" width="9.28515625" style="14" bestFit="1" customWidth="1"/>
    <col min="11273" max="11273" width="8.7109375" style="14" bestFit="1" customWidth="1"/>
    <col min="11274" max="11512" width="9.140625" style="14"/>
    <col min="11513" max="11513" width="4.42578125" style="14" bestFit="1" customWidth="1"/>
    <col min="11514" max="11514" width="13.85546875" style="14" bestFit="1" customWidth="1"/>
    <col min="11515" max="11515" width="11.28515625" style="14" bestFit="1" customWidth="1"/>
    <col min="11516" max="11516" width="14.5703125" style="14" bestFit="1" customWidth="1"/>
    <col min="11517" max="11517" width="4.5703125" style="14" bestFit="1" customWidth="1"/>
    <col min="11518" max="11518" width="22.140625" style="14" bestFit="1" customWidth="1"/>
    <col min="11519" max="11519" width="24.140625" style="14" bestFit="1" customWidth="1"/>
    <col min="11520" max="11520" width="10.7109375" style="14" bestFit="1" customWidth="1"/>
    <col min="11521" max="11521" width="20" style="14" bestFit="1" customWidth="1"/>
    <col min="11522" max="11522" width="11.85546875" style="14" bestFit="1" customWidth="1"/>
    <col min="11523" max="11523" width="10.42578125" style="14" bestFit="1" customWidth="1"/>
    <col min="11524" max="11524" width="42.28515625" style="14" bestFit="1" customWidth="1"/>
    <col min="11525" max="11525" width="13.5703125" style="14" bestFit="1" customWidth="1"/>
    <col min="11526" max="11526" width="7.7109375" style="14" bestFit="1" customWidth="1"/>
    <col min="11527" max="11527" width="10.7109375" style="14" bestFit="1" customWidth="1"/>
    <col min="11528" max="11528" width="9.28515625" style="14" bestFit="1" customWidth="1"/>
    <col min="11529" max="11529" width="8.7109375" style="14" bestFit="1" customWidth="1"/>
    <col min="11530" max="11768" width="9.140625" style="14"/>
    <col min="11769" max="11769" width="4.42578125" style="14" bestFit="1" customWidth="1"/>
    <col min="11770" max="11770" width="13.85546875" style="14" bestFit="1" customWidth="1"/>
    <col min="11771" max="11771" width="11.28515625" style="14" bestFit="1" customWidth="1"/>
    <col min="11772" max="11772" width="14.5703125" style="14" bestFit="1" customWidth="1"/>
    <col min="11773" max="11773" width="4.5703125" style="14" bestFit="1" customWidth="1"/>
    <col min="11774" max="11774" width="22.140625" style="14" bestFit="1" customWidth="1"/>
    <col min="11775" max="11775" width="24.140625" style="14" bestFit="1" customWidth="1"/>
    <col min="11776" max="11776" width="10.7109375" style="14" bestFit="1" customWidth="1"/>
    <col min="11777" max="11777" width="20" style="14" bestFit="1" customWidth="1"/>
    <col min="11778" max="11778" width="11.85546875" style="14" bestFit="1" customWidth="1"/>
    <col min="11779" max="11779" width="10.42578125" style="14" bestFit="1" customWidth="1"/>
    <col min="11780" max="11780" width="42.28515625" style="14" bestFit="1" customWidth="1"/>
    <col min="11781" max="11781" width="13.5703125" style="14" bestFit="1" customWidth="1"/>
    <col min="11782" max="11782" width="7.7109375" style="14" bestFit="1" customWidth="1"/>
    <col min="11783" max="11783" width="10.7109375" style="14" bestFit="1" customWidth="1"/>
    <col min="11784" max="11784" width="9.28515625" style="14" bestFit="1" customWidth="1"/>
    <col min="11785" max="11785" width="8.7109375" style="14" bestFit="1" customWidth="1"/>
    <col min="11786" max="12024" width="9.140625" style="14"/>
    <col min="12025" max="12025" width="4.42578125" style="14" bestFit="1" customWidth="1"/>
    <col min="12026" max="12026" width="13.85546875" style="14" bestFit="1" customWidth="1"/>
    <col min="12027" max="12027" width="11.28515625" style="14" bestFit="1" customWidth="1"/>
    <col min="12028" max="12028" width="14.5703125" style="14" bestFit="1" customWidth="1"/>
    <col min="12029" max="12029" width="4.5703125" style="14" bestFit="1" customWidth="1"/>
    <col min="12030" max="12030" width="22.140625" style="14" bestFit="1" customWidth="1"/>
    <col min="12031" max="12031" width="24.140625" style="14" bestFit="1" customWidth="1"/>
    <col min="12032" max="12032" width="10.7109375" style="14" bestFit="1" customWidth="1"/>
    <col min="12033" max="12033" width="20" style="14" bestFit="1" customWidth="1"/>
    <col min="12034" max="12034" width="11.85546875" style="14" bestFit="1" customWidth="1"/>
    <col min="12035" max="12035" width="10.42578125" style="14" bestFit="1" customWidth="1"/>
    <col min="12036" max="12036" width="42.28515625" style="14" bestFit="1" customWidth="1"/>
    <col min="12037" max="12037" width="13.5703125" style="14" bestFit="1" customWidth="1"/>
    <col min="12038" max="12038" width="7.7109375" style="14" bestFit="1" customWidth="1"/>
    <col min="12039" max="12039" width="10.7109375" style="14" bestFit="1" customWidth="1"/>
    <col min="12040" max="12040" width="9.28515625" style="14" bestFit="1" customWidth="1"/>
    <col min="12041" max="12041" width="8.7109375" style="14" bestFit="1" customWidth="1"/>
    <col min="12042" max="12280" width="9.140625" style="14"/>
    <col min="12281" max="12281" width="4.42578125" style="14" bestFit="1" customWidth="1"/>
    <col min="12282" max="12282" width="13.85546875" style="14" bestFit="1" customWidth="1"/>
    <col min="12283" max="12283" width="11.28515625" style="14" bestFit="1" customWidth="1"/>
    <col min="12284" max="12284" width="14.5703125" style="14" bestFit="1" customWidth="1"/>
    <col min="12285" max="12285" width="4.5703125" style="14" bestFit="1" customWidth="1"/>
    <col min="12286" max="12286" width="22.140625" style="14" bestFit="1" customWidth="1"/>
    <col min="12287" max="12287" width="24.140625" style="14" bestFit="1" customWidth="1"/>
    <col min="12288" max="12288" width="10.7109375" style="14" bestFit="1" customWidth="1"/>
    <col min="12289" max="12289" width="20" style="14" bestFit="1" customWidth="1"/>
    <col min="12290" max="12290" width="11.85546875" style="14" bestFit="1" customWidth="1"/>
    <col min="12291" max="12291" width="10.42578125" style="14" bestFit="1" customWidth="1"/>
    <col min="12292" max="12292" width="42.28515625" style="14" bestFit="1" customWidth="1"/>
    <col min="12293" max="12293" width="13.5703125" style="14" bestFit="1" customWidth="1"/>
    <col min="12294" max="12294" width="7.7109375" style="14" bestFit="1" customWidth="1"/>
    <col min="12295" max="12295" width="10.7109375" style="14" bestFit="1" customWidth="1"/>
    <col min="12296" max="12296" width="9.28515625" style="14" bestFit="1" customWidth="1"/>
    <col min="12297" max="12297" width="8.7109375" style="14" bestFit="1" customWidth="1"/>
    <col min="12298" max="12536" width="9.140625" style="14"/>
    <col min="12537" max="12537" width="4.42578125" style="14" bestFit="1" customWidth="1"/>
    <col min="12538" max="12538" width="13.85546875" style="14" bestFit="1" customWidth="1"/>
    <col min="12539" max="12539" width="11.28515625" style="14" bestFit="1" customWidth="1"/>
    <col min="12540" max="12540" width="14.5703125" style="14" bestFit="1" customWidth="1"/>
    <col min="12541" max="12541" width="4.5703125" style="14" bestFit="1" customWidth="1"/>
    <col min="12542" max="12542" width="22.140625" style="14" bestFit="1" customWidth="1"/>
    <col min="12543" max="12543" width="24.140625" style="14" bestFit="1" customWidth="1"/>
    <col min="12544" max="12544" width="10.7109375" style="14" bestFit="1" customWidth="1"/>
    <col min="12545" max="12545" width="20" style="14" bestFit="1" customWidth="1"/>
    <col min="12546" max="12546" width="11.85546875" style="14" bestFit="1" customWidth="1"/>
    <col min="12547" max="12547" width="10.42578125" style="14" bestFit="1" customWidth="1"/>
    <col min="12548" max="12548" width="42.28515625" style="14" bestFit="1" customWidth="1"/>
    <col min="12549" max="12549" width="13.5703125" style="14" bestFit="1" customWidth="1"/>
    <col min="12550" max="12550" width="7.7109375" style="14" bestFit="1" customWidth="1"/>
    <col min="12551" max="12551" width="10.7109375" style="14" bestFit="1" customWidth="1"/>
    <col min="12552" max="12552" width="9.28515625" style="14" bestFit="1" customWidth="1"/>
    <col min="12553" max="12553" width="8.7109375" style="14" bestFit="1" customWidth="1"/>
    <col min="12554" max="12792" width="9.140625" style="14"/>
    <col min="12793" max="12793" width="4.42578125" style="14" bestFit="1" customWidth="1"/>
    <col min="12794" max="12794" width="13.85546875" style="14" bestFit="1" customWidth="1"/>
    <col min="12795" max="12795" width="11.28515625" style="14" bestFit="1" customWidth="1"/>
    <col min="12796" max="12796" width="14.5703125" style="14" bestFit="1" customWidth="1"/>
    <col min="12797" max="12797" width="4.5703125" style="14" bestFit="1" customWidth="1"/>
    <col min="12798" max="12798" width="22.140625" style="14" bestFit="1" customWidth="1"/>
    <col min="12799" max="12799" width="24.140625" style="14" bestFit="1" customWidth="1"/>
    <col min="12800" max="12800" width="10.7109375" style="14" bestFit="1" customWidth="1"/>
    <col min="12801" max="12801" width="20" style="14" bestFit="1" customWidth="1"/>
    <col min="12802" max="12802" width="11.85546875" style="14" bestFit="1" customWidth="1"/>
    <col min="12803" max="12803" width="10.42578125" style="14" bestFit="1" customWidth="1"/>
    <col min="12804" max="12804" width="42.28515625" style="14" bestFit="1" customWidth="1"/>
    <col min="12805" max="12805" width="13.5703125" style="14" bestFit="1" customWidth="1"/>
    <col min="12806" max="12806" width="7.7109375" style="14" bestFit="1" customWidth="1"/>
    <col min="12807" max="12807" width="10.7109375" style="14" bestFit="1" customWidth="1"/>
    <col min="12808" max="12808" width="9.28515625" style="14" bestFit="1" customWidth="1"/>
    <col min="12809" max="12809" width="8.7109375" style="14" bestFit="1" customWidth="1"/>
    <col min="12810" max="13048" width="9.140625" style="14"/>
    <col min="13049" max="13049" width="4.42578125" style="14" bestFit="1" customWidth="1"/>
    <col min="13050" max="13050" width="13.85546875" style="14" bestFit="1" customWidth="1"/>
    <col min="13051" max="13051" width="11.28515625" style="14" bestFit="1" customWidth="1"/>
    <col min="13052" max="13052" width="14.5703125" style="14" bestFit="1" customWidth="1"/>
    <col min="13053" max="13053" width="4.5703125" style="14" bestFit="1" customWidth="1"/>
    <col min="13054" max="13054" width="22.140625" style="14" bestFit="1" customWidth="1"/>
    <col min="13055" max="13055" width="24.140625" style="14" bestFit="1" customWidth="1"/>
    <col min="13056" max="13056" width="10.7109375" style="14" bestFit="1" customWidth="1"/>
    <col min="13057" max="13057" width="20" style="14" bestFit="1" customWidth="1"/>
    <col min="13058" max="13058" width="11.85546875" style="14" bestFit="1" customWidth="1"/>
    <col min="13059" max="13059" width="10.42578125" style="14" bestFit="1" customWidth="1"/>
    <col min="13060" max="13060" width="42.28515625" style="14" bestFit="1" customWidth="1"/>
    <col min="13061" max="13061" width="13.5703125" style="14" bestFit="1" customWidth="1"/>
    <col min="13062" max="13062" width="7.7109375" style="14" bestFit="1" customWidth="1"/>
    <col min="13063" max="13063" width="10.7109375" style="14" bestFit="1" customWidth="1"/>
    <col min="13064" max="13064" width="9.28515625" style="14" bestFit="1" customWidth="1"/>
    <col min="13065" max="13065" width="8.7109375" style="14" bestFit="1" customWidth="1"/>
    <col min="13066" max="13304" width="9.140625" style="14"/>
    <col min="13305" max="13305" width="4.42578125" style="14" bestFit="1" customWidth="1"/>
    <col min="13306" max="13306" width="13.85546875" style="14" bestFit="1" customWidth="1"/>
    <col min="13307" max="13307" width="11.28515625" style="14" bestFit="1" customWidth="1"/>
    <col min="13308" max="13308" width="14.5703125" style="14" bestFit="1" customWidth="1"/>
    <col min="13309" max="13309" width="4.5703125" style="14" bestFit="1" customWidth="1"/>
    <col min="13310" max="13310" width="22.140625" style="14" bestFit="1" customWidth="1"/>
    <col min="13311" max="13311" width="24.140625" style="14" bestFit="1" customWidth="1"/>
    <col min="13312" max="13312" width="10.7109375" style="14" bestFit="1" customWidth="1"/>
    <col min="13313" max="13313" width="20" style="14" bestFit="1" customWidth="1"/>
    <col min="13314" max="13314" width="11.85546875" style="14" bestFit="1" customWidth="1"/>
    <col min="13315" max="13315" width="10.42578125" style="14" bestFit="1" customWidth="1"/>
    <col min="13316" max="13316" width="42.28515625" style="14" bestFit="1" customWidth="1"/>
    <col min="13317" max="13317" width="13.5703125" style="14" bestFit="1" customWidth="1"/>
    <col min="13318" max="13318" width="7.7109375" style="14" bestFit="1" customWidth="1"/>
    <col min="13319" max="13319" width="10.7109375" style="14" bestFit="1" customWidth="1"/>
    <col min="13320" max="13320" width="9.28515625" style="14" bestFit="1" customWidth="1"/>
    <col min="13321" max="13321" width="8.7109375" style="14" bestFit="1" customWidth="1"/>
    <col min="13322" max="13560" width="9.140625" style="14"/>
    <col min="13561" max="13561" width="4.42578125" style="14" bestFit="1" customWidth="1"/>
    <col min="13562" max="13562" width="13.85546875" style="14" bestFit="1" customWidth="1"/>
    <col min="13563" max="13563" width="11.28515625" style="14" bestFit="1" customWidth="1"/>
    <col min="13564" max="13564" width="14.5703125" style="14" bestFit="1" customWidth="1"/>
    <col min="13565" max="13565" width="4.5703125" style="14" bestFit="1" customWidth="1"/>
    <col min="13566" max="13566" width="22.140625" style="14" bestFit="1" customWidth="1"/>
    <col min="13567" max="13567" width="24.140625" style="14" bestFit="1" customWidth="1"/>
    <col min="13568" max="13568" width="10.7109375" style="14" bestFit="1" customWidth="1"/>
    <col min="13569" max="13569" width="20" style="14" bestFit="1" customWidth="1"/>
    <col min="13570" max="13570" width="11.85546875" style="14" bestFit="1" customWidth="1"/>
    <col min="13571" max="13571" width="10.42578125" style="14" bestFit="1" customWidth="1"/>
    <col min="13572" max="13572" width="42.28515625" style="14" bestFit="1" customWidth="1"/>
    <col min="13573" max="13573" width="13.5703125" style="14" bestFit="1" customWidth="1"/>
    <col min="13574" max="13574" width="7.7109375" style="14" bestFit="1" customWidth="1"/>
    <col min="13575" max="13575" width="10.7109375" style="14" bestFit="1" customWidth="1"/>
    <col min="13576" max="13576" width="9.28515625" style="14" bestFit="1" customWidth="1"/>
    <col min="13577" max="13577" width="8.7109375" style="14" bestFit="1" customWidth="1"/>
    <col min="13578" max="13816" width="9.140625" style="14"/>
    <col min="13817" max="13817" width="4.42578125" style="14" bestFit="1" customWidth="1"/>
    <col min="13818" max="13818" width="13.85546875" style="14" bestFit="1" customWidth="1"/>
    <col min="13819" max="13819" width="11.28515625" style="14" bestFit="1" customWidth="1"/>
    <col min="13820" max="13820" width="14.5703125" style="14" bestFit="1" customWidth="1"/>
    <col min="13821" max="13821" width="4.5703125" style="14" bestFit="1" customWidth="1"/>
    <col min="13822" max="13822" width="22.140625" style="14" bestFit="1" customWidth="1"/>
    <col min="13823" max="13823" width="24.140625" style="14" bestFit="1" customWidth="1"/>
    <col min="13824" max="13824" width="10.7109375" style="14" bestFit="1" customWidth="1"/>
    <col min="13825" max="13825" width="20" style="14" bestFit="1" customWidth="1"/>
    <col min="13826" max="13826" width="11.85546875" style="14" bestFit="1" customWidth="1"/>
    <col min="13827" max="13827" width="10.42578125" style="14" bestFit="1" customWidth="1"/>
    <col min="13828" max="13828" width="42.28515625" style="14" bestFit="1" customWidth="1"/>
    <col min="13829" max="13829" width="13.5703125" style="14" bestFit="1" customWidth="1"/>
    <col min="13830" max="13830" width="7.7109375" style="14" bestFit="1" customWidth="1"/>
    <col min="13831" max="13831" width="10.7109375" style="14" bestFit="1" customWidth="1"/>
    <col min="13832" max="13832" width="9.28515625" style="14" bestFit="1" customWidth="1"/>
    <col min="13833" max="13833" width="8.7109375" style="14" bestFit="1" customWidth="1"/>
    <col min="13834" max="14072" width="9.140625" style="14"/>
    <col min="14073" max="14073" width="4.42578125" style="14" bestFit="1" customWidth="1"/>
    <col min="14074" max="14074" width="13.85546875" style="14" bestFit="1" customWidth="1"/>
    <col min="14075" max="14075" width="11.28515625" style="14" bestFit="1" customWidth="1"/>
    <col min="14076" max="14076" width="14.5703125" style="14" bestFit="1" customWidth="1"/>
    <col min="14077" max="14077" width="4.5703125" style="14" bestFit="1" customWidth="1"/>
    <col min="14078" max="14078" width="22.140625" style="14" bestFit="1" customWidth="1"/>
    <col min="14079" max="14079" width="24.140625" style="14" bestFit="1" customWidth="1"/>
    <col min="14080" max="14080" width="10.7109375" style="14" bestFit="1" customWidth="1"/>
    <col min="14081" max="14081" width="20" style="14" bestFit="1" customWidth="1"/>
    <col min="14082" max="14082" width="11.85546875" style="14" bestFit="1" customWidth="1"/>
    <col min="14083" max="14083" width="10.42578125" style="14" bestFit="1" customWidth="1"/>
    <col min="14084" max="14084" width="42.28515625" style="14" bestFit="1" customWidth="1"/>
    <col min="14085" max="14085" width="13.5703125" style="14" bestFit="1" customWidth="1"/>
    <col min="14086" max="14086" width="7.7109375" style="14" bestFit="1" customWidth="1"/>
    <col min="14087" max="14087" width="10.7109375" style="14" bestFit="1" customWidth="1"/>
    <col min="14088" max="14088" width="9.28515625" style="14" bestFit="1" customWidth="1"/>
    <col min="14089" max="14089" width="8.7109375" style="14" bestFit="1" customWidth="1"/>
    <col min="14090" max="14328" width="9.140625" style="14"/>
    <col min="14329" max="14329" width="4.42578125" style="14" bestFit="1" customWidth="1"/>
    <col min="14330" max="14330" width="13.85546875" style="14" bestFit="1" customWidth="1"/>
    <col min="14331" max="14331" width="11.28515625" style="14" bestFit="1" customWidth="1"/>
    <col min="14332" max="14332" width="14.5703125" style="14" bestFit="1" customWidth="1"/>
    <col min="14333" max="14333" width="4.5703125" style="14" bestFit="1" customWidth="1"/>
    <col min="14334" max="14334" width="22.140625" style="14" bestFit="1" customWidth="1"/>
    <col min="14335" max="14335" width="24.140625" style="14" bestFit="1" customWidth="1"/>
    <col min="14336" max="14336" width="10.7109375" style="14" bestFit="1" customWidth="1"/>
    <col min="14337" max="14337" width="20" style="14" bestFit="1" customWidth="1"/>
    <col min="14338" max="14338" width="11.85546875" style="14" bestFit="1" customWidth="1"/>
    <col min="14339" max="14339" width="10.42578125" style="14" bestFit="1" customWidth="1"/>
    <col min="14340" max="14340" width="42.28515625" style="14" bestFit="1" customWidth="1"/>
    <col min="14341" max="14341" width="13.5703125" style="14" bestFit="1" customWidth="1"/>
    <col min="14342" max="14342" width="7.7109375" style="14" bestFit="1" customWidth="1"/>
    <col min="14343" max="14343" width="10.7109375" style="14" bestFit="1" customWidth="1"/>
    <col min="14344" max="14344" width="9.28515625" style="14" bestFit="1" customWidth="1"/>
    <col min="14345" max="14345" width="8.7109375" style="14" bestFit="1" customWidth="1"/>
    <col min="14346" max="14584" width="9.140625" style="14"/>
    <col min="14585" max="14585" width="4.42578125" style="14" bestFit="1" customWidth="1"/>
    <col min="14586" max="14586" width="13.85546875" style="14" bestFit="1" customWidth="1"/>
    <col min="14587" max="14587" width="11.28515625" style="14" bestFit="1" customWidth="1"/>
    <col min="14588" max="14588" width="14.5703125" style="14" bestFit="1" customWidth="1"/>
    <col min="14589" max="14589" width="4.5703125" style="14" bestFit="1" customWidth="1"/>
    <col min="14590" max="14590" width="22.140625" style="14" bestFit="1" customWidth="1"/>
    <col min="14591" max="14591" width="24.140625" style="14" bestFit="1" customWidth="1"/>
    <col min="14592" max="14592" width="10.7109375" style="14" bestFit="1" customWidth="1"/>
    <col min="14593" max="14593" width="20" style="14" bestFit="1" customWidth="1"/>
    <col min="14594" max="14594" width="11.85546875" style="14" bestFit="1" customWidth="1"/>
    <col min="14595" max="14595" width="10.42578125" style="14" bestFit="1" customWidth="1"/>
    <col min="14596" max="14596" width="42.28515625" style="14" bestFit="1" customWidth="1"/>
    <col min="14597" max="14597" width="13.5703125" style="14" bestFit="1" customWidth="1"/>
    <col min="14598" max="14598" width="7.7109375" style="14" bestFit="1" customWidth="1"/>
    <col min="14599" max="14599" width="10.7109375" style="14" bestFit="1" customWidth="1"/>
    <col min="14600" max="14600" width="9.28515625" style="14" bestFit="1" customWidth="1"/>
    <col min="14601" max="14601" width="8.7109375" style="14" bestFit="1" customWidth="1"/>
    <col min="14602" max="14840" width="9.140625" style="14"/>
    <col min="14841" max="14841" width="4.42578125" style="14" bestFit="1" customWidth="1"/>
    <col min="14842" max="14842" width="13.85546875" style="14" bestFit="1" customWidth="1"/>
    <col min="14843" max="14843" width="11.28515625" style="14" bestFit="1" customWidth="1"/>
    <col min="14844" max="14844" width="14.5703125" style="14" bestFit="1" customWidth="1"/>
    <col min="14845" max="14845" width="4.5703125" style="14" bestFit="1" customWidth="1"/>
    <col min="14846" max="14846" width="22.140625" style="14" bestFit="1" customWidth="1"/>
    <col min="14847" max="14847" width="24.140625" style="14" bestFit="1" customWidth="1"/>
    <col min="14848" max="14848" width="10.7109375" style="14" bestFit="1" customWidth="1"/>
    <col min="14849" max="14849" width="20" style="14" bestFit="1" customWidth="1"/>
    <col min="14850" max="14850" width="11.85546875" style="14" bestFit="1" customWidth="1"/>
    <col min="14851" max="14851" width="10.42578125" style="14" bestFit="1" customWidth="1"/>
    <col min="14852" max="14852" width="42.28515625" style="14" bestFit="1" customWidth="1"/>
    <col min="14853" max="14853" width="13.5703125" style="14" bestFit="1" customWidth="1"/>
    <col min="14854" max="14854" width="7.7109375" style="14" bestFit="1" customWidth="1"/>
    <col min="14855" max="14855" width="10.7109375" style="14" bestFit="1" customWidth="1"/>
    <col min="14856" max="14856" width="9.28515625" style="14" bestFit="1" customWidth="1"/>
    <col min="14857" max="14857" width="8.7109375" style="14" bestFit="1" customWidth="1"/>
    <col min="14858" max="15096" width="9.140625" style="14"/>
    <col min="15097" max="15097" width="4.42578125" style="14" bestFit="1" customWidth="1"/>
    <col min="15098" max="15098" width="13.85546875" style="14" bestFit="1" customWidth="1"/>
    <col min="15099" max="15099" width="11.28515625" style="14" bestFit="1" customWidth="1"/>
    <col min="15100" max="15100" width="14.5703125" style="14" bestFit="1" customWidth="1"/>
    <col min="15101" max="15101" width="4.5703125" style="14" bestFit="1" customWidth="1"/>
    <col min="15102" max="15102" width="22.140625" style="14" bestFit="1" customWidth="1"/>
    <col min="15103" max="15103" width="24.140625" style="14" bestFit="1" customWidth="1"/>
    <col min="15104" max="15104" width="10.7109375" style="14" bestFit="1" customWidth="1"/>
    <col min="15105" max="15105" width="20" style="14" bestFit="1" customWidth="1"/>
    <col min="15106" max="15106" width="11.85546875" style="14" bestFit="1" customWidth="1"/>
    <col min="15107" max="15107" width="10.42578125" style="14" bestFit="1" customWidth="1"/>
    <col min="15108" max="15108" width="42.28515625" style="14" bestFit="1" customWidth="1"/>
    <col min="15109" max="15109" width="13.5703125" style="14" bestFit="1" customWidth="1"/>
    <col min="15110" max="15110" width="7.7109375" style="14" bestFit="1" customWidth="1"/>
    <col min="15111" max="15111" width="10.7109375" style="14" bestFit="1" customWidth="1"/>
    <col min="15112" max="15112" width="9.28515625" style="14" bestFit="1" customWidth="1"/>
    <col min="15113" max="15113" width="8.7109375" style="14" bestFit="1" customWidth="1"/>
    <col min="15114" max="15352" width="9.140625" style="14"/>
    <col min="15353" max="15353" width="4.42578125" style="14" bestFit="1" customWidth="1"/>
    <col min="15354" max="15354" width="13.85546875" style="14" bestFit="1" customWidth="1"/>
    <col min="15355" max="15355" width="11.28515625" style="14" bestFit="1" customWidth="1"/>
    <col min="15356" max="15356" width="14.5703125" style="14" bestFit="1" customWidth="1"/>
    <col min="15357" max="15357" width="4.5703125" style="14" bestFit="1" customWidth="1"/>
    <col min="15358" max="15358" width="22.140625" style="14" bestFit="1" customWidth="1"/>
    <col min="15359" max="15359" width="24.140625" style="14" bestFit="1" customWidth="1"/>
    <col min="15360" max="15360" width="10.7109375" style="14" bestFit="1" customWidth="1"/>
    <col min="15361" max="15361" width="20" style="14" bestFit="1" customWidth="1"/>
    <col min="15362" max="15362" width="11.85546875" style="14" bestFit="1" customWidth="1"/>
    <col min="15363" max="15363" width="10.42578125" style="14" bestFit="1" customWidth="1"/>
    <col min="15364" max="15364" width="42.28515625" style="14" bestFit="1" customWidth="1"/>
    <col min="15365" max="15365" width="13.5703125" style="14" bestFit="1" customWidth="1"/>
    <col min="15366" max="15366" width="7.7109375" style="14" bestFit="1" customWidth="1"/>
    <col min="15367" max="15367" width="10.7109375" style="14" bestFit="1" customWidth="1"/>
    <col min="15368" max="15368" width="9.28515625" style="14" bestFit="1" customWidth="1"/>
    <col min="15369" max="15369" width="8.7109375" style="14" bestFit="1" customWidth="1"/>
    <col min="15370" max="15608" width="9.140625" style="14"/>
    <col min="15609" max="15609" width="4.42578125" style="14" bestFit="1" customWidth="1"/>
    <col min="15610" max="15610" width="13.85546875" style="14" bestFit="1" customWidth="1"/>
    <col min="15611" max="15611" width="11.28515625" style="14" bestFit="1" customWidth="1"/>
    <col min="15612" max="15612" width="14.5703125" style="14" bestFit="1" customWidth="1"/>
    <col min="15613" max="15613" width="4.5703125" style="14" bestFit="1" customWidth="1"/>
    <col min="15614" max="15614" width="22.140625" style="14" bestFit="1" customWidth="1"/>
    <col min="15615" max="15615" width="24.140625" style="14" bestFit="1" customWidth="1"/>
    <col min="15616" max="15616" width="10.7109375" style="14" bestFit="1" customWidth="1"/>
    <col min="15617" max="15617" width="20" style="14" bestFit="1" customWidth="1"/>
    <col min="15618" max="15618" width="11.85546875" style="14" bestFit="1" customWidth="1"/>
    <col min="15619" max="15619" width="10.42578125" style="14" bestFit="1" customWidth="1"/>
    <col min="15620" max="15620" width="42.28515625" style="14" bestFit="1" customWidth="1"/>
    <col min="15621" max="15621" width="13.5703125" style="14" bestFit="1" customWidth="1"/>
    <col min="15622" max="15622" width="7.7109375" style="14" bestFit="1" customWidth="1"/>
    <col min="15623" max="15623" width="10.7109375" style="14" bestFit="1" customWidth="1"/>
    <col min="15624" max="15624" width="9.28515625" style="14" bestFit="1" customWidth="1"/>
    <col min="15625" max="15625" width="8.7109375" style="14" bestFit="1" customWidth="1"/>
    <col min="15626" max="15864" width="9.140625" style="14"/>
    <col min="15865" max="15865" width="4.42578125" style="14" bestFit="1" customWidth="1"/>
    <col min="15866" max="15866" width="13.85546875" style="14" bestFit="1" customWidth="1"/>
    <col min="15867" max="15867" width="11.28515625" style="14" bestFit="1" customWidth="1"/>
    <col min="15868" max="15868" width="14.5703125" style="14" bestFit="1" customWidth="1"/>
    <col min="15869" max="15869" width="4.5703125" style="14" bestFit="1" customWidth="1"/>
    <col min="15870" max="15870" width="22.140625" style="14" bestFit="1" customWidth="1"/>
    <col min="15871" max="15871" width="24.140625" style="14" bestFit="1" customWidth="1"/>
    <col min="15872" max="15872" width="10.7109375" style="14" bestFit="1" customWidth="1"/>
    <col min="15873" max="15873" width="20" style="14" bestFit="1" customWidth="1"/>
    <col min="15874" max="15874" width="11.85546875" style="14" bestFit="1" customWidth="1"/>
    <col min="15875" max="15875" width="10.42578125" style="14" bestFit="1" customWidth="1"/>
    <col min="15876" max="15876" width="42.28515625" style="14" bestFit="1" customWidth="1"/>
    <col min="15877" max="15877" width="13.5703125" style="14" bestFit="1" customWidth="1"/>
    <col min="15878" max="15878" width="7.7109375" style="14" bestFit="1" customWidth="1"/>
    <col min="15879" max="15879" width="10.7109375" style="14" bestFit="1" customWidth="1"/>
    <col min="15880" max="15880" width="9.28515625" style="14" bestFit="1" customWidth="1"/>
    <col min="15881" max="15881" width="8.7109375" style="14" bestFit="1" customWidth="1"/>
    <col min="15882" max="16120" width="9.140625" style="14"/>
    <col min="16121" max="16121" width="4.42578125" style="14" bestFit="1" customWidth="1"/>
    <col min="16122" max="16122" width="13.85546875" style="14" bestFit="1" customWidth="1"/>
    <col min="16123" max="16123" width="11.28515625" style="14" bestFit="1" customWidth="1"/>
    <col min="16124" max="16124" width="14.5703125" style="14" bestFit="1" customWidth="1"/>
    <col min="16125" max="16125" width="4.5703125" style="14" bestFit="1" customWidth="1"/>
    <col min="16126" max="16126" width="22.140625" style="14" bestFit="1" customWidth="1"/>
    <col min="16127" max="16127" width="24.140625" style="14" bestFit="1" customWidth="1"/>
    <col min="16128" max="16128" width="10.7109375" style="14" bestFit="1" customWidth="1"/>
    <col min="16129" max="16129" width="20" style="14" bestFit="1" customWidth="1"/>
    <col min="16130" max="16130" width="11.85546875" style="14" bestFit="1" customWidth="1"/>
    <col min="16131" max="16131" width="10.42578125" style="14" bestFit="1" customWidth="1"/>
    <col min="16132" max="16132" width="42.28515625" style="14" bestFit="1" customWidth="1"/>
    <col min="16133" max="16133" width="13.5703125" style="14" bestFit="1" customWidth="1"/>
    <col min="16134" max="16134" width="7.7109375" style="14" bestFit="1" customWidth="1"/>
    <col min="16135" max="16135" width="10.7109375" style="14" bestFit="1" customWidth="1"/>
    <col min="16136" max="16136" width="9.28515625" style="14" bestFit="1" customWidth="1"/>
    <col min="16137" max="16137" width="8.7109375" style="14" bestFit="1" customWidth="1"/>
    <col min="16138" max="16384" width="9.140625" style="14"/>
  </cols>
  <sheetData>
    <row r="1" spans="1:9" x14ac:dyDescent="0.2">
      <c r="A1" s="10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0</v>
      </c>
      <c r="I1" s="11" t="s">
        <v>37</v>
      </c>
    </row>
    <row r="2" spans="1:9" x14ac:dyDescent="0.2">
      <c r="E2" s="16" t="s">
        <v>50</v>
      </c>
      <c r="H2" s="14" t="s">
        <v>584</v>
      </c>
    </row>
    <row r="3" spans="1:9" x14ac:dyDescent="0.2">
      <c r="E3" s="16" t="s">
        <v>87</v>
      </c>
      <c r="H3" s="14" t="s">
        <v>585</v>
      </c>
    </row>
    <row r="5" spans="1:9" x14ac:dyDescent="0.2">
      <c r="A5" s="10" t="s">
        <v>30</v>
      </c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 t="s">
        <v>36</v>
      </c>
      <c r="H5" s="11" t="s">
        <v>0</v>
      </c>
      <c r="I5" s="11" t="s">
        <v>37</v>
      </c>
    </row>
    <row r="6" spans="1:9" ht="15" hidden="1" x14ac:dyDescent="0.25">
      <c r="A6" s="15" t="s">
        <v>46</v>
      </c>
      <c r="B6" s="14" t="s">
        <v>47</v>
      </c>
      <c r="C6" s="14" t="s">
        <v>48</v>
      </c>
      <c r="D6" s="14" t="s">
        <v>49</v>
      </c>
      <c r="E6" s="16" t="s">
        <v>50</v>
      </c>
      <c r="F6" s="14" t="s">
        <v>51</v>
      </c>
      <c r="G6" s="14" t="s">
        <v>52</v>
      </c>
      <c r="H6" s="17">
        <v>5418.9394766711184</v>
      </c>
      <c r="I6" s="14" t="s">
        <v>53</v>
      </c>
    </row>
    <row r="7" spans="1:9" ht="15" x14ac:dyDescent="0.25">
      <c r="A7" s="15" t="s">
        <v>58</v>
      </c>
      <c r="B7" s="14" t="s">
        <v>59</v>
      </c>
      <c r="C7" s="14" t="s">
        <v>60</v>
      </c>
      <c r="D7" s="14" t="s">
        <v>61</v>
      </c>
      <c r="E7" s="16" t="s">
        <v>50</v>
      </c>
      <c r="F7" s="14" t="s">
        <v>51</v>
      </c>
      <c r="G7" s="14" t="s">
        <v>62</v>
      </c>
      <c r="H7" s="17">
        <v>12707.398332184133</v>
      </c>
      <c r="I7" s="14" t="s">
        <v>63</v>
      </c>
    </row>
    <row r="8" spans="1:9" ht="15" hidden="1" x14ac:dyDescent="0.25">
      <c r="A8" s="15" t="s">
        <v>66</v>
      </c>
      <c r="B8" s="14" t="s">
        <v>67</v>
      </c>
      <c r="C8" s="14" t="s">
        <v>68</v>
      </c>
      <c r="D8" s="14" t="s">
        <v>69</v>
      </c>
      <c r="E8" s="16" t="s">
        <v>50</v>
      </c>
      <c r="F8" s="14" t="s">
        <v>51</v>
      </c>
      <c r="G8" s="14" t="s">
        <v>70</v>
      </c>
      <c r="H8" s="17">
        <v>7041.4857976093836</v>
      </c>
      <c r="I8" s="14" t="s">
        <v>63</v>
      </c>
    </row>
    <row r="9" spans="1:9" ht="15" hidden="1" x14ac:dyDescent="0.25">
      <c r="A9" s="15" t="s">
        <v>75</v>
      </c>
      <c r="B9" s="14" t="s">
        <v>76</v>
      </c>
      <c r="C9" s="14" t="s">
        <v>77</v>
      </c>
      <c r="D9" s="14" t="s">
        <v>78</v>
      </c>
      <c r="E9" s="16" t="s">
        <v>50</v>
      </c>
      <c r="F9" s="14" t="s">
        <v>51</v>
      </c>
      <c r="G9" s="14" t="s">
        <v>79</v>
      </c>
      <c r="H9" s="17">
        <v>9017.0352559581006</v>
      </c>
      <c r="I9" s="14" t="s">
        <v>53</v>
      </c>
    </row>
    <row r="10" spans="1:9" ht="15" hidden="1" x14ac:dyDescent="0.25">
      <c r="A10" s="15" t="s">
        <v>83</v>
      </c>
      <c r="B10" s="14" t="s">
        <v>84</v>
      </c>
      <c r="C10" s="14" t="s">
        <v>85</v>
      </c>
      <c r="D10" s="14" t="s">
        <v>86</v>
      </c>
      <c r="E10" s="16" t="s">
        <v>87</v>
      </c>
      <c r="F10" s="14" t="s">
        <v>51</v>
      </c>
      <c r="G10" s="14" t="s">
        <v>88</v>
      </c>
      <c r="H10" s="17">
        <v>9510.0582876089993</v>
      </c>
      <c r="I10" s="14" t="s">
        <v>53</v>
      </c>
    </row>
    <row r="11" spans="1:9" ht="15" x14ac:dyDescent="0.25">
      <c r="A11" s="15" t="s">
        <v>92</v>
      </c>
      <c r="B11" s="14" t="s">
        <v>93</v>
      </c>
      <c r="C11" s="14" t="s">
        <v>94</v>
      </c>
      <c r="D11" s="14" t="s">
        <v>95</v>
      </c>
      <c r="E11" s="16" t="s">
        <v>87</v>
      </c>
      <c r="F11" s="14" t="s">
        <v>51</v>
      </c>
      <c r="G11" s="14" t="s">
        <v>52</v>
      </c>
      <c r="H11" s="17">
        <v>7191.8240266017674</v>
      </c>
      <c r="I11" s="14" t="s">
        <v>53</v>
      </c>
    </row>
    <row r="12" spans="1:9" ht="15" hidden="1" x14ac:dyDescent="0.25">
      <c r="A12" s="15" t="s">
        <v>99</v>
      </c>
      <c r="B12" s="14" t="s">
        <v>100</v>
      </c>
      <c r="C12" s="14" t="s">
        <v>101</v>
      </c>
      <c r="D12" s="14" t="s">
        <v>102</v>
      </c>
      <c r="E12" s="16" t="s">
        <v>50</v>
      </c>
      <c r="F12" s="14" t="s">
        <v>103</v>
      </c>
      <c r="G12" s="14" t="s">
        <v>104</v>
      </c>
      <c r="H12" s="17">
        <v>6209.8910488522833</v>
      </c>
      <c r="I12" s="14" t="s">
        <v>53</v>
      </c>
    </row>
    <row r="13" spans="1:9" ht="15" hidden="1" x14ac:dyDescent="0.25">
      <c r="A13" s="15" t="s">
        <v>107</v>
      </c>
      <c r="B13" s="14" t="s">
        <v>5</v>
      </c>
      <c r="C13" s="14" t="s">
        <v>108</v>
      </c>
      <c r="D13" s="14" t="s">
        <v>109</v>
      </c>
      <c r="E13" s="16" t="s">
        <v>87</v>
      </c>
      <c r="F13" s="14" t="s">
        <v>103</v>
      </c>
      <c r="G13" s="14" t="s">
        <v>110</v>
      </c>
      <c r="H13" s="17">
        <v>14613.372183667399</v>
      </c>
      <c r="I13" s="14" t="s">
        <v>63</v>
      </c>
    </row>
    <row r="14" spans="1:9" ht="15" hidden="1" x14ac:dyDescent="0.25">
      <c r="A14" s="15" t="s">
        <v>114</v>
      </c>
      <c r="B14" s="14" t="s">
        <v>115</v>
      </c>
      <c r="C14" s="14" t="s">
        <v>85</v>
      </c>
      <c r="D14" s="14" t="s">
        <v>116</v>
      </c>
      <c r="E14" s="16" t="s">
        <v>87</v>
      </c>
      <c r="F14" s="14" t="s">
        <v>103</v>
      </c>
      <c r="G14" s="14" t="s">
        <v>117</v>
      </c>
      <c r="H14" s="17">
        <v>13587.3733966329</v>
      </c>
      <c r="I14" s="14" t="s">
        <v>63</v>
      </c>
    </row>
    <row r="15" spans="1:9" ht="15" x14ac:dyDescent="0.25">
      <c r="A15" s="15" t="s">
        <v>121</v>
      </c>
      <c r="B15" s="14" t="s">
        <v>122</v>
      </c>
      <c r="C15" s="14" t="s">
        <v>123</v>
      </c>
      <c r="D15" s="14" t="s">
        <v>124</v>
      </c>
      <c r="E15" s="16" t="s">
        <v>50</v>
      </c>
      <c r="F15" s="14" t="s">
        <v>103</v>
      </c>
      <c r="G15" s="14" t="s">
        <v>125</v>
      </c>
      <c r="H15" s="17">
        <v>15190.4570729188</v>
      </c>
      <c r="I15" s="14" t="s">
        <v>63</v>
      </c>
    </row>
    <row r="16" spans="1:9" ht="15" x14ac:dyDescent="0.25">
      <c r="A16" s="15" t="s">
        <v>130</v>
      </c>
      <c r="B16" s="14" t="s">
        <v>131</v>
      </c>
      <c r="C16" s="14" t="s">
        <v>132</v>
      </c>
      <c r="D16" s="14" t="s">
        <v>69</v>
      </c>
      <c r="E16" s="16" t="s">
        <v>50</v>
      </c>
      <c r="F16" s="14" t="s">
        <v>103</v>
      </c>
      <c r="G16" s="14" t="s">
        <v>133</v>
      </c>
      <c r="H16" s="17">
        <v>12169.6033781476</v>
      </c>
      <c r="I16" s="14" t="s">
        <v>134</v>
      </c>
    </row>
    <row r="17" spans="1:9" ht="15" hidden="1" x14ac:dyDescent="0.25">
      <c r="A17" s="15" t="s">
        <v>139</v>
      </c>
      <c r="B17" s="14" t="s">
        <v>140</v>
      </c>
      <c r="C17" s="14" t="s">
        <v>141</v>
      </c>
      <c r="D17" s="14" t="s">
        <v>142</v>
      </c>
      <c r="E17" s="16" t="s">
        <v>87</v>
      </c>
      <c r="F17" s="14" t="s">
        <v>143</v>
      </c>
      <c r="G17" s="14" t="s">
        <v>144</v>
      </c>
      <c r="H17" s="17">
        <v>11744.058764424301</v>
      </c>
      <c r="I17" s="14" t="s">
        <v>134</v>
      </c>
    </row>
    <row r="18" spans="1:9" ht="15" x14ac:dyDescent="0.25">
      <c r="A18" s="15" t="s">
        <v>149</v>
      </c>
      <c r="B18" s="14" t="s">
        <v>150</v>
      </c>
      <c r="C18" s="14" t="s">
        <v>132</v>
      </c>
      <c r="D18" s="14" t="s">
        <v>151</v>
      </c>
      <c r="E18" s="16" t="s">
        <v>50</v>
      </c>
      <c r="F18" s="14" t="s">
        <v>143</v>
      </c>
      <c r="G18" s="14" t="s">
        <v>152</v>
      </c>
      <c r="H18" s="17">
        <v>10687.814774165099</v>
      </c>
      <c r="I18" s="14" t="s">
        <v>63</v>
      </c>
    </row>
    <row r="19" spans="1:9" ht="15" x14ac:dyDescent="0.25">
      <c r="A19" s="15" t="s">
        <v>157</v>
      </c>
      <c r="B19" s="14" t="s">
        <v>158</v>
      </c>
      <c r="C19" s="14" t="s">
        <v>159</v>
      </c>
      <c r="D19" s="14" t="s">
        <v>160</v>
      </c>
      <c r="E19" s="16" t="s">
        <v>50</v>
      </c>
      <c r="F19" s="14" t="s">
        <v>161</v>
      </c>
      <c r="G19" s="14" t="s">
        <v>162</v>
      </c>
      <c r="H19" s="17">
        <v>10721.362397126901</v>
      </c>
      <c r="I19" s="14" t="s">
        <v>63</v>
      </c>
    </row>
    <row r="20" spans="1:9" ht="15" hidden="1" x14ac:dyDescent="0.25">
      <c r="A20" s="15" t="s">
        <v>166</v>
      </c>
      <c r="B20" s="14" t="s">
        <v>167</v>
      </c>
      <c r="C20" s="14" t="s">
        <v>168</v>
      </c>
      <c r="D20" s="14" t="s">
        <v>69</v>
      </c>
      <c r="E20" s="16" t="s">
        <v>50</v>
      </c>
      <c r="F20" s="14" t="s">
        <v>161</v>
      </c>
      <c r="G20" s="14" t="s">
        <v>169</v>
      </c>
      <c r="H20" s="17">
        <v>6801.3577514660437</v>
      </c>
      <c r="I20" s="14" t="s">
        <v>53</v>
      </c>
    </row>
    <row r="21" spans="1:9" ht="15" x14ac:dyDescent="0.25">
      <c r="A21" s="15" t="s">
        <v>171</v>
      </c>
      <c r="B21" s="14" t="s">
        <v>172</v>
      </c>
      <c r="C21" s="14" t="s">
        <v>173</v>
      </c>
      <c r="D21" s="14" t="s">
        <v>174</v>
      </c>
      <c r="E21" s="16" t="s">
        <v>50</v>
      </c>
      <c r="F21" s="14" t="s">
        <v>161</v>
      </c>
      <c r="G21" s="14" t="s">
        <v>175</v>
      </c>
      <c r="H21" s="17">
        <v>12416.518764765749</v>
      </c>
      <c r="I21" s="14" t="s">
        <v>53</v>
      </c>
    </row>
    <row r="22" spans="1:9" ht="15" hidden="1" x14ac:dyDescent="0.25">
      <c r="A22" s="15" t="s">
        <v>178</v>
      </c>
      <c r="B22" s="14" t="s">
        <v>179</v>
      </c>
      <c r="C22" s="14" t="s">
        <v>60</v>
      </c>
      <c r="D22" s="14" t="s">
        <v>102</v>
      </c>
      <c r="E22" s="16" t="s">
        <v>50</v>
      </c>
      <c r="F22" s="14" t="s">
        <v>161</v>
      </c>
      <c r="G22" s="14" t="s">
        <v>169</v>
      </c>
      <c r="H22" s="17">
        <v>6990.5973601102469</v>
      </c>
      <c r="I22" s="14" t="s">
        <v>180</v>
      </c>
    </row>
    <row r="23" spans="1:9" ht="15" hidden="1" x14ac:dyDescent="0.25">
      <c r="A23" s="15" t="s">
        <v>183</v>
      </c>
      <c r="B23" s="14" t="s">
        <v>184</v>
      </c>
      <c r="C23" s="14" t="s">
        <v>185</v>
      </c>
      <c r="D23" s="14" t="s">
        <v>186</v>
      </c>
      <c r="E23" s="16" t="s">
        <v>50</v>
      </c>
      <c r="F23" s="14" t="s">
        <v>161</v>
      </c>
      <c r="G23" s="14" t="s">
        <v>187</v>
      </c>
      <c r="H23" s="17">
        <v>9729.7852775936954</v>
      </c>
      <c r="I23" s="14" t="s">
        <v>53</v>
      </c>
    </row>
    <row r="24" spans="1:9" ht="15" x14ac:dyDescent="0.25">
      <c r="A24" s="15" t="s">
        <v>190</v>
      </c>
      <c r="B24" s="14" t="s">
        <v>191</v>
      </c>
      <c r="C24" s="14" t="s">
        <v>192</v>
      </c>
      <c r="D24" s="14" t="s">
        <v>49</v>
      </c>
      <c r="E24" s="16" t="s">
        <v>50</v>
      </c>
      <c r="F24" s="14" t="s">
        <v>161</v>
      </c>
      <c r="G24" s="14" t="s">
        <v>193</v>
      </c>
      <c r="H24" s="17">
        <v>11788.046787464711</v>
      </c>
      <c r="I24" s="14" t="s">
        <v>63</v>
      </c>
    </row>
    <row r="25" spans="1:9" ht="15" hidden="1" x14ac:dyDescent="0.25">
      <c r="A25" s="15" t="s">
        <v>196</v>
      </c>
      <c r="B25" s="14" t="s">
        <v>197</v>
      </c>
      <c r="C25" s="14" t="s">
        <v>132</v>
      </c>
      <c r="D25" s="14" t="s">
        <v>198</v>
      </c>
      <c r="E25" s="16" t="s">
        <v>50</v>
      </c>
      <c r="F25" s="14" t="s">
        <v>161</v>
      </c>
      <c r="G25" s="14" t="s">
        <v>199</v>
      </c>
      <c r="H25" s="17">
        <v>8592.4044860840258</v>
      </c>
      <c r="I25" s="14" t="s">
        <v>53</v>
      </c>
    </row>
    <row r="26" spans="1:9" ht="15" hidden="1" x14ac:dyDescent="0.25">
      <c r="A26" s="15" t="s">
        <v>202</v>
      </c>
      <c r="B26" s="14" t="s">
        <v>203</v>
      </c>
      <c r="C26" s="14" t="s">
        <v>68</v>
      </c>
      <c r="D26" s="14" t="s">
        <v>78</v>
      </c>
      <c r="E26" s="16" t="s">
        <v>50</v>
      </c>
      <c r="F26" s="14" t="s">
        <v>161</v>
      </c>
      <c r="G26" s="14" t="s">
        <v>199</v>
      </c>
      <c r="H26" s="17">
        <v>6318.3004549578254</v>
      </c>
      <c r="I26" s="14" t="s">
        <v>53</v>
      </c>
    </row>
    <row r="27" spans="1:9" ht="15" hidden="1" x14ac:dyDescent="0.25">
      <c r="A27" s="15" t="s">
        <v>206</v>
      </c>
      <c r="B27" s="14" t="s">
        <v>207</v>
      </c>
      <c r="C27" s="14" t="s">
        <v>208</v>
      </c>
      <c r="D27" s="14" t="s">
        <v>124</v>
      </c>
      <c r="E27" s="16" t="s">
        <v>50</v>
      </c>
      <c r="F27" s="14" t="s">
        <v>161</v>
      </c>
      <c r="G27" s="14" t="s">
        <v>209</v>
      </c>
      <c r="H27" s="17">
        <v>9118.718256106542</v>
      </c>
      <c r="I27" s="14" t="s">
        <v>53</v>
      </c>
    </row>
    <row r="28" spans="1:9" ht="15" x14ac:dyDescent="0.25">
      <c r="A28" s="15" t="s">
        <v>212</v>
      </c>
      <c r="B28" s="14" t="s">
        <v>213</v>
      </c>
      <c r="C28" s="14" t="s">
        <v>185</v>
      </c>
      <c r="D28" s="14" t="s">
        <v>151</v>
      </c>
      <c r="E28" s="16" t="s">
        <v>50</v>
      </c>
      <c r="F28" s="14" t="s">
        <v>161</v>
      </c>
      <c r="G28" s="14" t="s">
        <v>187</v>
      </c>
      <c r="H28" s="17">
        <v>12649.177735950938</v>
      </c>
      <c r="I28" s="14" t="s">
        <v>63</v>
      </c>
    </row>
    <row r="29" spans="1:9" ht="15" hidden="1" x14ac:dyDescent="0.25">
      <c r="A29" s="15" t="s">
        <v>218</v>
      </c>
      <c r="B29" s="14" t="s">
        <v>219</v>
      </c>
      <c r="C29" s="14" t="s">
        <v>220</v>
      </c>
      <c r="D29" s="14" t="s">
        <v>124</v>
      </c>
      <c r="E29" s="16" t="s">
        <v>50</v>
      </c>
      <c r="F29" s="14" t="s">
        <v>161</v>
      </c>
      <c r="G29" s="14" t="s">
        <v>175</v>
      </c>
      <c r="H29" s="17">
        <v>9575.1729492277009</v>
      </c>
      <c r="I29" s="14" t="s">
        <v>180</v>
      </c>
    </row>
    <row r="30" spans="1:9" ht="15" hidden="1" x14ac:dyDescent="0.25">
      <c r="A30" s="15" t="s">
        <v>223</v>
      </c>
      <c r="B30" s="14" t="s">
        <v>224</v>
      </c>
      <c r="C30" s="14" t="s">
        <v>132</v>
      </c>
      <c r="D30" s="14" t="s">
        <v>225</v>
      </c>
      <c r="E30" s="16" t="s">
        <v>50</v>
      </c>
      <c r="F30" s="14" t="s">
        <v>161</v>
      </c>
      <c r="G30" s="14" t="s">
        <v>187</v>
      </c>
      <c r="H30" s="17">
        <v>9186.8043650826003</v>
      </c>
      <c r="I30" s="14" t="s">
        <v>180</v>
      </c>
    </row>
    <row r="31" spans="1:9" ht="15" hidden="1" x14ac:dyDescent="0.25">
      <c r="A31" s="15" t="s">
        <v>229</v>
      </c>
      <c r="B31" s="14" t="s">
        <v>230</v>
      </c>
      <c r="C31" s="14" t="s">
        <v>231</v>
      </c>
      <c r="D31" s="14" t="s">
        <v>142</v>
      </c>
      <c r="E31" s="16" t="s">
        <v>87</v>
      </c>
      <c r="F31" s="14" t="s">
        <v>161</v>
      </c>
      <c r="G31" s="14" t="s">
        <v>144</v>
      </c>
      <c r="H31" s="17">
        <v>13552.180889683978</v>
      </c>
      <c r="I31" s="14" t="s">
        <v>63</v>
      </c>
    </row>
    <row r="32" spans="1:9" ht="15" hidden="1" x14ac:dyDescent="0.25">
      <c r="A32" s="15" t="s">
        <v>235</v>
      </c>
      <c r="B32" s="14" t="s">
        <v>236</v>
      </c>
      <c r="C32" s="14" t="s">
        <v>237</v>
      </c>
      <c r="D32" s="14" t="s">
        <v>238</v>
      </c>
      <c r="E32" s="16" t="s">
        <v>87</v>
      </c>
      <c r="F32" s="14" t="s">
        <v>161</v>
      </c>
      <c r="G32" s="14" t="s">
        <v>239</v>
      </c>
      <c r="H32" s="17">
        <v>11129.8708790295</v>
      </c>
      <c r="I32" s="14" t="s">
        <v>63</v>
      </c>
    </row>
    <row r="33" spans="1:9" ht="15" x14ac:dyDescent="0.25">
      <c r="A33" s="15" t="s">
        <v>243</v>
      </c>
      <c r="B33" s="14" t="s">
        <v>244</v>
      </c>
      <c r="C33" s="14" t="s">
        <v>108</v>
      </c>
      <c r="D33" s="14" t="s">
        <v>238</v>
      </c>
      <c r="E33" s="16" t="s">
        <v>87</v>
      </c>
      <c r="F33" s="14" t="s">
        <v>143</v>
      </c>
      <c r="G33" s="14" t="s">
        <v>245</v>
      </c>
      <c r="H33" s="17">
        <v>6741.1748858595456</v>
      </c>
      <c r="I33" s="14" t="s">
        <v>53</v>
      </c>
    </row>
    <row r="34" spans="1:9" ht="15" hidden="1" x14ac:dyDescent="0.25">
      <c r="A34" s="15" t="s">
        <v>249</v>
      </c>
      <c r="B34" s="14" t="s">
        <v>250</v>
      </c>
      <c r="C34" s="14" t="s">
        <v>251</v>
      </c>
      <c r="D34" s="14" t="s">
        <v>252</v>
      </c>
      <c r="E34" s="16" t="s">
        <v>87</v>
      </c>
      <c r="F34" s="14" t="s">
        <v>143</v>
      </c>
      <c r="G34" s="14" t="s">
        <v>253</v>
      </c>
      <c r="H34" s="17">
        <v>12924.048181149799</v>
      </c>
      <c r="I34" s="14" t="s">
        <v>63</v>
      </c>
    </row>
    <row r="35" spans="1:9" ht="15" x14ac:dyDescent="0.25">
      <c r="A35" s="15" t="s">
        <v>256</v>
      </c>
      <c r="B35" s="14" t="s">
        <v>257</v>
      </c>
      <c r="C35" s="14" t="s">
        <v>258</v>
      </c>
      <c r="D35" s="14" t="s">
        <v>259</v>
      </c>
      <c r="E35" s="16" t="s">
        <v>50</v>
      </c>
      <c r="F35" s="14" t="s">
        <v>143</v>
      </c>
      <c r="G35" s="14" t="s">
        <v>104</v>
      </c>
      <c r="H35" s="17">
        <v>11395.712607802161</v>
      </c>
      <c r="I35" s="14" t="s">
        <v>134</v>
      </c>
    </row>
    <row r="36" spans="1:9" ht="15" hidden="1" x14ac:dyDescent="0.25">
      <c r="A36" s="15" t="s">
        <v>264</v>
      </c>
      <c r="B36" s="14" t="s">
        <v>265</v>
      </c>
      <c r="C36" s="14" t="s">
        <v>266</v>
      </c>
      <c r="D36" s="14" t="s">
        <v>267</v>
      </c>
      <c r="E36" s="16" t="s">
        <v>87</v>
      </c>
      <c r="F36" s="14" t="s">
        <v>268</v>
      </c>
      <c r="G36" s="14" t="s">
        <v>144</v>
      </c>
      <c r="H36" s="17">
        <v>10238.0106795096</v>
      </c>
      <c r="I36" s="14" t="s">
        <v>134</v>
      </c>
    </row>
    <row r="37" spans="1:9" ht="15" hidden="1" x14ac:dyDescent="0.25">
      <c r="A37" s="15" t="s">
        <v>273</v>
      </c>
      <c r="B37" s="14" t="s">
        <v>274</v>
      </c>
      <c r="C37" s="14" t="s">
        <v>266</v>
      </c>
      <c r="D37" s="14" t="s">
        <v>95</v>
      </c>
      <c r="E37" s="16" t="s">
        <v>87</v>
      </c>
      <c r="F37" s="14" t="s">
        <v>268</v>
      </c>
      <c r="G37" s="14" t="s">
        <v>275</v>
      </c>
      <c r="H37" s="17">
        <v>10389.8779733723</v>
      </c>
      <c r="I37" s="14" t="s">
        <v>53</v>
      </c>
    </row>
    <row r="38" spans="1:9" ht="15" hidden="1" x14ac:dyDescent="0.25">
      <c r="A38" s="15" t="s">
        <v>280</v>
      </c>
      <c r="B38" s="14" t="s">
        <v>281</v>
      </c>
      <c r="C38" s="14" t="s">
        <v>94</v>
      </c>
      <c r="D38" s="14" t="s">
        <v>282</v>
      </c>
      <c r="E38" s="16" t="s">
        <v>87</v>
      </c>
      <c r="F38" s="14" t="s">
        <v>268</v>
      </c>
      <c r="G38" s="14" t="s">
        <v>253</v>
      </c>
      <c r="H38" s="17">
        <v>11142.1670754684</v>
      </c>
      <c r="I38" s="14" t="s">
        <v>63</v>
      </c>
    </row>
    <row r="39" spans="1:9" ht="15" x14ac:dyDescent="0.25">
      <c r="A39" s="15" t="s">
        <v>285</v>
      </c>
      <c r="B39" s="14" t="s">
        <v>286</v>
      </c>
      <c r="C39" s="14" t="s">
        <v>287</v>
      </c>
      <c r="D39" s="14" t="s">
        <v>288</v>
      </c>
      <c r="E39" s="16" t="s">
        <v>50</v>
      </c>
      <c r="F39" s="14" t="s">
        <v>289</v>
      </c>
      <c r="G39" s="14" t="s">
        <v>239</v>
      </c>
      <c r="H39" s="17">
        <v>11477.095535836535</v>
      </c>
      <c r="I39" s="14" t="s">
        <v>63</v>
      </c>
    </row>
    <row r="40" spans="1:9" ht="15" hidden="1" x14ac:dyDescent="0.25">
      <c r="A40" s="15" t="s">
        <v>293</v>
      </c>
      <c r="B40" s="14" t="s">
        <v>294</v>
      </c>
      <c r="C40" s="14" t="s">
        <v>68</v>
      </c>
      <c r="D40" s="14" t="s">
        <v>124</v>
      </c>
      <c r="E40" s="16" t="s">
        <v>50</v>
      </c>
      <c r="F40" s="14" t="s">
        <v>289</v>
      </c>
      <c r="G40" s="14" t="s">
        <v>239</v>
      </c>
      <c r="H40" s="17">
        <v>5742.2490484559476</v>
      </c>
      <c r="I40" s="14" t="s">
        <v>63</v>
      </c>
    </row>
    <row r="41" spans="1:9" ht="15" hidden="1" x14ac:dyDescent="0.25">
      <c r="A41" s="15" t="s">
        <v>297</v>
      </c>
      <c r="B41" s="14" t="s">
        <v>298</v>
      </c>
      <c r="C41" s="14" t="s">
        <v>299</v>
      </c>
      <c r="D41" s="14" t="s">
        <v>300</v>
      </c>
      <c r="E41" s="16" t="s">
        <v>50</v>
      </c>
      <c r="F41" s="14" t="s">
        <v>289</v>
      </c>
      <c r="G41" s="14" t="s">
        <v>144</v>
      </c>
      <c r="H41" s="17">
        <v>8081.7875863473264</v>
      </c>
      <c r="I41" s="14" t="s">
        <v>134</v>
      </c>
    </row>
    <row r="42" spans="1:9" ht="15" hidden="1" x14ac:dyDescent="0.25">
      <c r="A42" s="15" t="s">
        <v>303</v>
      </c>
      <c r="B42" s="14" t="s">
        <v>304</v>
      </c>
      <c r="C42" s="14" t="s">
        <v>185</v>
      </c>
      <c r="D42" s="14" t="s">
        <v>305</v>
      </c>
      <c r="E42" s="16" t="s">
        <v>50</v>
      </c>
      <c r="F42" s="14" t="s">
        <v>289</v>
      </c>
      <c r="G42" s="14" t="s">
        <v>104</v>
      </c>
      <c r="H42" s="17">
        <v>7611.2957853310199</v>
      </c>
      <c r="I42" s="14" t="s">
        <v>134</v>
      </c>
    </row>
    <row r="43" spans="1:9" ht="15" x14ac:dyDescent="0.25">
      <c r="A43" s="15" t="s">
        <v>308</v>
      </c>
      <c r="B43" s="14" t="s">
        <v>309</v>
      </c>
      <c r="C43" s="14" t="s">
        <v>168</v>
      </c>
      <c r="D43" s="14" t="s">
        <v>310</v>
      </c>
      <c r="E43" s="16" t="s">
        <v>50</v>
      </c>
      <c r="F43" s="14" t="s">
        <v>289</v>
      </c>
      <c r="G43" s="14" t="s">
        <v>311</v>
      </c>
      <c r="H43" s="17">
        <v>14336.118175428066</v>
      </c>
      <c r="I43" s="14" t="s">
        <v>63</v>
      </c>
    </row>
    <row r="44" spans="1:9" ht="15" hidden="1" x14ac:dyDescent="0.25">
      <c r="A44" s="15" t="s">
        <v>314</v>
      </c>
      <c r="B44" s="14" t="s">
        <v>315</v>
      </c>
      <c r="C44" s="14" t="s">
        <v>316</v>
      </c>
      <c r="D44" s="14" t="s">
        <v>317</v>
      </c>
      <c r="E44" s="16" t="s">
        <v>50</v>
      </c>
      <c r="F44" s="14" t="s">
        <v>268</v>
      </c>
      <c r="G44" s="14" t="s">
        <v>104</v>
      </c>
      <c r="H44" s="17">
        <v>9406.7912250329755</v>
      </c>
      <c r="I44" s="14" t="s">
        <v>53</v>
      </c>
    </row>
    <row r="45" spans="1:9" ht="15" x14ac:dyDescent="0.25">
      <c r="A45" s="15" t="s">
        <v>323</v>
      </c>
      <c r="B45" s="14" t="s">
        <v>324</v>
      </c>
      <c r="C45" s="14" t="s">
        <v>325</v>
      </c>
      <c r="D45" s="14" t="s">
        <v>326</v>
      </c>
      <c r="E45" s="16" t="s">
        <v>50</v>
      </c>
      <c r="F45" s="14" t="s">
        <v>268</v>
      </c>
      <c r="G45" s="14" t="s">
        <v>253</v>
      </c>
      <c r="H45" s="17">
        <v>10117.7278312244</v>
      </c>
      <c r="I45" s="14" t="s">
        <v>134</v>
      </c>
    </row>
    <row r="46" spans="1:9" ht="15" hidden="1" x14ac:dyDescent="0.25">
      <c r="A46" s="15" t="s">
        <v>329</v>
      </c>
      <c r="B46" s="14" t="s">
        <v>330</v>
      </c>
      <c r="C46" s="14" t="s">
        <v>331</v>
      </c>
      <c r="D46" s="14" t="s">
        <v>116</v>
      </c>
      <c r="E46" s="16" t="s">
        <v>87</v>
      </c>
      <c r="F46" s="14" t="s">
        <v>268</v>
      </c>
      <c r="G46" s="14" t="s">
        <v>311</v>
      </c>
      <c r="H46" s="17">
        <v>12247.747148017401</v>
      </c>
      <c r="I46" s="14" t="s">
        <v>63</v>
      </c>
    </row>
    <row r="47" spans="1:9" ht="15" hidden="1" x14ac:dyDescent="0.25">
      <c r="A47" s="15" t="s">
        <v>335</v>
      </c>
      <c r="B47" s="14" t="s">
        <v>336</v>
      </c>
      <c r="C47" s="14" t="s">
        <v>337</v>
      </c>
      <c r="D47" s="14" t="s">
        <v>225</v>
      </c>
      <c r="E47" s="16" t="s">
        <v>50</v>
      </c>
      <c r="F47" s="14" t="s">
        <v>338</v>
      </c>
      <c r="G47" s="14" t="s">
        <v>339</v>
      </c>
      <c r="H47" s="17">
        <v>8668.5274506055521</v>
      </c>
      <c r="I47" s="14" t="s">
        <v>180</v>
      </c>
    </row>
    <row r="48" spans="1:9" ht="15" hidden="1" x14ac:dyDescent="0.25">
      <c r="A48" s="15" t="s">
        <v>343</v>
      </c>
      <c r="B48" s="14" t="s">
        <v>344</v>
      </c>
      <c r="C48" s="14" t="s">
        <v>345</v>
      </c>
      <c r="D48" s="14" t="s">
        <v>346</v>
      </c>
      <c r="E48" s="16" t="s">
        <v>87</v>
      </c>
      <c r="F48" s="14" t="s">
        <v>338</v>
      </c>
      <c r="G48" s="14" t="s">
        <v>347</v>
      </c>
      <c r="H48" s="17">
        <v>11472.290380362065</v>
      </c>
      <c r="I48" s="14" t="s">
        <v>180</v>
      </c>
    </row>
    <row r="49" spans="1:9" ht="15" x14ac:dyDescent="0.25">
      <c r="A49" s="15" t="s">
        <v>350</v>
      </c>
      <c r="B49" s="14" t="s">
        <v>351</v>
      </c>
      <c r="C49" s="14" t="s">
        <v>331</v>
      </c>
      <c r="D49" s="14" t="s">
        <v>352</v>
      </c>
      <c r="E49" s="16" t="s">
        <v>87</v>
      </c>
      <c r="F49" s="14" t="s">
        <v>338</v>
      </c>
      <c r="G49" s="14" t="s">
        <v>347</v>
      </c>
      <c r="H49" s="17">
        <v>6545.2883217567833</v>
      </c>
      <c r="I49" s="14" t="s">
        <v>180</v>
      </c>
    </row>
    <row r="50" spans="1:9" ht="15" hidden="1" x14ac:dyDescent="0.25">
      <c r="A50" s="15" t="s">
        <v>356</v>
      </c>
      <c r="B50" s="14" t="s">
        <v>357</v>
      </c>
      <c r="C50" s="14" t="s">
        <v>237</v>
      </c>
      <c r="D50" s="14" t="s">
        <v>282</v>
      </c>
      <c r="E50" s="16" t="s">
        <v>87</v>
      </c>
      <c r="F50" s="14" t="s">
        <v>338</v>
      </c>
      <c r="G50" s="14" t="s">
        <v>358</v>
      </c>
      <c r="H50" s="17">
        <v>13514.395410585492</v>
      </c>
      <c r="I50" s="14" t="s">
        <v>134</v>
      </c>
    </row>
    <row r="51" spans="1:9" ht="15" x14ac:dyDescent="0.25">
      <c r="A51" s="15" t="s">
        <v>361</v>
      </c>
      <c r="B51" s="14" t="s">
        <v>362</v>
      </c>
      <c r="C51" s="14" t="s">
        <v>231</v>
      </c>
      <c r="D51" s="14" t="s">
        <v>363</v>
      </c>
      <c r="E51" s="16" t="s">
        <v>87</v>
      </c>
      <c r="F51" s="14" t="s">
        <v>338</v>
      </c>
      <c r="G51" s="14" t="s">
        <v>339</v>
      </c>
      <c r="H51" s="17">
        <v>5053.6033918022285</v>
      </c>
      <c r="I51" s="14" t="s">
        <v>180</v>
      </c>
    </row>
    <row r="52" spans="1:9" ht="15" hidden="1" x14ac:dyDescent="0.25">
      <c r="A52" s="15" t="s">
        <v>366</v>
      </c>
      <c r="B52" s="14" t="s">
        <v>367</v>
      </c>
      <c r="C52" s="14" t="s">
        <v>368</v>
      </c>
      <c r="D52" s="14" t="s">
        <v>369</v>
      </c>
      <c r="E52" s="16" t="s">
        <v>87</v>
      </c>
      <c r="F52" s="14" t="s">
        <v>338</v>
      </c>
      <c r="G52" s="14" t="s">
        <v>347</v>
      </c>
      <c r="H52" s="17">
        <v>11069.850875497006</v>
      </c>
      <c r="I52" s="14" t="s">
        <v>134</v>
      </c>
    </row>
    <row r="53" spans="1:9" ht="15" hidden="1" x14ac:dyDescent="0.25">
      <c r="A53" s="15" t="s">
        <v>373</v>
      </c>
      <c r="B53" s="14" t="s">
        <v>374</v>
      </c>
      <c r="C53" s="14" t="s">
        <v>375</v>
      </c>
      <c r="D53" s="14" t="s">
        <v>142</v>
      </c>
      <c r="E53" s="16" t="s">
        <v>87</v>
      </c>
      <c r="F53" s="14" t="s">
        <v>376</v>
      </c>
      <c r="G53" s="14" t="s">
        <v>144</v>
      </c>
      <c r="H53" s="17">
        <v>12592.183135589101</v>
      </c>
      <c r="I53" s="14" t="s">
        <v>63</v>
      </c>
    </row>
    <row r="54" spans="1:9" ht="15" hidden="1" x14ac:dyDescent="0.25">
      <c r="A54" s="15" t="s">
        <v>380</v>
      </c>
      <c r="B54" s="14" t="s">
        <v>381</v>
      </c>
      <c r="C54" s="14" t="s">
        <v>382</v>
      </c>
      <c r="D54" s="14" t="s">
        <v>238</v>
      </c>
      <c r="E54" s="16" t="s">
        <v>87</v>
      </c>
      <c r="F54" s="14" t="s">
        <v>376</v>
      </c>
      <c r="G54" s="14" t="s">
        <v>383</v>
      </c>
      <c r="H54" s="17">
        <v>10643.3766537518</v>
      </c>
      <c r="I54" s="14" t="s">
        <v>134</v>
      </c>
    </row>
    <row r="55" spans="1:9" ht="15" hidden="1" x14ac:dyDescent="0.25">
      <c r="A55" s="15" t="s">
        <v>388</v>
      </c>
      <c r="B55" s="14" t="s">
        <v>389</v>
      </c>
      <c r="C55" s="14" t="s">
        <v>68</v>
      </c>
      <c r="D55" s="14" t="s">
        <v>69</v>
      </c>
      <c r="E55" s="16" t="s">
        <v>50</v>
      </c>
      <c r="F55" s="14" t="s">
        <v>390</v>
      </c>
      <c r="G55" s="14" t="s">
        <v>391</v>
      </c>
      <c r="H55" s="17">
        <v>9453.2607782707091</v>
      </c>
      <c r="I55" s="14" t="s">
        <v>63</v>
      </c>
    </row>
    <row r="56" spans="1:9" ht="15" x14ac:dyDescent="0.25">
      <c r="A56" s="15" t="s">
        <v>394</v>
      </c>
      <c r="B56" s="21" t="s">
        <v>395</v>
      </c>
      <c r="C56" s="21" t="s">
        <v>325</v>
      </c>
      <c r="D56" s="14" t="s">
        <v>396</v>
      </c>
      <c r="E56" s="16" t="s">
        <v>50</v>
      </c>
      <c r="F56" s="14" t="s">
        <v>390</v>
      </c>
      <c r="G56" s="21" t="s">
        <v>397</v>
      </c>
      <c r="H56" s="17">
        <v>13104.8464892221</v>
      </c>
      <c r="I56" s="14" t="s">
        <v>134</v>
      </c>
    </row>
    <row r="57" spans="1:9" ht="15" hidden="1" x14ac:dyDescent="0.25">
      <c r="A57" s="15" t="s">
        <v>400</v>
      </c>
      <c r="B57" s="21" t="s">
        <v>401</v>
      </c>
      <c r="C57" s="21" t="s">
        <v>402</v>
      </c>
      <c r="D57" s="14" t="s">
        <v>69</v>
      </c>
      <c r="E57" s="16" t="s">
        <v>50</v>
      </c>
      <c r="F57" s="14" t="s">
        <v>390</v>
      </c>
      <c r="G57" s="21" t="s">
        <v>403</v>
      </c>
      <c r="H57" s="17">
        <v>8415.0990823491975</v>
      </c>
      <c r="I57" s="14" t="s">
        <v>134</v>
      </c>
    </row>
    <row r="58" spans="1:9" ht="15" x14ac:dyDescent="0.25">
      <c r="A58" s="15" t="s">
        <v>406</v>
      </c>
      <c r="B58" s="14" t="s">
        <v>407</v>
      </c>
      <c r="C58" s="14" t="s">
        <v>316</v>
      </c>
      <c r="D58" s="14" t="s">
        <v>174</v>
      </c>
      <c r="E58" s="16" t="s">
        <v>50</v>
      </c>
      <c r="F58" s="14" t="s">
        <v>390</v>
      </c>
      <c r="G58" s="14" t="s">
        <v>391</v>
      </c>
      <c r="H58" s="17">
        <v>12616.153463888215</v>
      </c>
      <c r="I58" s="14" t="s">
        <v>63</v>
      </c>
    </row>
    <row r="59" spans="1:9" ht="15" hidden="1" x14ac:dyDescent="0.25">
      <c r="A59" s="15" t="s">
        <v>410</v>
      </c>
      <c r="B59" s="21" t="s">
        <v>411</v>
      </c>
      <c r="C59" s="21" t="s">
        <v>412</v>
      </c>
      <c r="D59" s="14" t="s">
        <v>326</v>
      </c>
      <c r="E59" s="16" t="s">
        <v>50</v>
      </c>
      <c r="F59" s="14" t="s">
        <v>390</v>
      </c>
      <c r="G59" s="21" t="s">
        <v>403</v>
      </c>
      <c r="H59" s="17">
        <v>5356.4388461651015</v>
      </c>
      <c r="I59" s="14" t="s">
        <v>63</v>
      </c>
    </row>
    <row r="60" spans="1:9" ht="15" hidden="1" x14ac:dyDescent="0.25">
      <c r="A60" s="15" t="s">
        <v>414</v>
      </c>
      <c r="B60" s="21" t="s">
        <v>415</v>
      </c>
      <c r="C60" s="21" t="s">
        <v>416</v>
      </c>
      <c r="D60" s="14" t="s">
        <v>417</v>
      </c>
      <c r="E60" s="16" t="s">
        <v>50</v>
      </c>
      <c r="F60" s="14" t="s">
        <v>390</v>
      </c>
      <c r="G60" s="21" t="s">
        <v>418</v>
      </c>
      <c r="H60" s="17">
        <v>7699.1781874603867</v>
      </c>
      <c r="I60" s="14" t="s">
        <v>63</v>
      </c>
    </row>
    <row r="61" spans="1:9" ht="15" hidden="1" x14ac:dyDescent="0.25">
      <c r="A61" s="15" t="s">
        <v>421</v>
      </c>
      <c r="B61" s="21" t="s">
        <v>422</v>
      </c>
      <c r="C61" s="21" t="s">
        <v>168</v>
      </c>
      <c r="D61" s="14" t="s">
        <v>423</v>
      </c>
      <c r="E61" s="16" t="s">
        <v>50</v>
      </c>
      <c r="F61" s="14" t="s">
        <v>390</v>
      </c>
      <c r="G61" s="21" t="s">
        <v>418</v>
      </c>
      <c r="H61" s="17">
        <v>6769.9436427326746</v>
      </c>
      <c r="I61" s="14" t="s">
        <v>134</v>
      </c>
    </row>
    <row r="62" spans="1:9" ht="15" hidden="1" x14ac:dyDescent="0.25">
      <c r="A62" s="15" t="s">
        <v>426</v>
      </c>
      <c r="B62" s="14" t="s">
        <v>427</v>
      </c>
      <c r="C62" s="14" t="s">
        <v>428</v>
      </c>
      <c r="D62" s="14" t="s">
        <v>429</v>
      </c>
      <c r="E62" s="16" t="s">
        <v>50</v>
      </c>
      <c r="F62" s="14" t="s">
        <v>390</v>
      </c>
      <c r="G62" s="14" t="s">
        <v>169</v>
      </c>
      <c r="H62" s="17">
        <v>8334.4812476725183</v>
      </c>
      <c r="I62" s="14" t="s">
        <v>53</v>
      </c>
    </row>
    <row r="63" spans="1:9" ht="15" x14ac:dyDescent="0.25">
      <c r="A63" s="15" t="s">
        <v>431</v>
      </c>
      <c r="B63" s="21" t="s">
        <v>432</v>
      </c>
      <c r="C63" s="21" t="s">
        <v>433</v>
      </c>
      <c r="D63" s="14" t="s">
        <v>317</v>
      </c>
      <c r="E63" s="16" t="s">
        <v>50</v>
      </c>
      <c r="F63" s="14" t="s">
        <v>390</v>
      </c>
      <c r="G63" s="21" t="s">
        <v>403</v>
      </c>
      <c r="H63" s="17">
        <v>13349.155517093794</v>
      </c>
      <c r="I63" s="14" t="s">
        <v>63</v>
      </c>
    </row>
    <row r="64" spans="1:9" ht="15" hidden="1" x14ac:dyDescent="0.25">
      <c r="A64" s="15" t="s">
        <v>436</v>
      </c>
      <c r="B64" s="21" t="s">
        <v>437</v>
      </c>
      <c r="C64" s="21" t="s">
        <v>316</v>
      </c>
      <c r="D64" s="14" t="s">
        <v>438</v>
      </c>
      <c r="E64" s="16" t="s">
        <v>50</v>
      </c>
      <c r="F64" s="14" t="s">
        <v>390</v>
      </c>
      <c r="G64" s="21" t="s">
        <v>418</v>
      </c>
      <c r="H64" s="17">
        <v>7045.2632223453566</v>
      </c>
      <c r="I64" s="14" t="s">
        <v>63</v>
      </c>
    </row>
    <row r="65" spans="1:9" ht="15" hidden="1" x14ac:dyDescent="0.25">
      <c r="A65" s="15" t="s">
        <v>441</v>
      </c>
      <c r="B65" s="21" t="s">
        <v>442</v>
      </c>
      <c r="C65" s="21" t="s">
        <v>443</v>
      </c>
      <c r="D65" s="14" t="s">
        <v>225</v>
      </c>
      <c r="E65" s="16" t="s">
        <v>50</v>
      </c>
      <c r="F65" s="14" t="s">
        <v>390</v>
      </c>
      <c r="G65" s="21" t="s">
        <v>418</v>
      </c>
      <c r="H65" s="17">
        <v>6943.8446212997997</v>
      </c>
      <c r="I65" s="14" t="s">
        <v>63</v>
      </c>
    </row>
    <row r="66" spans="1:9" ht="15" x14ac:dyDescent="0.25">
      <c r="A66" s="15" t="s">
        <v>445</v>
      </c>
      <c r="B66" s="14" t="s">
        <v>446</v>
      </c>
      <c r="C66" s="14" t="s">
        <v>447</v>
      </c>
      <c r="D66" s="14" t="s">
        <v>282</v>
      </c>
      <c r="E66" s="16" t="s">
        <v>87</v>
      </c>
      <c r="F66" s="14" t="s">
        <v>376</v>
      </c>
      <c r="G66" s="14" t="s">
        <v>383</v>
      </c>
      <c r="H66" s="17">
        <v>7810.6406505531404</v>
      </c>
      <c r="I66" s="14" t="s">
        <v>53</v>
      </c>
    </row>
    <row r="67" spans="1:9" ht="15" hidden="1" x14ac:dyDescent="0.25">
      <c r="A67" s="15" t="s">
        <v>450</v>
      </c>
      <c r="B67" s="14" t="s">
        <v>451</v>
      </c>
      <c r="C67" s="14" t="s">
        <v>141</v>
      </c>
      <c r="D67" s="14" t="s">
        <v>452</v>
      </c>
      <c r="E67" s="16" t="s">
        <v>87</v>
      </c>
      <c r="F67" s="14" t="s">
        <v>376</v>
      </c>
      <c r="G67" s="14" t="s">
        <v>383</v>
      </c>
      <c r="H67" s="17">
        <v>8520.7696909160004</v>
      </c>
      <c r="I67" s="14" t="s">
        <v>53</v>
      </c>
    </row>
    <row r="68" spans="1:9" ht="15" hidden="1" x14ac:dyDescent="0.25">
      <c r="A68" s="15" t="s">
        <v>456</v>
      </c>
      <c r="B68" s="21" t="s">
        <v>457</v>
      </c>
      <c r="C68" s="21" t="s">
        <v>458</v>
      </c>
      <c r="D68" s="14" t="s">
        <v>116</v>
      </c>
      <c r="E68" s="16" t="s">
        <v>87</v>
      </c>
      <c r="F68" s="14" t="s">
        <v>390</v>
      </c>
      <c r="G68" s="21" t="s">
        <v>459</v>
      </c>
      <c r="H68" s="17">
        <v>14142.038140808014</v>
      </c>
      <c r="I68" s="14" t="s">
        <v>63</v>
      </c>
    </row>
    <row r="69" spans="1:9" ht="15" hidden="1" x14ac:dyDescent="0.25">
      <c r="A69" s="15" t="s">
        <v>462</v>
      </c>
      <c r="B69" s="14" t="s">
        <v>463</v>
      </c>
      <c r="C69" s="14" t="s">
        <v>464</v>
      </c>
      <c r="D69" s="14" t="s">
        <v>288</v>
      </c>
      <c r="E69" s="16" t="s">
        <v>50</v>
      </c>
      <c r="F69" s="14" t="s">
        <v>376</v>
      </c>
      <c r="G69" s="14" t="s">
        <v>465</v>
      </c>
      <c r="H69" s="17">
        <v>5715.3864960983001</v>
      </c>
      <c r="I69" s="1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69"/>
  <sheetViews>
    <sheetView zoomScaleNormal="100" workbookViewId="0">
      <selection activeCell="A69" sqref="A6:A69"/>
    </sheetView>
  </sheetViews>
  <sheetFormatPr defaultRowHeight="12.75" x14ac:dyDescent="0.2"/>
  <cols>
    <col min="1" max="1" width="4.42578125" style="14" bestFit="1" customWidth="1"/>
    <col min="2" max="2" width="13.85546875" style="14" bestFit="1" customWidth="1"/>
    <col min="3" max="3" width="11.28515625" style="14" bestFit="1" customWidth="1"/>
    <col min="4" max="4" width="14.5703125" style="14" bestFit="1" customWidth="1"/>
    <col min="5" max="5" width="4.5703125" style="16" bestFit="1" customWidth="1"/>
    <col min="6" max="6" width="22.140625" style="14" bestFit="1" customWidth="1"/>
    <col min="7" max="7" width="24.140625" style="14" bestFit="1" customWidth="1"/>
    <col min="8" max="8" width="10.7109375" style="14" bestFit="1" customWidth="1"/>
    <col min="9" max="9" width="20" style="14" bestFit="1" customWidth="1"/>
    <col min="10" max="248" width="9.140625" style="14"/>
    <col min="249" max="249" width="4.42578125" style="14" bestFit="1" customWidth="1"/>
    <col min="250" max="250" width="13.85546875" style="14" bestFit="1" customWidth="1"/>
    <col min="251" max="251" width="11.28515625" style="14" bestFit="1" customWidth="1"/>
    <col min="252" max="252" width="14.5703125" style="14" bestFit="1" customWidth="1"/>
    <col min="253" max="253" width="4.5703125" style="14" bestFit="1" customWidth="1"/>
    <col min="254" max="254" width="22.140625" style="14" bestFit="1" customWidth="1"/>
    <col min="255" max="255" width="24.140625" style="14" bestFit="1" customWidth="1"/>
    <col min="256" max="256" width="10.7109375" style="14" bestFit="1" customWidth="1"/>
    <col min="257" max="257" width="20" style="14" bestFit="1" customWidth="1"/>
    <col min="258" max="258" width="11.85546875" style="14" bestFit="1" customWidth="1"/>
    <col min="259" max="259" width="10.42578125" style="14" bestFit="1" customWidth="1"/>
    <col min="260" max="260" width="42.28515625" style="14" bestFit="1" customWidth="1"/>
    <col min="261" max="261" width="13.5703125" style="14" bestFit="1" customWidth="1"/>
    <col min="262" max="262" width="7.7109375" style="14" bestFit="1" customWidth="1"/>
    <col min="263" max="263" width="10.7109375" style="14" bestFit="1" customWidth="1"/>
    <col min="264" max="264" width="9.28515625" style="14" bestFit="1" customWidth="1"/>
    <col min="265" max="265" width="8.7109375" style="14" bestFit="1" customWidth="1"/>
    <col min="266" max="504" width="9.140625" style="14"/>
    <col min="505" max="505" width="4.42578125" style="14" bestFit="1" customWidth="1"/>
    <col min="506" max="506" width="13.85546875" style="14" bestFit="1" customWidth="1"/>
    <col min="507" max="507" width="11.28515625" style="14" bestFit="1" customWidth="1"/>
    <col min="508" max="508" width="14.5703125" style="14" bestFit="1" customWidth="1"/>
    <col min="509" max="509" width="4.5703125" style="14" bestFit="1" customWidth="1"/>
    <col min="510" max="510" width="22.140625" style="14" bestFit="1" customWidth="1"/>
    <col min="511" max="511" width="24.140625" style="14" bestFit="1" customWidth="1"/>
    <col min="512" max="512" width="10.7109375" style="14" bestFit="1" customWidth="1"/>
    <col min="513" max="513" width="20" style="14" bestFit="1" customWidth="1"/>
    <col min="514" max="514" width="11.85546875" style="14" bestFit="1" customWidth="1"/>
    <col min="515" max="515" width="10.42578125" style="14" bestFit="1" customWidth="1"/>
    <col min="516" max="516" width="42.28515625" style="14" bestFit="1" customWidth="1"/>
    <col min="517" max="517" width="13.5703125" style="14" bestFit="1" customWidth="1"/>
    <col min="518" max="518" width="7.7109375" style="14" bestFit="1" customWidth="1"/>
    <col min="519" max="519" width="10.7109375" style="14" bestFit="1" customWidth="1"/>
    <col min="520" max="520" width="9.28515625" style="14" bestFit="1" customWidth="1"/>
    <col min="521" max="521" width="8.7109375" style="14" bestFit="1" customWidth="1"/>
    <col min="522" max="760" width="9.140625" style="14"/>
    <col min="761" max="761" width="4.42578125" style="14" bestFit="1" customWidth="1"/>
    <col min="762" max="762" width="13.85546875" style="14" bestFit="1" customWidth="1"/>
    <col min="763" max="763" width="11.28515625" style="14" bestFit="1" customWidth="1"/>
    <col min="764" max="764" width="14.5703125" style="14" bestFit="1" customWidth="1"/>
    <col min="765" max="765" width="4.5703125" style="14" bestFit="1" customWidth="1"/>
    <col min="766" max="766" width="22.140625" style="14" bestFit="1" customWidth="1"/>
    <col min="767" max="767" width="24.140625" style="14" bestFit="1" customWidth="1"/>
    <col min="768" max="768" width="10.7109375" style="14" bestFit="1" customWidth="1"/>
    <col min="769" max="769" width="20" style="14" bestFit="1" customWidth="1"/>
    <col min="770" max="770" width="11.85546875" style="14" bestFit="1" customWidth="1"/>
    <col min="771" max="771" width="10.42578125" style="14" bestFit="1" customWidth="1"/>
    <col min="772" max="772" width="42.28515625" style="14" bestFit="1" customWidth="1"/>
    <col min="773" max="773" width="13.5703125" style="14" bestFit="1" customWidth="1"/>
    <col min="774" max="774" width="7.7109375" style="14" bestFit="1" customWidth="1"/>
    <col min="775" max="775" width="10.7109375" style="14" bestFit="1" customWidth="1"/>
    <col min="776" max="776" width="9.28515625" style="14" bestFit="1" customWidth="1"/>
    <col min="777" max="777" width="8.7109375" style="14" bestFit="1" customWidth="1"/>
    <col min="778" max="1016" width="9.140625" style="14"/>
    <col min="1017" max="1017" width="4.42578125" style="14" bestFit="1" customWidth="1"/>
    <col min="1018" max="1018" width="13.85546875" style="14" bestFit="1" customWidth="1"/>
    <col min="1019" max="1019" width="11.28515625" style="14" bestFit="1" customWidth="1"/>
    <col min="1020" max="1020" width="14.5703125" style="14" bestFit="1" customWidth="1"/>
    <col min="1021" max="1021" width="4.5703125" style="14" bestFit="1" customWidth="1"/>
    <col min="1022" max="1022" width="22.140625" style="14" bestFit="1" customWidth="1"/>
    <col min="1023" max="1023" width="24.140625" style="14" bestFit="1" customWidth="1"/>
    <col min="1024" max="1024" width="10.7109375" style="14" bestFit="1" customWidth="1"/>
    <col min="1025" max="1025" width="20" style="14" bestFit="1" customWidth="1"/>
    <col min="1026" max="1026" width="11.85546875" style="14" bestFit="1" customWidth="1"/>
    <col min="1027" max="1027" width="10.42578125" style="14" bestFit="1" customWidth="1"/>
    <col min="1028" max="1028" width="42.28515625" style="14" bestFit="1" customWidth="1"/>
    <col min="1029" max="1029" width="13.5703125" style="14" bestFit="1" customWidth="1"/>
    <col min="1030" max="1030" width="7.7109375" style="14" bestFit="1" customWidth="1"/>
    <col min="1031" max="1031" width="10.7109375" style="14" bestFit="1" customWidth="1"/>
    <col min="1032" max="1032" width="9.28515625" style="14" bestFit="1" customWidth="1"/>
    <col min="1033" max="1033" width="8.7109375" style="14" bestFit="1" customWidth="1"/>
    <col min="1034" max="1272" width="9.140625" style="14"/>
    <col min="1273" max="1273" width="4.42578125" style="14" bestFit="1" customWidth="1"/>
    <col min="1274" max="1274" width="13.85546875" style="14" bestFit="1" customWidth="1"/>
    <col min="1275" max="1275" width="11.28515625" style="14" bestFit="1" customWidth="1"/>
    <col min="1276" max="1276" width="14.5703125" style="14" bestFit="1" customWidth="1"/>
    <col min="1277" max="1277" width="4.5703125" style="14" bestFit="1" customWidth="1"/>
    <col min="1278" max="1278" width="22.140625" style="14" bestFit="1" customWidth="1"/>
    <col min="1279" max="1279" width="24.140625" style="14" bestFit="1" customWidth="1"/>
    <col min="1280" max="1280" width="10.7109375" style="14" bestFit="1" customWidth="1"/>
    <col min="1281" max="1281" width="20" style="14" bestFit="1" customWidth="1"/>
    <col min="1282" max="1282" width="11.85546875" style="14" bestFit="1" customWidth="1"/>
    <col min="1283" max="1283" width="10.42578125" style="14" bestFit="1" customWidth="1"/>
    <col min="1284" max="1284" width="42.28515625" style="14" bestFit="1" customWidth="1"/>
    <col min="1285" max="1285" width="13.5703125" style="14" bestFit="1" customWidth="1"/>
    <col min="1286" max="1286" width="7.7109375" style="14" bestFit="1" customWidth="1"/>
    <col min="1287" max="1287" width="10.7109375" style="14" bestFit="1" customWidth="1"/>
    <col min="1288" max="1288" width="9.28515625" style="14" bestFit="1" customWidth="1"/>
    <col min="1289" max="1289" width="8.7109375" style="14" bestFit="1" customWidth="1"/>
    <col min="1290" max="1528" width="9.140625" style="14"/>
    <col min="1529" max="1529" width="4.42578125" style="14" bestFit="1" customWidth="1"/>
    <col min="1530" max="1530" width="13.85546875" style="14" bestFit="1" customWidth="1"/>
    <col min="1531" max="1531" width="11.28515625" style="14" bestFit="1" customWidth="1"/>
    <col min="1532" max="1532" width="14.5703125" style="14" bestFit="1" customWidth="1"/>
    <col min="1533" max="1533" width="4.5703125" style="14" bestFit="1" customWidth="1"/>
    <col min="1534" max="1534" width="22.140625" style="14" bestFit="1" customWidth="1"/>
    <col min="1535" max="1535" width="24.140625" style="14" bestFit="1" customWidth="1"/>
    <col min="1536" max="1536" width="10.7109375" style="14" bestFit="1" customWidth="1"/>
    <col min="1537" max="1537" width="20" style="14" bestFit="1" customWidth="1"/>
    <col min="1538" max="1538" width="11.85546875" style="14" bestFit="1" customWidth="1"/>
    <col min="1539" max="1539" width="10.42578125" style="14" bestFit="1" customWidth="1"/>
    <col min="1540" max="1540" width="42.28515625" style="14" bestFit="1" customWidth="1"/>
    <col min="1541" max="1541" width="13.5703125" style="14" bestFit="1" customWidth="1"/>
    <col min="1542" max="1542" width="7.7109375" style="14" bestFit="1" customWidth="1"/>
    <col min="1543" max="1543" width="10.7109375" style="14" bestFit="1" customWidth="1"/>
    <col min="1544" max="1544" width="9.28515625" style="14" bestFit="1" customWidth="1"/>
    <col min="1545" max="1545" width="8.7109375" style="14" bestFit="1" customWidth="1"/>
    <col min="1546" max="1784" width="9.140625" style="14"/>
    <col min="1785" max="1785" width="4.42578125" style="14" bestFit="1" customWidth="1"/>
    <col min="1786" max="1786" width="13.85546875" style="14" bestFit="1" customWidth="1"/>
    <col min="1787" max="1787" width="11.28515625" style="14" bestFit="1" customWidth="1"/>
    <col min="1788" max="1788" width="14.5703125" style="14" bestFit="1" customWidth="1"/>
    <col min="1789" max="1789" width="4.5703125" style="14" bestFit="1" customWidth="1"/>
    <col min="1790" max="1790" width="22.140625" style="14" bestFit="1" customWidth="1"/>
    <col min="1791" max="1791" width="24.140625" style="14" bestFit="1" customWidth="1"/>
    <col min="1792" max="1792" width="10.7109375" style="14" bestFit="1" customWidth="1"/>
    <col min="1793" max="1793" width="20" style="14" bestFit="1" customWidth="1"/>
    <col min="1794" max="1794" width="11.85546875" style="14" bestFit="1" customWidth="1"/>
    <col min="1795" max="1795" width="10.42578125" style="14" bestFit="1" customWidth="1"/>
    <col min="1796" max="1796" width="42.28515625" style="14" bestFit="1" customWidth="1"/>
    <col min="1797" max="1797" width="13.5703125" style="14" bestFit="1" customWidth="1"/>
    <col min="1798" max="1798" width="7.7109375" style="14" bestFit="1" customWidth="1"/>
    <col min="1799" max="1799" width="10.7109375" style="14" bestFit="1" customWidth="1"/>
    <col min="1800" max="1800" width="9.28515625" style="14" bestFit="1" customWidth="1"/>
    <col min="1801" max="1801" width="8.7109375" style="14" bestFit="1" customWidth="1"/>
    <col min="1802" max="2040" width="9.140625" style="14"/>
    <col min="2041" max="2041" width="4.42578125" style="14" bestFit="1" customWidth="1"/>
    <col min="2042" max="2042" width="13.85546875" style="14" bestFit="1" customWidth="1"/>
    <col min="2043" max="2043" width="11.28515625" style="14" bestFit="1" customWidth="1"/>
    <col min="2044" max="2044" width="14.5703125" style="14" bestFit="1" customWidth="1"/>
    <col min="2045" max="2045" width="4.5703125" style="14" bestFit="1" customWidth="1"/>
    <col min="2046" max="2046" width="22.140625" style="14" bestFit="1" customWidth="1"/>
    <col min="2047" max="2047" width="24.140625" style="14" bestFit="1" customWidth="1"/>
    <col min="2048" max="2048" width="10.7109375" style="14" bestFit="1" customWidth="1"/>
    <col min="2049" max="2049" width="20" style="14" bestFit="1" customWidth="1"/>
    <col min="2050" max="2050" width="11.85546875" style="14" bestFit="1" customWidth="1"/>
    <col min="2051" max="2051" width="10.42578125" style="14" bestFit="1" customWidth="1"/>
    <col min="2052" max="2052" width="42.28515625" style="14" bestFit="1" customWidth="1"/>
    <col min="2053" max="2053" width="13.5703125" style="14" bestFit="1" customWidth="1"/>
    <col min="2054" max="2054" width="7.7109375" style="14" bestFit="1" customWidth="1"/>
    <col min="2055" max="2055" width="10.7109375" style="14" bestFit="1" customWidth="1"/>
    <col min="2056" max="2056" width="9.28515625" style="14" bestFit="1" customWidth="1"/>
    <col min="2057" max="2057" width="8.7109375" style="14" bestFit="1" customWidth="1"/>
    <col min="2058" max="2296" width="9.140625" style="14"/>
    <col min="2297" max="2297" width="4.42578125" style="14" bestFit="1" customWidth="1"/>
    <col min="2298" max="2298" width="13.85546875" style="14" bestFit="1" customWidth="1"/>
    <col min="2299" max="2299" width="11.28515625" style="14" bestFit="1" customWidth="1"/>
    <col min="2300" max="2300" width="14.5703125" style="14" bestFit="1" customWidth="1"/>
    <col min="2301" max="2301" width="4.5703125" style="14" bestFit="1" customWidth="1"/>
    <col min="2302" max="2302" width="22.140625" style="14" bestFit="1" customWidth="1"/>
    <col min="2303" max="2303" width="24.140625" style="14" bestFit="1" customWidth="1"/>
    <col min="2304" max="2304" width="10.7109375" style="14" bestFit="1" customWidth="1"/>
    <col min="2305" max="2305" width="20" style="14" bestFit="1" customWidth="1"/>
    <col min="2306" max="2306" width="11.85546875" style="14" bestFit="1" customWidth="1"/>
    <col min="2307" max="2307" width="10.42578125" style="14" bestFit="1" customWidth="1"/>
    <col min="2308" max="2308" width="42.28515625" style="14" bestFit="1" customWidth="1"/>
    <col min="2309" max="2309" width="13.5703125" style="14" bestFit="1" customWidth="1"/>
    <col min="2310" max="2310" width="7.7109375" style="14" bestFit="1" customWidth="1"/>
    <col min="2311" max="2311" width="10.7109375" style="14" bestFit="1" customWidth="1"/>
    <col min="2312" max="2312" width="9.28515625" style="14" bestFit="1" customWidth="1"/>
    <col min="2313" max="2313" width="8.7109375" style="14" bestFit="1" customWidth="1"/>
    <col min="2314" max="2552" width="9.140625" style="14"/>
    <col min="2553" max="2553" width="4.42578125" style="14" bestFit="1" customWidth="1"/>
    <col min="2554" max="2554" width="13.85546875" style="14" bestFit="1" customWidth="1"/>
    <col min="2555" max="2555" width="11.28515625" style="14" bestFit="1" customWidth="1"/>
    <col min="2556" max="2556" width="14.5703125" style="14" bestFit="1" customWidth="1"/>
    <col min="2557" max="2557" width="4.5703125" style="14" bestFit="1" customWidth="1"/>
    <col min="2558" max="2558" width="22.140625" style="14" bestFit="1" customWidth="1"/>
    <col min="2559" max="2559" width="24.140625" style="14" bestFit="1" customWidth="1"/>
    <col min="2560" max="2560" width="10.7109375" style="14" bestFit="1" customWidth="1"/>
    <col min="2561" max="2561" width="20" style="14" bestFit="1" customWidth="1"/>
    <col min="2562" max="2562" width="11.85546875" style="14" bestFit="1" customWidth="1"/>
    <col min="2563" max="2563" width="10.42578125" style="14" bestFit="1" customWidth="1"/>
    <col min="2564" max="2564" width="42.28515625" style="14" bestFit="1" customWidth="1"/>
    <col min="2565" max="2565" width="13.5703125" style="14" bestFit="1" customWidth="1"/>
    <col min="2566" max="2566" width="7.7109375" style="14" bestFit="1" customWidth="1"/>
    <col min="2567" max="2567" width="10.7109375" style="14" bestFit="1" customWidth="1"/>
    <col min="2568" max="2568" width="9.28515625" style="14" bestFit="1" customWidth="1"/>
    <col min="2569" max="2569" width="8.7109375" style="14" bestFit="1" customWidth="1"/>
    <col min="2570" max="2808" width="9.140625" style="14"/>
    <col min="2809" max="2809" width="4.42578125" style="14" bestFit="1" customWidth="1"/>
    <col min="2810" max="2810" width="13.85546875" style="14" bestFit="1" customWidth="1"/>
    <col min="2811" max="2811" width="11.28515625" style="14" bestFit="1" customWidth="1"/>
    <col min="2812" max="2812" width="14.5703125" style="14" bestFit="1" customWidth="1"/>
    <col min="2813" max="2813" width="4.5703125" style="14" bestFit="1" customWidth="1"/>
    <col min="2814" max="2814" width="22.140625" style="14" bestFit="1" customWidth="1"/>
    <col min="2815" max="2815" width="24.140625" style="14" bestFit="1" customWidth="1"/>
    <col min="2816" max="2816" width="10.7109375" style="14" bestFit="1" customWidth="1"/>
    <col min="2817" max="2817" width="20" style="14" bestFit="1" customWidth="1"/>
    <col min="2818" max="2818" width="11.85546875" style="14" bestFit="1" customWidth="1"/>
    <col min="2819" max="2819" width="10.42578125" style="14" bestFit="1" customWidth="1"/>
    <col min="2820" max="2820" width="42.28515625" style="14" bestFit="1" customWidth="1"/>
    <col min="2821" max="2821" width="13.5703125" style="14" bestFit="1" customWidth="1"/>
    <col min="2822" max="2822" width="7.7109375" style="14" bestFit="1" customWidth="1"/>
    <col min="2823" max="2823" width="10.7109375" style="14" bestFit="1" customWidth="1"/>
    <col min="2824" max="2824" width="9.28515625" style="14" bestFit="1" customWidth="1"/>
    <col min="2825" max="2825" width="8.7109375" style="14" bestFit="1" customWidth="1"/>
    <col min="2826" max="3064" width="9.140625" style="14"/>
    <col min="3065" max="3065" width="4.42578125" style="14" bestFit="1" customWidth="1"/>
    <col min="3066" max="3066" width="13.85546875" style="14" bestFit="1" customWidth="1"/>
    <col min="3067" max="3067" width="11.28515625" style="14" bestFit="1" customWidth="1"/>
    <col min="3068" max="3068" width="14.5703125" style="14" bestFit="1" customWidth="1"/>
    <col min="3069" max="3069" width="4.5703125" style="14" bestFit="1" customWidth="1"/>
    <col min="3070" max="3070" width="22.140625" style="14" bestFit="1" customWidth="1"/>
    <col min="3071" max="3071" width="24.140625" style="14" bestFit="1" customWidth="1"/>
    <col min="3072" max="3072" width="10.7109375" style="14" bestFit="1" customWidth="1"/>
    <col min="3073" max="3073" width="20" style="14" bestFit="1" customWidth="1"/>
    <col min="3074" max="3074" width="11.85546875" style="14" bestFit="1" customWidth="1"/>
    <col min="3075" max="3075" width="10.42578125" style="14" bestFit="1" customWidth="1"/>
    <col min="3076" max="3076" width="42.28515625" style="14" bestFit="1" customWidth="1"/>
    <col min="3077" max="3077" width="13.5703125" style="14" bestFit="1" customWidth="1"/>
    <col min="3078" max="3078" width="7.7109375" style="14" bestFit="1" customWidth="1"/>
    <col min="3079" max="3079" width="10.7109375" style="14" bestFit="1" customWidth="1"/>
    <col min="3080" max="3080" width="9.28515625" style="14" bestFit="1" customWidth="1"/>
    <col min="3081" max="3081" width="8.7109375" style="14" bestFit="1" customWidth="1"/>
    <col min="3082" max="3320" width="9.140625" style="14"/>
    <col min="3321" max="3321" width="4.42578125" style="14" bestFit="1" customWidth="1"/>
    <col min="3322" max="3322" width="13.85546875" style="14" bestFit="1" customWidth="1"/>
    <col min="3323" max="3323" width="11.28515625" style="14" bestFit="1" customWidth="1"/>
    <col min="3324" max="3324" width="14.5703125" style="14" bestFit="1" customWidth="1"/>
    <col min="3325" max="3325" width="4.5703125" style="14" bestFit="1" customWidth="1"/>
    <col min="3326" max="3326" width="22.140625" style="14" bestFit="1" customWidth="1"/>
    <col min="3327" max="3327" width="24.140625" style="14" bestFit="1" customWidth="1"/>
    <col min="3328" max="3328" width="10.7109375" style="14" bestFit="1" customWidth="1"/>
    <col min="3329" max="3329" width="20" style="14" bestFit="1" customWidth="1"/>
    <col min="3330" max="3330" width="11.85546875" style="14" bestFit="1" customWidth="1"/>
    <col min="3331" max="3331" width="10.42578125" style="14" bestFit="1" customWidth="1"/>
    <col min="3332" max="3332" width="42.28515625" style="14" bestFit="1" customWidth="1"/>
    <col min="3333" max="3333" width="13.5703125" style="14" bestFit="1" customWidth="1"/>
    <col min="3334" max="3334" width="7.7109375" style="14" bestFit="1" customWidth="1"/>
    <col min="3335" max="3335" width="10.7109375" style="14" bestFit="1" customWidth="1"/>
    <col min="3336" max="3336" width="9.28515625" style="14" bestFit="1" customWidth="1"/>
    <col min="3337" max="3337" width="8.7109375" style="14" bestFit="1" customWidth="1"/>
    <col min="3338" max="3576" width="9.140625" style="14"/>
    <col min="3577" max="3577" width="4.42578125" style="14" bestFit="1" customWidth="1"/>
    <col min="3578" max="3578" width="13.85546875" style="14" bestFit="1" customWidth="1"/>
    <col min="3579" max="3579" width="11.28515625" style="14" bestFit="1" customWidth="1"/>
    <col min="3580" max="3580" width="14.5703125" style="14" bestFit="1" customWidth="1"/>
    <col min="3581" max="3581" width="4.5703125" style="14" bestFit="1" customWidth="1"/>
    <col min="3582" max="3582" width="22.140625" style="14" bestFit="1" customWidth="1"/>
    <col min="3583" max="3583" width="24.140625" style="14" bestFit="1" customWidth="1"/>
    <col min="3584" max="3584" width="10.7109375" style="14" bestFit="1" customWidth="1"/>
    <col min="3585" max="3585" width="20" style="14" bestFit="1" customWidth="1"/>
    <col min="3586" max="3586" width="11.85546875" style="14" bestFit="1" customWidth="1"/>
    <col min="3587" max="3587" width="10.42578125" style="14" bestFit="1" customWidth="1"/>
    <col min="3588" max="3588" width="42.28515625" style="14" bestFit="1" customWidth="1"/>
    <col min="3589" max="3589" width="13.5703125" style="14" bestFit="1" customWidth="1"/>
    <col min="3590" max="3590" width="7.7109375" style="14" bestFit="1" customWidth="1"/>
    <col min="3591" max="3591" width="10.7109375" style="14" bestFit="1" customWidth="1"/>
    <col min="3592" max="3592" width="9.28515625" style="14" bestFit="1" customWidth="1"/>
    <col min="3593" max="3593" width="8.7109375" style="14" bestFit="1" customWidth="1"/>
    <col min="3594" max="3832" width="9.140625" style="14"/>
    <col min="3833" max="3833" width="4.42578125" style="14" bestFit="1" customWidth="1"/>
    <col min="3834" max="3834" width="13.85546875" style="14" bestFit="1" customWidth="1"/>
    <col min="3835" max="3835" width="11.28515625" style="14" bestFit="1" customWidth="1"/>
    <col min="3836" max="3836" width="14.5703125" style="14" bestFit="1" customWidth="1"/>
    <col min="3837" max="3837" width="4.5703125" style="14" bestFit="1" customWidth="1"/>
    <col min="3838" max="3838" width="22.140625" style="14" bestFit="1" customWidth="1"/>
    <col min="3839" max="3839" width="24.140625" style="14" bestFit="1" customWidth="1"/>
    <col min="3840" max="3840" width="10.7109375" style="14" bestFit="1" customWidth="1"/>
    <col min="3841" max="3841" width="20" style="14" bestFit="1" customWidth="1"/>
    <col min="3842" max="3842" width="11.85546875" style="14" bestFit="1" customWidth="1"/>
    <col min="3843" max="3843" width="10.42578125" style="14" bestFit="1" customWidth="1"/>
    <col min="3844" max="3844" width="42.28515625" style="14" bestFit="1" customWidth="1"/>
    <col min="3845" max="3845" width="13.5703125" style="14" bestFit="1" customWidth="1"/>
    <col min="3846" max="3846" width="7.7109375" style="14" bestFit="1" customWidth="1"/>
    <col min="3847" max="3847" width="10.7109375" style="14" bestFit="1" customWidth="1"/>
    <col min="3848" max="3848" width="9.28515625" style="14" bestFit="1" customWidth="1"/>
    <col min="3849" max="3849" width="8.7109375" style="14" bestFit="1" customWidth="1"/>
    <col min="3850" max="4088" width="9.140625" style="14"/>
    <col min="4089" max="4089" width="4.42578125" style="14" bestFit="1" customWidth="1"/>
    <col min="4090" max="4090" width="13.85546875" style="14" bestFit="1" customWidth="1"/>
    <col min="4091" max="4091" width="11.28515625" style="14" bestFit="1" customWidth="1"/>
    <col min="4092" max="4092" width="14.5703125" style="14" bestFit="1" customWidth="1"/>
    <col min="4093" max="4093" width="4.5703125" style="14" bestFit="1" customWidth="1"/>
    <col min="4094" max="4094" width="22.140625" style="14" bestFit="1" customWidth="1"/>
    <col min="4095" max="4095" width="24.140625" style="14" bestFit="1" customWidth="1"/>
    <col min="4096" max="4096" width="10.7109375" style="14" bestFit="1" customWidth="1"/>
    <col min="4097" max="4097" width="20" style="14" bestFit="1" customWidth="1"/>
    <col min="4098" max="4098" width="11.85546875" style="14" bestFit="1" customWidth="1"/>
    <col min="4099" max="4099" width="10.42578125" style="14" bestFit="1" customWidth="1"/>
    <col min="4100" max="4100" width="42.28515625" style="14" bestFit="1" customWidth="1"/>
    <col min="4101" max="4101" width="13.5703125" style="14" bestFit="1" customWidth="1"/>
    <col min="4102" max="4102" width="7.7109375" style="14" bestFit="1" customWidth="1"/>
    <col min="4103" max="4103" width="10.7109375" style="14" bestFit="1" customWidth="1"/>
    <col min="4104" max="4104" width="9.28515625" style="14" bestFit="1" customWidth="1"/>
    <col min="4105" max="4105" width="8.7109375" style="14" bestFit="1" customWidth="1"/>
    <col min="4106" max="4344" width="9.140625" style="14"/>
    <col min="4345" max="4345" width="4.42578125" style="14" bestFit="1" customWidth="1"/>
    <col min="4346" max="4346" width="13.85546875" style="14" bestFit="1" customWidth="1"/>
    <col min="4347" max="4347" width="11.28515625" style="14" bestFit="1" customWidth="1"/>
    <col min="4348" max="4348" width="14.5703125" style="14" bestFit="1" customWidth="1"/>
    <col min="4349" max="4349" width="4.5703125" style="14" bestFit="1" customWidth="1"/>
    <col min="4350" max="4350" width="22.140625" style="14" bestFit="1" customWidth="1"/>
    <col min="4351" max="4351" width="24.140625" style="14" bestFit="1" customWidth="1"/>
    <col min="4352" max="4352" width="10.7109375" style="14" bestFit="1" customWidth="1"/>
    <col min="4353" max="4353" width="20" style="14" bestFit="1" customWidth="1"/>
    <col min="4354" max="4354" width="11.85546875" style="14" bestFit="1" customWidth="1"/>
    <col min="4355" max="4355" width="10.42578125" style="14" bestFit="1" customWidth="1"/>
    <col min="4356" max="4356" width="42.28515625" style="14" bestFit="1" customWidth="1"/>
    <col min="4357" max="4357" width="13.5703125" style="14" bestFit="1" customWidth="1"/>
    <col min="4358" max="4358" width="7.7109375" style="14" bestFit="1" customWidth="1"/>
    <col min="4359" max="4359" width="10.7109375" style="14" bestFit="1" customWidth="1"/>
    <col min="4360" max="4360" width="9.28515625" style="14" bestFit="1" customWidth="1"/>
    <col min="4361" max="4361" width="8.7109375" style="14" bestFit="1" customWidth="1"/>
    <col min="4362" max="4600" width="9.140625" style="14"/>
    <col min="4601" max="4601" width="4.42578125" style="14" bestFit="1" customWidth="1"/>
    <col min="4602" max="4602" width="13.85546875" style="14" bestFit="1" customWidth="1"/>
    <col min="4603" max="4603" width="11.28515625" style="14" bestFit="1" customWidth="1"/>
    <col min="4604" max="4604" width="14.5703125" style="14" bestFit="1" customWidth="1"/>
    <col min="4605" max="4605" width="4.5703125" style="14" bestFit="1" customWidth="1"/>
    <col min="4606" max="4606" width="22.140625" style="14" bestFit="1" customWidth="1"/>
    <col min="4607" max="4607" width="24.140625" style="14" bestFit="1" customWidth="1"/>
    <col min="4608" max="4608" width="10.7109375" style="14" bestFit="1" customWidth="1"/>
    <col min="4609" max="4609" width="20" style="14" bestFit="1" customWidth="1"/>
    <col min="4610" max="4610" width="11.85546875" style="14" bestFit="1" customWidth="1"/>
    <col min="4611" max="4611" width="10.42578125" style="14" bestFit="1" customWidth="1"/>
    <col min="4612" max="4612" width="42.28515625" style="14" bestFit="1" customWidth="1"/>
    <col min="4613" max="4613" width="13.5703125" style="14" bestFit="1" customWidth="1"/>
    <col min="4614" max="4614" width="7.7109375" style="14" bestFit="1" customWidth="1"/>
    <col min="4615" max="4615" width="10.7109375" style="14" bestFit="1" customWidth="1"/>
    <col min="4616" max="4616" width="9.28515625" style="14" bestFit="1" customWidth="1"/>
    <col min="4617" max="4617" width="8.7109375" style="14" bestFit="1" customWidth="1"/>
    <col min="4618" max="4856" width="9.140625" style="14"/>
    <col min="4857" max="4857" width="4.42578125" style="14" bestFit="1" customWidth="1"/>
    <col min="4858" max="4858" width="13.85546875" style="14" bestFit="1" customWidth="1"/>
    <col min="4859" max="4859" width="11.28515625" style="14" bestFit="1" customWidth="1"/>
    <col min="4860" max="4860" width="14.5703125" style="14" bestFit="1" customWidth="1"/>
    <col min="4861" max="4861" width="4.5703125" style="14" bestFit="1" customWidth="1"/>
    <col min="4862" max="4862" width="22.140625" style="14" bestFit="1" customWidth="1"/>
    <col min="4863" max="4863" width="24.140625" style="14" bestFit="1" customWidth="1"/>
    <col min="4864" max="4864" width="10.7109375" style="14" bestFit="1" customWidth="1"/>
    <col min="4865" max="4865" width="20" style="14" bestFit="1" customWidth="1"/>
    <col min="4866" max="4866" width="11.85546875" style="14" bestFit="1" customWidth="1"/>
    <col min="4867" max="4867" width="10.42578125" style="14" bestFit="1" customWidth="1"/>
    <col min="4868" max="4868" width="42.28515625" style="14" bestFit="1" customWidth="1"/>
    <col min="4869" max="4869" width="13.5703125" style="14" bestFit="1" customWidth="1"/>
    <col min="4870" max="4870" width="7.7109375" style="14" bestFit="1" customWidth="1"/>
    <col min="4871" max="4871" width="10.7109375" style="14" bestFit="1" customWidth="1"/>
    <col min="4872" max="4872" width="9.28515625" style="14" bestFit="1" customWidth="1"/>
    <col min="4873" max="4873" width="8.7109375" style="14" bestFit="1" customWidth="1"/>
    <col min="4874" max="5112" width="9.140625" style="14"/>
    <col min="5113" max="5113" width="4.42578125" style="14" bestFit="1" customWidth="1"/>
    <col min="5114" max="5114" width="13.85546875" style="14" bestFit="1" customWidth="1"/>
    <col min="5115" max="5115" width="11.28515625" style="14" bestFit="1" customWidth="1"/>
    <col min="5116" max="5116" width="14.5703125" style="14" bestFit="1" customWidth="1"/>
    <col min="5117" max="5117" width="4.5703125" style="14" bestFit="1" customWidth="1"/>
    <col min="5118" max="5118" width="22.140625" style="14" bestFit="1" customWidth="1"/>
    <col min="5119" max="5119" width="24.140625" style="14" bestFit="1" customWidth="1"/>
    <col min="5120" max="5120" width="10.7109375" style="14" bestFit="1" customWidth="1"/>
    <col min="5121" max="5121" width="20" style="14" bestFit="1" customWidth="1"/>
    <col min="5122" max="5122" width="11.85546875" style="14" bestFit="1" customWidth="1"/>
    <col min="5123" max="5123" width="10.42578125" style="14" bestFit="1" customWidth="1"/>
    <col min="5124" max="5124" width="42.28515625" style="14" bestFit="1" customWidth="1"/>
    <col min="5125" max="5125" width="13.5703125" style="14" bestFit="1" customWidth="1"/>
    <col min="5126" max="5126" width="7.7109375" style="14" bestFit="1" customWidth="1"/>
    <col min="5127" max="5127" width="10.7109375" style="14" bestFit="1" customWidth="1"/>
    <col min="5128" max="5128" width="9.28515625" style="14" bestFit="1" customWidth="1"/>
    <col min="5129" max="5129" width="8.7109375" style="14" bestFit="1" customWidth="1"/>
    <col min="5130" max="5368" width="9.140625" style="14"/>
    <col min="5369" max="5369" width="4.42578125" style="14" bestFit="1" customWidth="1"/>
    <col min="5370" max="5370" width="13.85546875" style="14" bestFit="1" customWidth="1"/>
    <col min="5371" max="5371" width="11.28515625" style="14" bestFit="1" customWidth="1"/>
    <col min="5372" max="5372" width="14.5703125" style="14" bestFit="1" customWidth="1"/>
    <col min="5373" max="5373" width="4.5703125" style="14" bestFit="1" customWidth="1"/>
    <col min="5374" max="5374" width="22.140625" style="14" bestFit="1" customWidth="1"/>
    <col min="5375" max="5375" width="24.140625" style="14" bestFit="1" customWidth="1"/>
    <col min="5376" max="5376" width="10.7109375" style="14" bestFit="1" customWidth="1"/>
    <col min="5377" max="5377" width="20" style="14" bestFit="1" customWidth="1"/>
    <col min="5378" max="5378" width="11.85546875" style="14" bestFit="1" customWidth="1"/>
    <col min="5379" max="5379" width="10.42578125" style="14" bestFit="1" customWidth="1"/>
    <col min="5380" max="5380" width="42.28515625" style="14" bestFit="1" customWidth="1"/>
    <col min="5381" max="5381" width="13.5703125" style="14" bestFit="1" customWidth="1"/>
    <col min="5382" max="5382" width="7.7109375" style="14" bestFit="1" customWidth="1"/>
    <col min="5383" max="5383" width="10.7109375" style="14" bestFit="1" customWidth="1"/>
    <col min="5384" max="5384" width="9.28515625" style="14" bestFit="1" customWidth="1"/>
    <col min="5385" max="5385" width="8.7109375" style="14" bestFit="1" customWidth="1"/>
    <col min="5386" max="5624" width="9.140625" style="14"/>
    <col min="5625" max="5625" width="4.42578125" style="14" bestFit="1" customWidth="1"/>
    <col min="5626" max="5626" width="13.85546875" style="14" bestFit="1" customWidth="1"/>
    <col min="5627" max="5627" width="11.28515625" style="14" bestFit="1" customWidth="1"/>
    <col min="5628" max="5628" width="14.5703125" style="14" bestFit="1" customWidth="1"/>
    <col min="5629" max="5629" width="4.5703125" style="14" bestFit="1" customWidth="1"/>
    <col min="5630" max="5630" width="22.140625" style="14" bestFit="1" customWidth="1"/>
    <col min="5631" max="5631" width="24.140625" style="14" bestFit="1" customWidth="1"/>
    <col min="5632" max="5632" width="10.7109375" style="14" bestFit="1" customWidth="1"/>
    <col min="5633" max="5633" width="20" style="14" bestFit="1" customWidth="1"/>
    <col min="5634" max="5634" width="11.85546875" style="14" bestFit="1" customWidth="1"/>
    <col min="5635" max="5635" width="10.42578125" style="14" bestFit="1" customWidth="1"/>
    <col min="5636" max="5636" width="42.28515625" style="14" bestFit="1" customWidth="1"/>
    <col min="5637" max="5637" width="13.5703125" style="14" bestFit="1" customWidth="1"/>
    <col min="5638" max="5638" width="7.7109375" style="14" bestFit="1" customWidth="1"/>
    <col min="5639" max="5639" width="10.7109375" style="14" bestFit="1" customWidth="1"/>
    <col min="5640" max="5640" width="9.28515625" style="14" bestFit="1" customWidth="1"/>
    <col min="5641" max="5641" width="8.7109375" style="14" bestFit="1" customWidth="1"/>
    <col min="5642" max="5880" width="9.140625" style="14"/>
    <col min="5881" max="5881" width="4.42578125" style="14" bestFit="1" customWidth="1"/>
    <col min="5882" max="5882" width="13.85546875" style="14" bestFit="1" customWidth="1"/>
    <col min="5883" max="5883" width="11.28515625" style="14" bestFit="1" customWidth="1"/>
    <col min="5884" max="5884" width="14.5703125" style="14" bestFit="1" customWidth="1"/>
    <col min="5885" max="5885" width="4.5703125" style="14" bestFit="1" customWidth="1"/>
    <col min="5886" max="5886" width="22.140625" style="14" bestFit="1" customWidth="1"/>
    <col min="5887" max="5887" width="24.140625" style="14" bestFit="1" customWidth="1"/>
    <col min="5888" max="5888" width="10.7109375" style="14" bestFit="1" customWidth="1"/>
    <col min="5889" max="5889" width="20" style="14" bestFit="1" customWidth="1"/>
    <col min="5890" max="5890" width="11.85546875" style="14" bestFit="1" customWidth="1"/>
    <col min="5891" max="5891" width="10.42578125" style="14" bestFit="1" customWidth="1"/>
    <col min="5892" max="5892" width="42.28515625" style="14" bestFit="1" customWidth="1"/>
    <col min="5893" max="5893" width="13.5703125" style="14" bestFit="1" customWidth="1"/>
    <col min="5894" max="5894" width="7.7109375" style="14" bestFit="1" customWidth="1"/>
    <col min="5895" max="5895" width="10.7109375" style="14" bestFit="1" customWidth="1"/>
    <col min="5896" max="5896" width="9.28515625" style="14" bestFit="1" customWidth="1"/>
    <col min="5897" max="5897" width="8.7109375" style="14" bestFit="1" customWidth="1"/>
    <col min="5898" max="6136" width="9.140625" style="14"/>
    <col min="6137" max="6137" width="4.42578125" style="14" bestFit="1" customWidth="1"/>
    <col min="6138" max="6138" width="13.85546875" style="14" bestFit="1" customWidth="1"/>
    <col min="6139" max="6139" width="11.28515625" style="14" bestFit="1" customWidth="1"/>
    <col min="6140" max="6140" width="14.5703125" style="14" bestFit="1" customWidth="1"/>
    <col min="6141" max="6141" width="4.5703125" style="14" bestFit="1" customWidth="1"/>
    <col min="6142" max="6142" width="22.140625" style="14" bestFit="1" customWidth="1"/>
    <col min="6143" max="6143" width="24.140625" style="14" bestFit="1" customWidth="1"/>
    <col min="6144" max="6144" width="10.7109375" style="14" bestFit="1" customWidth="1"/>
    <col min="6145" max="6145" width="20" style="14" bestFit="1" customWidth="1"/>
    <col min="6146" max="6146" width="11.85546875" style="14" bestFit="1" customWidth="1"/>
    <col min="6147" max="6147" width="10.42578125" style="14" bestFit="1" customWidth="1"/>
    <col min="6148" max="6148" width="42.28515625" style="14" bestFit="1" customWidth="1"/>
    <col min="6149" max="6149" width="13.5703125" style="14" bestFit="1" customWidth="1"/>
    <col min="6150" max="6150" width="7.7109375" style="14" bestFit="1" customWidth="1"/>
    <col min="6151" max="6151" width="10.7109375" style="14" bestFit="1" customWidth="1"/>
    <col min="6152" max="6152" width="9.28515625" style="14" bestFit="1" customWidth="1"/>
    <col min="6153" max="6153" width="8.7109375" style="14" bestFit="1" customWidth="1"/>
    <col min="6154" max="6392" width="9.140625" style="14"/>
    <col min="6393" max="6393" width="4.42578125" style="14" bestFit="1" customWidth="1"/>
    <col min="6394" max="6394" width="13.85546875" style="14" bestFit="1" customWidth="1"/>
    <col min="6395" max="6395" width="11.28515625" style="14" bestFit="1" customWidth="1"/>
    <col min="6396" max="6396" width="14.5703125" style="14" bestFit="1" customWidth="1"/>
    <col min="6397" max="6397" width="4.5703125" style="14" bestFit="1" customWidth="1"/>
    <col min="6398" max="6398" width="22.140625" style="14" bestFit="1" customWidth="1"/>
    <col min="6399" max="6399" width="24.140625" style="14" bestFit="1" customWidth="1"/>
    <col min="6400" max="6400" width="10.7109375" style="14" bestFit="1" customWidth="1"/>
    <col min="6401" max="6401" width="20" style="14" bestFit="1" customWidth="1"/>
    <col min="6402" max="6402" width="11.85546875" style="14" bestFit="1" customWidth="1"/>
    <col min="6403" max="6403" width="10.42578125" style="14" bestFit="1" customWidth="1"/>
    <col min="6404" max="6404" width="42.28515625" style="14" bestFit="1" customWidth="1"/>
    <col min="6405" max="6405" width="13.5703125" style="14" bestFit="1" customWidth="1"/>
    <col min="6406" max="6406" width="7.7109375" style="14" bestFit="1" customWidth="1"/>
    <col min="6407" max="6407" width="10.7109375" style="14" bestFit="1" customWidth="1"/>
    <col min="6408" max="6408" width="9.28515625" style="14" bestFit="1" customWidth="1"/>
    <col min="6409" max="6409" width="8.7109375" style="14" bestFit="1" customWidth="1"/>
    <col min="6410" max="6648" width="9.140625" style="14"/>
    <col min="6649" max="6649" width="4.42578125" style="14" bestFit="1" customWidth="1"/>
    <col min="6650" max="6650" width="13.85546875" style="14" bestFit="1" customWidth="1"/>
    <col min="6651" max="6651" width="11.28515625" style="14" bestFit="1" customWidth="1"/>
    <col min="6652" max="6652" width="14.5703125" style="14" bestFit="1" customWidth="1"/>
    <col min="6653" max="6653" width="4.5703125" style="14" bestFit="1" customWidth="1"/>
    <col min="6654" max="6654" width="22.140625" style="14" bestFit="1" customWidth="1"/>
    <col min="6655" max="6655" width="24.140625" style="14" bestFit="1" customWidth="1"/>
    <col min="6656" max="6656" width="10.7109375" style="14" bestFit="1" customWidth="1"/>
    <col min="6657" max="6657" width="20" style="14" bestFit="1" customWidth="1"/>
    <col min="6658" max="6658" width="11.85546875" style="14" bestFit="1" customWidth="1"/>
    <col min="6659" max="6659" width="10.42578125" style="14" bestFit="1" customWidth="1"/>
    <col min="6660" max="6660" width="42.28515625" style="14" bestFit="1" customWidth="1"/>
    <col min="6661" max="6661" width="13.5703125" style="14" bestFit="1" customWidth="1"/>
    <col min="6662" max="6662" width="7.7109375" style="14" bestFit="1" customWidth="1"/>
    <col min="6663" max="6663" width="10.7109375" style="14" bestFit="1" customWidth="1"/>
    <col min="6664" max="6664" width="9.28515625" style="14" bestFit="1" customWidth="1"/>
    <col min="6665" max="6665" width="8.7109375" style="14" bestFit="1" customWidth="1"/>
    <col min="6666" max="6904" width="9.140625" style="14"/>
    <col min="6905" max="6905" width="4.42578125" style="14" bestFit="1" customWidth="1"/>
    <col min="6906" max="6906" width="13.85546875" style="14" bestFit="1" customWidth="1"/>
    <col min="6907" max="6907" width="11.28515625" style="14" bestFit="1" customWidth="1"/>
    <col min="6908" max="6908" width="14.5703125" style="14" bestFit="1" customWidth="1"/>
    <col min="6909" max="6909" width="4.5703125" style="14" bestFit="1" customWidth="1"/>
    <col min="6910" max="6910" width="22.140625" style="14" bestFit="1" customWidth="1"/>
    <col min="6911" max="6911" width="24.140625" style="14" bestFit="1" customWidth="1"/>
    <col min="6912" max="6912" width="10.7109375" style="14" bestFit="1" customWidth="1"/>
    <col min="6913" max="6913" width="20" style="14" bestFit="1" customWidth="1"/>
    <col min="6914" max="6914" width="11.85546875" style="14" bestFit="1" customWidth="1"/>
    <col min="6915" max="6915" width="10.42578125" style="14" bestFit="1" customWidth="1"/>
    <col min="6916" max="6916" width="42.28515625" style="14" bestFit="1" customWidth="1"/>
    <col min="6917" max="6917" width="13.5703125" style="14" bestFit="1" customWidth="1"/>
    <col min="6918" max="6918" width="7.7109375" style="14" bestFit="1" customWidth="1"/>
    <col min="6919" max="6919" width="10.7109375" style="14" bestFit="1" customWidth="1"/>
    <col min="6920" max="6920" width="9.28515625" style="14" bestFit="1" customWidth="1"/>
    <col min="6921" max="6921" width="8.7109375" style="14" bestFit="1" customWidth="1"/>
    <col min="6922" max="7160" width="9.140625" style="14"/>
    <col min="7161" max="7161" width="4.42578125" style="14" bestFit="1" customWidth="1"/>
    <col min="7162" max="7162" width="13.85546875" style="14" bestFit="1" customWidth="1"/>
    <col min="7163" max="7163" width="11.28515625" style="14" bestFit="1" customWidth="1"/>
    <col min="7164" max="7164" width="14.5703125" style="14" bestFit="1" customWidth="1"/>
    <col min="7165" max="7165" width="4.5703125" style="14" bestFit="1" customWidth="1"/>
    <col min="7166" max="7166" width="22.140625" style="14" bestFit="1" customWidth="1"/>
    <col min="7167" max="7167" width="24.140625" style="14" bestFit="1" customWidth="1"/>
    <col min="7168" max="7168" width="10.7109375" style="14" bestFit="1" customWidth="1"/>
    <col min="7169" max="7169" width="20" style="14" bestFit="1" customWidth="1"/>
    <col min="7170" max="7170" width="11.85546875" style="14" bestFit="1" customWidth="1"/>
    <col min="7171" max="7171" width="10.42578125" style="14" bestFit="1" customWidth="1"/>
    <col min="7172" max="7172" width="42.28515625" style="14" bestFit="1" customWidth="1"/>
    <col min="7173" max="7173" width="13.5703125" style="14" bestFit="1" customWidth="1"/>
    <col min="7174" max="7174" width="7.7109375" style="14" bestFit="1" customWidth="1"/>
    <col min="7175" max="7175" width="10.7109375" style="14" bestFit="1" customWidth="1"/>
    <col min="7176" max="7176" width="9.28515625" style="14" bestFit="1" customWidth="1"/>
    <col min="7177" max="7177" width="8.7109375" style="14" bestFit="1" customWidth="1"/>
    <col min="7178" max="7416" width="9.140625" style="14"/>
    <col min="7417" max="7417" width="4.42578125" style="14" bestFit="1" customWidth="1"/>
    <col min="7418" max="7418" width="13.85546875" style="14" bestFit="1" customWidth="1"/>
    <col min="7419" max="7419" width="11.28515625" style="14" bestFit="1" customWidth="1"/>
    <col min="7420" max="7420" width="14.5703125" style="14" bestFit="1" customWidth="1"/>
    <col min="7421" max="7421" width="4.5703125" style="14" bestFit="1" customWidth="1"/>
    <col min="7422" max="7422" width="22.140625" style="14" bestFit="1" customWidth="1"/>
    <col min="7423" max="7423" width="24.140625" style="14" bestFit="1" customWidth="1"/>
    <col min="7424" max="7424" width="10.7109375" style="14" bestFit="1" customWidth="1"/>
    <col min="7425" max="7425" width="20" style="14" bestFit="1" customWidth="1"/>
    <col min="7426" max="7426" width="11.85546875" style="14" bestFit="1" customWidth="1"/>
    <col min="7427" max="7427" width="10.42578125" style="14" bestFit="1" customWidth="1"/>
    <col min="7428" max="7428" width="42.28515625" style="14" bestFit="1" customWidth="1"/>
    <col min="7429" max="7429" width="13.5703125" style="14" bestFit="1" customWidth="1"/>
    <col min="7430" max="7430" width="7.7109375" style="14" bestFit="1" customWidth="1"/>
    <col min="7431" max="7431" width="10.7109375" style="14" bestFit="1" customWidth="1"/>
    <col min="7432" max="7432" width="9.28515625" style="14" bestFit="1" customWidth="1"/>
    <col min="7433" max="7433" width="8.7109375" style="14" bestFit="1" customWidth="1"/>
    <col min="7434" max="7672" width="9.140625" style="14"/>
    <col min="7673" max="7673" width="4.42578125" style="14" bestFit="1" customWidth="1"/>
    <col min="7674" max="7674" width="13.85546875" style="14" bestFit="1" customWidth="1"/>
    <col min="7675" max="7675" width="11.28515625" style="14" bestFit="1" customWidth="1"/>
    <col min="7676" max="7676" width="14.5703125" style="14" bestFit="1" customWidth="1"/>
    <col min="7677" max="7677" width="4.5703125" style="14" bestFit="1" customWidth="1"/>
    <col min="7678" max="7678" width="22.140625" style="14" bestFit="1" customWidth="1"/>
    <col min="7679" max="7679" width="24.140625" style="14" bestFit="1" customWidth="1"/>
    <col min="7680" max="7680" width="10.7109375" style="14" bestFit="1" customWidth="1"/>
    <col min="7681" max="7681" width="20" style="14" bestFit="1" customWidth="1"/>
    <col min="7682" max="7682" width="11.85546875" style="14" bestFit="1" customWidth="1"/>
    <col min="7683" max="7683" width="10.42578125" style="14" bestFit="1" customWidth="1"/>
    <col min="7684" max="7684" width="42.28515625" style="14" bestFit="1" customWidth="1"/>
    <col min="7685" max="7685" width="13.5703125" style="14" bestFit="1" customWidth="1"/>
    <col min="7686" max="7686" width="7.7109375" style="14" bestFit="1" customWidth="1"/>
    <col min="7687" max="7687" width="10.7109375" style="14" bestFit="1" customWidth="1"/>
    <col min="7688" max="7688" width="9.28515625" style="14" bestFit="1" customWidth="1"/>
    <col min="7689" max="7689" width="8.7109375" style="14" bestFit="1" customWidth="1"/>
    <col min="7690" max="7928" width="9.140625" style="14"/>
    <col min="7929" max="7929" width="4.42578125" style="14" bestFit="1" customWidth="1"/>
    <col min="7930" max="7930" width="13.85546875" style="14" bestFit="1" customWidth="1"/>
    <col min="7931" max="7931" width="11.28515625" style="14" bestFit="1" customWidth="1"/>
    <col min="7932" max="7932" width="14.5703125" style="14" bestFit="1" customWidth="1"/>
    <col min="7933" max="7933" width="4.5703125" style="14" bestFit="1" customWidth="1"/>
    <col min="7934" max="7934" width="22.140625" style="14" bestFit="1" customWidth="1"/>
    <col min="7935" max="7935" width="24.140625" style="14" bestFit="1" customWidth="1"/>
    <col min="7936" max="7936" width="10.7109375" style="14" bestFit="1" customWidth="1"/>
    <col min="7937" max="7937" width="20" style="14" bestFit="1" customWidth="1"/>
    <col min="7938" max="7938" width="11.85546875" style="14" bestFit="1" customWidth="1"/>
    <col min="7939" max="7939" width="10.42578125" style="14" bestFit="1" customWidth="1"/>
    <col min="7940" max="7940" width="42.28515625" style="14" bestFit="1" customWidth="1"/>
    <col min="7941" max="7941" width="13.5703125" style="14" bestFit="1" customWidth="1"/>
    <col min="7942" max="7942" width="7.7109375" style="14" bestFit="1" customWidth="1"/>
    <col min="7943" max="7943" width="10.7109375" style="14" bestFit="1" customWidth="1"/>
    <col min="7944" max="7944" width="9.28515625" style="14" bestFit="1" customWidth="1"/>
    <col min="7945" max="7945" width="8.7109375" style="14" bestFit="1" customWidth="1"/>
    <col min="7946" max="8184" width="9.140625" style="14"/>
    <col min="8185" max="8185" width="4.42578125" style="14" bestFit="1" customWidth="1"/>
    <col min="8186" max="8186" width="13.85546875" style="14" bestFit="1" customWidth="1"/>
    <col min="8187" max="8187" width="11.28515625" style="14" bestFit="1" customWidth="1"/>
    <col min="8188" max="8188" width="14.5703125" style="14" bestFit="1" customWidth="1"/>
    <col min="8189" max="8189" width="4.5703125" style="14" bestFit="1" customWidth="1"/>
    <col min="8190" max="8190" width="22.140625" style="14" bestFit="1" customWidth="1"/>
    <col min="8191" max="8191" width="24.140625" style="14" bestFit="1" customWidth="1"/>
    <col min="8192" max="8192" width="10.7109375" style="14" bestFit="1" customWidth="1"/>
    <col min="8193" max="8193" width="20" style="14" bestFit="1" customWidth="1"/>
    <col min="8194" max="8194" width="11.85546875" style="14" bestFit="1" customWidth="1"/>
    <col min="8195" max="8195" width="10.42578125" style="14" bestFit="1" customWidth="1"/>
    <col min="8196" max="8196" width="42.28515625" style="14" bestFit="1" customWidth="1"/>
    <col min="8197" max="8197" width="13.5703125" style="14" bestFit="1" customWidth="1"/>
    <col min="8198" max="8198" width="7.7109375" style="14" bestFit="1" customWidth="1"/>
    <col min="8199" max="8199" width="10.7109375" style="14" bestFit="1" customWidth="1"/>
    <col min="8200" max="8200" width="9.28515625" style="14" bestFit="1" customWidth="1"/>
    <col min="8201" max="8201" width="8.7109375" style="14" bestFit="1" customWidth="1"/>
    <col min="8202" max="8440" width="9.140625" style="14"/>
    <col min="8441" max="8441" width="4.42578125" style="14" bestFit="1" customWidth="1"/>
    <col min="8442" max="8442" width="13.85546875" style="14" bestFit="1" customWidth="1"/>
    <col min="8443" max="8443" width="11.28515625" style="14" bestFit="1" customWidth="1"/>
    <col min="8444" max="8444" width="14.5703125" style="14" bestFit="1" customWidth="1"/>
    <col min="8445" max="8445" width="4.5703125" style="14" bestFit="1" customWidth="1"/>
    <col min="8446" max="8446" width="22.140625" style="14" bestFit="1" customWidth="1"/>
    <col min="8447" max="8447" width="24.140625" style="14" bestFit="1" customWidth="1"/>
    <col min="8448" max="8448" width="10.7109375" style="14" bestFit="1" customWidth="1"/>
    <col min="8449" max="8449" width="20" style="14" bestFit="1" customWidth="1"/>
    <col min="8450" max="8450" width="11.85546875" style="14" bestFit="1" customWidth="1"/>
    <col min="8451" max="8451" width="10.42578125" style="14" bestFit="1" customWidth="1"/>
    <col min="8452" max="8452" width="42.28515625" style="14" bestFit="1" customWidth="1"/>
    <col min="8453" max="8453" width="13.5703125" style="14" bestFit="1" customWidth="1"/>
    <col min="8454" max="8454" width="7.7109375" style="14" bestFit="1" customWidth="1"/>
    <col min="8455" max="8455" width="10.7109375" style="14" bestFit="1" customWidth="1"/>
    <col min="8456" max="8456" width="9.28515625" style="14" bestFit="1" customWidth="1"/>
    <col min="8457" max="8457" width="8.7109375" style="14" bestFit="1" customWidth="1"/>
    <col min="8458" max="8696" width="9.140625" style="14"/>
    <col min="8697" max="8697" width="4.42578125" style="14" bestFit="1" customWidth="1"/>
    <col min="8698" max="8698" width="13.85546875" style="14" bestFit="1" customWidth="1"/>
    <col min="8699" max="8699" width="11.28515625" style="14" bestFit="1" customWidth="1"/>
    <col min="8700" max="8700" width="14.5703125" style="14" bestFit="1" customWidth="1"/>
    <col min="8701" max="8701" width="4.5703125" style="14" bestFit="1" customWidth="1"/>
    <col min="8702" max="8702" width="22.140625" style="14" bestFit="1" customWidth="1"/>
    <col min="8703" max="8703" width="24.140625" style="14" bestFit="1" customWidth="1"/>
    <col min="8704" max="8704" width="10.7109375" style="14" bestFit="1" customWidth="1"/>
    <col min="8705" max="8705" width="20" style="14" bestFit="1" customWidth="1"/>
    <col min="8706" max="8706" width="11.85546875" style="14" bestFit="1" customWidth="1"/>
    <col min="8707" max="8707" width="10.42578125" style="14" bestFit="1" customWidth="1"/>
    <col min="8708" max="8708" width="42.28515625" style="14" bestFit="1" customWidth="1"/>
    <col min="8709" max="8709" width="13.5703125" style="14" bestFit="1" customWidth="1"/>
    <col min="8710" max="8710" width="7.7109375" style="14" bestFit="1" customWidth="1"/>
    <col min="8711" max="8711" width="10.7109375" style="14" bestFit="1" customWidth="1"/>
    <col min="8712" max="8712" width="9.28515625" style="14" bestFit="1" customWidth="1"/>
    <col min="8713" max="8713" width="8.7109375" style="14" bestFit="1" customWidth="1"/>
    <col min="8714" max="8952" width="9.140625" style="14"/>
    <col min="8953" max="8953" width="4.42578125" style="14" bestFit="1" customWidth="1"/>
    <col min="8954" max="8954" width="13.85546875" style="14" bestFit="1" customWidth="1"/>
    <col min="8955" max="8955" width="11.28515625" style="14" bestFit="1" customWidth="1"/>
    <col min="8956" max="8956" width="14.5703125" style="14" bestFit="1" customWidth="1"/>
    <col min="8957" max="8957" width="4.5703125" style="14" bestFit="1" customWidth="1"/>
    <col min="8958" max="8958" width="22.140625" style="14" bestFit="1" customWidth="1"/>
    <col min="8959" max="8959" width="24.140625" style="14" bestFit="1" customWidth="1"/>
    <col min="8960" max="8960" width="10.7109375" style="14" bestFit="1" customWidth="1"/>
    <col min="8961" max="8961" width="20" style="14" bestFit="1" customWidth="1"/>
    <col min="8962" max="8962" width="11.85546875" style="14" bestFit="1" customWidth="1"/>
    <col min="8963" max="8963" width="10.42578125" style="14" bestFit="1" customWidth="1"/>
    <col min="8964" max="8964" width="42.28515625" style="14" bestFit="1" customWidth="1"/>
    <col min="8965" max="8965" width="13.5703125" style="14" bestFit="1" customWidth="1"/>
    <col min="8966" max="8966" width="7.7109375" style="14" bestFit="1" customWidth="1"/>
    <col min="8967" max="8967" width="10.7109375" style="14" bestFit="1" customWidth="1"/>
    <col min="8968" max="8968" width="9.28515625" style="14" bestFit="1" customWidth="1"/>
    <col min="8969" max="8969" width="8.7109375" style="14" bestFit="1" customWidth="1"/>
    <col min="8970" max="9208" width="9.140625" style="14"/>
    <col min="9209" max="9209" width="4.42578125" style="14" bestFit="1" customWidth="1"/>
    <col min="9210" max="9210" width="13.85546875" style="14" bestFit="1" customWidth="1"/>
    <col min="9211" max="9211" width="11.28515625" style="14" bestFit="1" customWidth="1"/>
    <col min="9212" max="9212" width="14.5703125" style="14" bestFit="1" customWidth="1"/>
    <col min="9213" max="9213" width="4.5703125" style="14" bestFit="1" customWidth="1"/>
    <col min="9214" max="9214" width="22.140625" style="14" bestFit="1" customWidth="1"/>
    <col min="9215" max="9215" width="24.140625" style="14" bestFit="1" customWidth="1"/>
    <col min="9216" max="9216" width="10.7109375" style="14" bestFit="1" customWidth="1"/>
    <col min="9217" max="9217" width="20" style="14" bestFit="1" customWidth="1"/>
    <col min="9218" max="9218" width="11.85546875" style="14" bestFit="1" customWidth="1"/>
    <col min="9219" max="9219" width="10.42578125" style="14" bestFit="1" customWidth="1"/>
    <col min="9220" max="9220" width="42.28515625" style="14" bestFit="1" customWidth="1"/>
    <col min="9221" max="9221" width="13.5703125" style="14" bestFit="1" customWidth="1"/>
    <col min="9222" max="9222" width="7.7109375" style="14" bestFit="1" customWidth="1"/>
    <col min="9223" max="9223" width="10.7109375" style="14" bestFit="1" customWidth="1"/>
    <col min="9224" max="9224" width="9.28515625" style="14" bestFit="1" customWidth="1"/>
    <col min="9225" max="9225" width="8.7109375" style="14" bestFit="1" customWidth="1"/>
    <col min="9226" max="9464" width="9.140625" style="14"/>
    <col min="9465" max="9465" width="4.42578125" style="14" bestFit="1" customWidth="1"/>
    <col min="9466" max="9466" width="13.85546875" style="14" bestFit="1" customWidth="1"/>
    <col min="9467" max="9467" width="11.28515625" style="14" bestFit="1" customWidth="1"/>
    <col min="9468" max="9468" width="14.5703125" style="14" bestFit="1" customWidth="1"/>
    <col min="9469" max="9469" width="4.5703125" style="14" bestFit="1" customWidth="1"/>
    <col min="9470" max="9470" width="22.140625" style="14" bestFit="1" customWidth="1"/>
    <col min="9471" max="9471" width="24.140625" style="14" bestFit="1" customWidth="1"/>
    <col min="9472" max="9472" width="10.7109375" style="14" bestFit="1" customWidth="1"/>
    <col min="9473" max="9473" width="20" style="14" bestFit="1" customWidth="1"/>
    <col min="9474" max="9474" width="11.85546875" style="14" bestFit="1" customWidth="1"/>
    <col min="9475" max="9475" width="10.42578125" style="14" bestFit="1" customWidth="1"/>
    <col min="9476" max="9476" width="42.28515625" style="14" bestFit="1" customWidth="1"/>
    <col min="9477" max="9477" width="13.5703125" style="14" bestFit="1" customWidth="1"/>
    <col min="9478" max="9478" width="7.7109375" style="14" bestFit="1" customWidth="1"/>
    <col min="9479" max="9479" width="10.7109375" style="14" bestFit="1" customWidth="1"/>
    <col min="9480" max="9480" width="9.28515625" style="14" bestFit="1" customWidth="1"/>
    <col min="9481" max="9481" width="8.7109375" style="14" bestFit="1" customWidth="1"/>
    <col min="9482" max="9720" width="9.140625" style="14"/>
    <col min="9721" max="9721" width="4.42578125" style="14" bestFit="1" customWidth="1"/>
    <col min="9722" max="9722" width="13.85546875" style="14" bestFit="1" customWidth="1"/>
    <col min="9723" max="9723" width="11.28515625" style="14" bestFit="1" customWidth="1"/>
    <col min="9724" max="9724" width="14.5703125" style="14" bestFit="1" customWidth="1"/>
    <col min="9725" max="9725" width="4.5703125" style="14" bestFit="1" customWidth="1"/>
    <col min="9726" max="9726" width="22.140625" style="14" bestFit="1" customWidth="1"/>
    <col min="9727" max="9727" width="24.140625" style="14" bestFit="1" customWidth="1"/>
    <col min="9728" max="9728" width="10.7109375" style="14" bestFit="1" customWidth="1"/>
    <col min="9729" max="9729" width="20" style="14" bestFit="1" customWidth="1"/>
    <col min="9730" max="9730" width="11.85546875" style="14" bestFit="1" customWidth="1"/>
    <col min="9731" max="9731" width="10.42578125" style="14" bestFit="1" customWidth="1"/>
    <col min="9732" max="9732" width="42.28515625" style="14" bestFit="1" customWidth="1"/>
    <col min="9733" max="9733" width="13.5703125" style="14" bestFit="1" customWidth="1"/>
    <col min="9734" max="9734" width="7.7109375" style="14" bestFit="1" customWidth="1"/>
    <col min="9735" max="9735" width="10.7109375" style="14" bestFit="1" customWidth="1"/>
    <col min="9736" max="9736" width="9.28515625" style="14" bestFit="1" customWidth="1"/>
    <col min="9737" max="9737" width="8.7109375" style="14" bestFit="1" customWidth="1"/>
    <col min="9738" max="9976" width="9.140625" style="14"/>
    <col min="9977" max="9977" width="4.42578125" style="14" bestFit="1" customWidth="1"/>
    <col min="9978" max="9978" width="13.85546875" style="14" bestFit="1" customWidth="1"/>
    <col min="9979" max="9979" width="11.28515625" style="14" bestFit="1" customWidth="1"/>
    <col min="9980" max="9980" width="14.5703125" style="14" bestFit="1" customWidth="1"/>
    <col min="9981" max="9981" width="4.5703125" style="14" bestFit="1" customWidth="1"/>
    <col min="9982" max="9982" width="22.140625" style="14" bestFit="1" customWidth="1"/>
    <col min="9983" max="9983" width="24.140625" style="14" bestFit="1" customWidth="1"/>
    <col min="9984" max="9984" width="10.7109375" style="14" bestFit="1" customWidth="1"/>
    <col min="9985" max="9985" width="20" style="14" bestFit="1" customWidth="1"/>
    <col min="9986" max="9986" width="11.85546875" style="14" bestFit="1" customWidth="1"/>
    <col min="9987" max="9987" width="10.42578125" style="14" bestFit="1" customWidth="1"/>
    <col min="9988" max="9988" width="42.28515625" style="14" bestFit="1" customWidth="1"/>
    <col min="9989" max="9989" width="13.5703125" style="14" bestFit="1" customWidth="1"/>
    <col min="9990" max="9990" width="7.7109375" style="14" bestFit="1" customWidth="1"/>
    <col min="9991" max="9991" width="10.7109375" style="14" bestFit="1" customWidth="1"/>
    <col min="9992" max="9992" width="9.28515625" style="14" bestFit="1" customWidth="1"/>
    <col min="9993" max="9993" width="8.7109375" style="14" bestFit="1" customWidth="1"/>
    <col min="9994" max="10232" width="9.140625" style="14"/>
    <col min="10233" max="10233" width="4.42578125" style="14" bestFit="1" customWidth="1"/>
    <col min="10234" max="10234" width="13.85546875" style="14" bestFit="1" customWidth="1"/>
    <col min="10235" max="10235" width="11.28515625" style="14" bestFit="1" customWidth="1"/>
    <col min="10236" max="10236" width="14.5703125" style="14" bestFit="1" customWidth="1"/>
    <col min="10237" max="10237" width="4.5703125" style="14" bestFit="1" customWidth="1"/>
    <col min="10238" max="10238" width="22.140625" style="14" bestFit="1" customWidth="1"/>
    <col min="10239" max="10239" width="24.140625" style="14" bestFit="1" customWidth="1"/>
    <col min="10240" max="10240" width="10.7109375" style="14" bestFit="1" customWidth="1"/>
    <col min="10241" max="10241" width="20" style="14" bestFit="1" customWidth="1"/>
    <col min="10242" max="10242" width="11.85546875" style="14" bestFit="1" customWidth="1"/>
    <col min="10243" max="10243" width="10.42578125" style="14" bestFit="1" customWidth="1"/>
    <col min="10244" max="10244" width="42.28515625" style="14" bestFit="1" customWidth="1"/>
    <col min="10245" max="10245" width="13.5703125" style="14" bestFit="1" customWidth="1"/>
    <col min="10246" max="10246" width="7.7109375" style="14" bestFit="1" customWidth="1"/>
    <col min="10247" max="10247" width="10.7109375" style="14" bestFit="1" customWidth="1"/>
    <col min="10248" max="10248" width="9.28515625" style="14" bestFit="1" customWidth="1"/>
    <col min="10249" max="10249" width="8.7109375" style="14" bestFit="1" customWidth="1"/>
    <col min="10250" max="10488" width="9.140625" style="14"/>
    <col min="10489" max="10489" width="4.42578125" style="14" bestFit="1" customWidth="1"/>
    <col min="10490" max="10490" width="13.85546875" style="14" bestFit="1" customWidth="1"/>
    <col min="10491" max="10491" width="11.28515625" style="14" bestFit="1" customWidth="1"/>
    <col min="10492" max="10492" width="14.5703125" style="14" bestFit="1" customWidth="1"/>
    <col min="10493" max="10493" width="4.5703125" style="14" bestFit="1" customWidth="1"/>
    <col min="10494" max="10494" width="22.140625" style="14" bestFit="1" customWidth="1"/>
    <col min="10495" max="10495" width="24.140625" style="14" bestFit="1" customWidth="1"/>
    <col min="10496" max="10496" width="10.7109375" style="14" bestFit="1" customWidth="1"/>
    <col min="10497" max="10497" width="20" style="14" bestFit="1" customWidth="1"/>
    <col min="10498" max="10498" width="11.85546875" style="14" bestFit="1" customWidth="1"/>
    <col min="10499" max="10499" width="10.42578125" style="14" bestFit="1" customWidth="1"/>
    <col min="10500" max="10500" width="42.28515625" style="14" bestFit="1" customWidth="1"/>
    <col min="10501" max="10501" width="13.5703125" style="14" bestFit="1" customWidth="1"/>
    <col min="10502" max="10502" width="7.7109375" style="14" bestFit="1" customWidth="1"/>
    <col min="10503" max="10503" width="10.7109375" style="14" bestFit="1" customWidth="1"/>
    <col min="10504" max="10504" width="9.28515625" style="14" bestFit="1" customWidth="1"/>
    <col min="10505" max="10505" width="8.7109375" style="14" bestFit="1" customWidth="1"/>
    <col min="10506" max="10744" width="9.140625" style="14"/>
    <col min="10745" max="10745" width="4.42578125" style="14" bestFit="1" customWidth="1"/>
    <col min="10746" max="10746" width="13.85546875" style="14" bestFit="1" customWidth="1"/>
    <col min="10747" max="10747" width="11.28515625" style="14" bestFit="1" customWidth="1"/>
    <col min="10748" max="10748" width="14.5703125" style="14" bestFit="1" customWidth="1"/>
    <col min="10749" max="10749" width="4.5703125" style="14" bestFit="1" customWidth="1"/>
    <col min="10750" max="10750" width="22.140625" style="14" bestFit="1" customWidth="1"/>
    <col min="10751" max="10751" width="24.140625" style="14" bestFit="1" customWidth="1"/>
    <col min="10752" max="10752" width="10.7109375" style="14" bestFit="1" customWidth="1"/>
    <col min="10753" max="10753" width="20" style="14" bestFit="1" customWidth="1"/>
    <col min="10754" max="10754" width="11.85546875" style="14" bestFit="1" customWidth="1"/>
    <col min="10755" max="10755" width="10.42578125" style="14" bestFit="1" customWidth="1"/>
    <col min="10756" max="10756" width="42.28515625" style="14" bestFit="1" customWidth="1"/>
    <col min="10757" max="10757" width="13.5703125" style="14" bestFit="1" customWidth="1"/>
    <col min="10758" max="10758" width="7.7109375" style="14" bestFit="1" customWidth="1"/>
    <col min="10759" max="10759" width="10.7109375" style="14" bestFit="1" customWidth="1"/>
    <col min="10760" max="10760" width="9.28515625" style="14" bestFit="1" customWidth="1"/>
    <col min="10761" max="10761" width="8.7109375" style="14" bestFit="1" customWidth="1"/>
    <col min="10762" max="11000" width="9.140625" style="14"/>
    <col min="11001" max="11001" width="4.42578125" style="14" bestFit="1" customWidth="1"/>
    <col min="11002" max="11002" width="13.85546875" style="14" bestFit="1" customWidth="1"/>
    <col min="11003" max="11003" width="11.28515625" style="14" bestFit="1" customWidth="1"/>
    <col min="11004" max="11004" width="14.5703125" style="14" bestFit="1" customWidth="1"/>
    <col min="11005" max="11005" width="4.5703125" style="14" bestFit="1" customWidth="1"/>
    <col min="11006" max="11006" width="22.140625" style="14" bestFit="1" customWidth="1"/>
    <col min="11007" max="11007" width="24.140625" style="14" bestFit="1" customWidth="1"/>
    <col min="11008" max="11008" width="10.7109375" style="14" bestFit="1" customWidth="1"/>
    <col min="11009" max="11009" width="20" style="14" bestFit="1" customWidth="1"/>
    <col min="11010" max="11010" width="11.85546875" style="14" bestFit="1" customWidth="1"/>
    <col min="11011" max="11011" width="10.42578125" style="14" bestFit="1" customWidth="1"/>
    <col min="11012" max="11012" width="42.28515625" style="14" bestFit="1" customWidth="1"/>
    <col min="11013" max="11013" width="13.5703125" style="14" bestFit="1" customWidth="1"/>
    <col min="11014" max="11014" width="7.7109375" style="14" bestFit="1" customWidth="1"/>
    <col min="11015" max="11015" width="10.7109375" style="14" bestFit="1" customWidth="1"/>
    <col min="11016" max="11016" width="9.28515625" style="14" bestFit="1" customWidth="1"/>
    <col min="11017" max="11017" width="8.7109375" style="14" bestFit="1" customWidth="1"/>
    <col min="11018" max="11256" width="9.140625" style="14"/>
    <col min="11257" max="11257" width="4.42578125" style="14" bestFit="1" customWidth="1"/>
    <col min="11258" max="11258" width="13.85546875" style="14" bestFit="1" customWidth="1"/>
    <col min="11259" max="11259" width="11.28515625" style="14" bestFit="1" customWidth="1"/>
    <col min="11260" max="11260" width="14.5703125" style="14" bestFit="1" customWidth="1"/>
    <col min="11261" max="11261" width="4.5703125" style="14" bestFit="1" customWidth="1"/>
    <col min="11262" max="11262" width="22.140625" style="14" bestFit="1" customWidth="1"/>
    <col min="11263" max="11263" width="24.140625" style="14" bestFit="1" customWidth="1"/>
    <col min="11264" max="11264" width="10.7109375" style="14" bestFit="1" customWidth="1"/>
    <col min="11265" max="11265" width="20" style="14" bestFit="1" customWidth="1"/>
    <col min="11266" max="11266" width="11.85546875" style="14" bestFit="1" customWidth="1"/>
    <col min="11267" max="11267" width="10.42578125" style="14" bestFit="1" customWidth="1"/>
    <col min="11268" max="11268" width="42.28515625" style="14" bestFit="1" customWidth="1"/>
    <col min="11269" max="11269" width="13.5703125" style="14" bestFit="1" customWidth="1"/>
    <col min="11270" max="11270" width="7.7109375" style="14" bestFit="1" customWidth="1"/>
    <col min="11271" max="11271" width="10.7109375" style="14" bestFit="1" customWidth="1"/>
    <col min="11272" max="11272" width="9.28515625" style="14" bestFit="1" customWidth="1"/>
    <col min="11273" max="11273" width="8.7109375" style="14" bestFit="1" customWidth="1"/>
    <col min="11274" max="11512" width="9.140625" style="14"/>
    <col min="11513" max="11513" width="4.42578125" style="14" bestFit="1" customWidth="1"/>
    <col min="11514" max="11514" width="13.85546875" style="14" bestFit="1" customWidth="1"/>
    <col min="11515" max="11515" width="11.28515625" style="14" bestFit="1" customWidth="1"/>
    <col min="11516" max="11516" width="14.5703125" style="14" bestFit="1" customWidth="1"/>
    <col min="11517" max="11517" width="4.5703125" style="14" bestFit="1" customWidth="1"/>
    <col min="11518" max="11518" width="22.140625" style="14" bestFit="1" customWidth="1"/>
    <col min="11519" max="11519" width="24.140625" style="14" bestFit="1" customWidth="1"/>
    <col min="11520" max="11520" width="10.7109375" style="14" bestFit="1" customWidth="1"/>
    <col min="11521" max="11521" width="20" style="14" bestFit="1" customWidth="1"/>
    <col min="11522" max="11522" width="11.85546875" style="14" bestFit="1" customWidth="1"/>
    <col min="11523" max="11523" width="10.42578125" style="14" bestFit="1" customWidth="1"/>
    <col min="11524" max="11524" width="42.28515625" style="14" bestFit="1" customWidth="1"/>
    <col min="11525" max="11525" width="13.5703125" style="14" bestFit="1" customWidth="1"/>
    <col min="11526" max="11526" width="7.7109375" style="14" bestFit="1" customWidth="1"/>
    <col min="11527" max="11527" width="10.7109375" style="14" bestFit="1" customWidth="1"/>
    <col min="11528" max="11528" width="9.28515625" style="14" bestFit="1" customWidth="1"/>
    <col min="11529" max="11529" width="8.7109375" style="14" bestFit="1" customWidth="1"/>
    <col min="11530" max="11768" width="9.140625" style="14"/>
    <col min="11769" max="11769" width="4.42578125" style="14" bestFit="1" customWidth="1"/>
    <col min="11770" max="11770" width="13.85546875" style="14" bestFit="1" customWidth="1"/>
    <col min="11771" max="11771" width="11.28515625" style="14" bestFit="1" customWidth="1"/>
    <col min="11772" max="11772" width="14.5703125" style="14" bestFit="1" customWidth="1"/>
    <col min="11773" max="11773" width="4.5703125" style="14" bestFit="1" customWidth="1"/>
    <col min="11774" max="11774" width="22.140625" style="14" bestFit="1" customWidth="1"/>
    <col min="11775" max="11775" width="24.140625" style="14" bestFit="1" customWidth="1"/>
    <col min="11776" max="11776" width="10.7109375" style="14" bestFit="1" customWidth="1"/>
    <col min="11777" max="11777" width="20" style="14" bestFit="1" customWidth="1"/>
    <col min="11778" max="11778" width="11.85546875" style="14" bestFit="1" customWidth="1"/>
    <col min="11779" max="11779" width="10.42578125" style="14" bestFit="1" customWidth="1"/>
    <col min="11780" max="11780" width="42.28515625" style="14" bestFit="1" customWidth="1"/>
    <col min="11781" max="11781" width="13.5703125" style="14" bestFit="1" customWidth="1"/>
    <col min="11782" max="11782" width="7.7109375" style="14" bestFit="1" customWidth="1"/>
    <col min="11783" max="11783" width="10.7109375" style="14" bestFit="1" customWidth="1"/>
    <col min="11784" max="11784" width="9.28515625" style="14" bestFit="1" customWidth="1"/>
    <col min="11785" max="11785" width="8.7109375" style="14" bestFit="1" customWidth="1"/>
    <col min="11786" max="12024" width="9.140625" style="14"/>
    <col min="12025" max="12025" width="4.42578125" style="14" bestFit="1" customWidth="1"/>
    <col min="12026" max="12026" width="13.85546875" style="14" bestFit="1" customWidth="1"/>
    <col min="12027" max="12027" width="11.28515625" style="14" bestFit="1" customWidth="1"/>
    <col min="12028" max="12028" width="14.5703125" style="14" bestFit="1" customWidth="1"/>
    <col min="12029" max="12029" width="4.5703125" style="14" bestFit="1" customWidth="1"/>
    <col min="12030" max="12030" width="22.140625" style="14" bestFit="1" customWidth="1"/>
    <col min="12031" max="12031" width="24.140625" style="14" bestFit="1" customWidth="1"/>
    <col min="12032" max="12032" width="10.7109375" style="14" bestFit="1" customWidth="1"/>
    <col min="12033" max="12033" width="20" style="14" bestFit="1" customWidth="1"/>
    <col min="12034" max="12034" width="11.85546875" style="14" bestFit="1" customWidth="1"/>
    <col min="12035" max="12035" width="10.42578125" style="14" bestFit="1" customWidth="1"/>
    <col min="12036" max="12036" width="42.28515625" style="14" bestFit="1" customWidth="1"/>
    <col min="12037" max="12037" width="13.5703125" style="14" bestFit="1" customWidth="1"/>
    <col min="12038" max="12038" width="7.7109375" style="14" bestFit="1" customWidth="1"/>
    <col min="12039" max="12039" width="10.7109375" style="14" bestFit="1" customWidth="1"/>
    <col min="12040" max="12040" width="9.28515625" style="14" bestFit="1" customWidth="1"/>
    <col min="12041" max="12041" width="8.7109375" style="14" bestFit="1" customWidth="1"/>
    <col min="12042" max="12280" width="9.140625" style="14"/>
    <col min="12281" max="12281" width="4.42578125" style="14" bestFit="1" customWidth="1"/>
    <col min="12282" max="12282" width="13.85546875" style="14" bestFit="1" customWidth="1"/>
    <col min="12283" max="12283" width="11.28515625" style="14" bestFit="1" customWidth="1"/>
    <col min="12284" max="12284" width="14.5703125" style="14" bestFit="1" customWidth="1"/>
    <col min="12285" max="12285" width="4.5703125" style="14" bestFit="1" customWidth="1"/>
    <col min="12286" max="12286" width="22.140625" style="14" bestFit="1" customWidth="1"/>
    <col min="12287" max="12287" width="24.140625" style="14" bestFit="1" customWidth="1"/>
    <col min="12288" max="12288" width="10.7109375" style="14" bestFit="1" customWidth="1"/>
    <col min="12289" max="12289" width="20" style="14" bestFit="1" customWidth="1"/>
    <col min="12290" max="12290" width="11.85546875" style="14" bestFit="1" customWidth="1"/>
    <col min="12291" max="12291" width="10.42578125" style="14" bestFit="1" customWidth="1"/>
    <col min="12292" max="12292" width="42.28515625" style="14" bestFit="1" customWidth="1"/>
    <col min="12293" max="12293" width="13.5703125" style="14" bestFit="1" customWidth="1"/>
    <col min="12294" max="12294" width="7.7109375" style="14" bestFit="1" customWidth="1"/>
    <col min="12295" max="12295" width="10.7109375" style="14" bestFit="1" customWidth="1"/>
    <col min="12296" max="12296" width="9.28515625" style="14" bestFit="1" customWidth="1"/>
    <col min="12297" max="12297" width="8.7109375" style="14" bestFit="1" customWidth="1"/>
    <col min="12298" max="12536" width="9.140625" style="14"/>
    <col min="12537" max="12537" width="4.42578125" style="14" bestFit="1" customWidth="1"/>
    <col min="12538" max="12538" width="13.85546875" style="14" bestFit="1" customWidth="1"/>
    <col min="12539" max="12539" width="11.28515625" style="14" bestFit="1" customWidth="1"/>
    <col min="12540" max="12540" width="14.5703125" style="14" bestFit="1" customWidth="1"/>
    <col min="12541" max="12541" width="4.5703125" style="14" bestFit="1" customWidth="1"/>
    <col min="12542" max="12542" width="22.140625" style="14" bestFit="1" customWidth="1"/>
    <col min="12543" max="12543" width="24.140625" style="14" bestFit="1" customWidth="1"/>
    <col min="12544" max="12544" width="10.7109375" style="14" bestFit="1" customWidth="1"/>
    <col min="12545" max="12545" width="20" style="14" bestFit="1" customWidth="1"/>
    <col min="12546" max="12546" width="11.85546875" style="14" bestFit="1" customWidth="1"/>
    <col min="12547" max="12547" width="10.42578125" style="14" bestFit="1" customWidth="1"/>
    <col min="12548" max="12548" width="42.28515625" style="14" bestFit="1" customWidth="1"/>
    <col min="12549" max="12549" width="13.5703125" style="14" bestFit="1" customWidth="1"/>
    <col min="12550" max="12550" width="7.7109375" style="14" bestFit="1" customWidth="1"/>
    <col min="12551" max="12551" width="10.7109375" style="14" bestFit="1" customWidth="1"/>
    <col min="12552" max="12552" width="9.28515625" style="14" bestFit="1" customWidth="1"/>
    <col min="12553" max="12553" width="8.7109375" style="14" bestFit="1" customWidth="1"/>
    <col min="12554" max="12792" width="9.140625" style="14"/>
    <col min="12793" max="12793" width="4.42578125" style="14" bestFit="1" customWidth="1"/>
    <col min="12794" max="12794" width="13.85546875" style="14" bestFit="1" customWidth="1"/>
    <col min="12795" max="12795" width="11.28515625" style="14" bestFit="1" customWidth="1"/>
    <col min="12796" max="12796" width="14.5703125" style="14" bestFit="1" customWidth="1"/>
    <col min="12797" max="12797" width="4.5703125" style="14" bestFit="1" customWidth="1"/>
    <col min="12798" max="12798" width="22.140625" style="14" bestFit="1" customWidth="1"/>
    <col min="12799" max="12799" width="24.140625" style="14" bestFit="1" customWidth="1"/>
    <col min="12800" max="12800" width="10.7109375" style="14" bestFit="1" customWidth="1"/>
    <col min="12801" max="12801" width="20" style="14" bestFit="1" customWidth="1"/>
    <col min="12802" max="12802" width="11.85546875" style="14" bestFit="1" customWidth="1"/>
    <col min="12803" max="12803" width="10.42578125" style="14" bestFit="1" customWidth="1"/>
    <col min="12804" max="12804" width="42.28515625" style="14" bestFit="1" customWidth="1"/>
    <col min="12805" max="12805" width="13.5703125" style="14" bestFit="1" customWidth="1"/>
    <col min="12806" max="12806" width="7.7109375" style="14" bestFit="1" customWidth="1"/>
    <col min="12807" max="12807" width="10.7109375" style="14" bestFit="1" customWidth="1"/>
    <col min="12808" max="12808" width="9.28515625" style="14" bestFit="1" customWidth="1"/>
    <col min="12809" max="12809" width="8.7109375" style="14" bestFit="1" customWidth="1"/>
    <col min="12810" max="13048" width="9.140625" style="14"/>
    <col min="13049" max="13049" width="4.42578125" style="14" bestFit="1" customWidth="1"/>
    <col min="13050" max="13050" width="13.85546875" style="14" bestFit="1" customWidth="1"/>
    <col min="13051" max="13051" width="11.28515625" style="14" bestFit="1" customWidth="1"/>
    <col min="13052" max="13052" width="14.5703125" style="14" bestFit="1" customWidth="1"/>
    <col min="13053" max="13053" width="4.5703125" style="14" bestFit="1" customWidth="1"/>
    <col min="13054" max="13054" width="22.140625" style="14" bestFit="1" customWidth="1"/>
    <col min="13055" max="13055" width="24.140625" style="14" bestFit="1" customWidth="1"/>
    <col min="13056" max="13056" width="10.7109375" style="14" bestFit="1" customWidth="1"/>
    <col min="13057" max="13057" width="20" style="14" bestFit="1" customWidth="1"/>
    <col min="13058" max="13058" width="11.85546875" style="14" bestFit="1" customWidth="1"/>
    <col min="13059" max="13059" width="10.42578125" style="14" bestFit="1" customWidth="1"/>
    <col min="13060" max="13060" width="42.28515625" style="14" bestFit="1" customWidth="1"/>
    <col min="13061" max="13061" width="13.5703125" style="14" bestFit="1" customWidth="1"/>
    <col min="13062" max="13062" width="7.7109375" style="14" bestFit="1" customWidth="1"/>
    <col min="13063" max="13063" width="10.7109375" style="14" bestFit="1" customWidth="1"/>
    <col min="13064" max="13064" width="9.28515625" style="14" bestFit="1" customWidth="1"/>
    <col min="13065" max="13065" width="8.7109375" style="14" bestFit="1" customWidth="1"/>
    <col min="13066" max="13304" width="9.140625" style="14"/>
    <col min="13305" max="13305" width="4.42578125" style="14" bestFit="1" customWidth="1"/>
    <col min="13306" max="13306" width="13.85546875" style="14" bestFit="1" customWidth="1"/>
    <col min="13307" max="13307" width="11.28515625" style="14" bestFit="1" customWidth="1"/>
    <col min="13308" max="13308" width="14.5703125" style="14" bestFit="1" customWidth="1"/>
    <col min="13309" max="13309" width="4.5703125" style="14" bestFit="1" customWidth="1"/>
    <col min="13310" max="13310" width="22.140625" style="14" bestFit="1" customWidth="1"/>
    <col min="13311" max="13311" width="24.140625" style="14" bestFit="1" customWidth="1"/>
    <col min="13312" max="13312" width="10.7109375" style="14" bestFit="1" customWidth="1"/>
    <col min="13313" max="13313" width="20" style="14" bestFit="1" customWidth="1"/>
    <col min="13314" max="13314" width="11.85546875" style="14" bestFit="1" customWidth="1"/>
    <col min="13315" max="13315" width="10.42578125" style="14" bestFit="1" customWidth="1"/>
    <col min="13316" max="13316" width="42.28515625" style="14" bestFit="1" customWidth="1"/>
    <col min="13317" max="13317" width="13.5703125" style="14" bestFit="1" customWidth="1"/>
    <col min="13318" max="13318" width="7.7109375" style="14" bestFit="1" customWidth="1"/>
    <col min="13319" max="13319" width="10.7109375" style="14" bestFit="1" customWidth="1"/>
    <col min="13320" max="13320" width="9.28515625" style="14" bestFit="1" customWidth="1"/>
    <col min="13321" max="13321" width="8.7109375" style="14" bestFit="1" customWidth="1"/>
    <col min="13322" max="13560" width="9.140625" style="14"/>
    <col min="13561" max="13561" width="4.42578125" style="14" bestFit="1" customWidth="1"/>
    <col min="13562" max="13562" width="13.85546875" style="14" bestFit="1" customWidth="1"/>
    <col min="13563" max="13563" width="11.28515625" style="14" bestFit="1" customWidth="1"/>
    <col min="13564" max="13564" width="14.5703125" style="14" bestFit="1" customWidth="1"/>
    <col min="13565" max="13565" width="4.5703125" style="14" bestFit="1" customWidth="1"/>
    <col min="13566" max="13566" width="22.140625" style="14" bestFit="1" customWidth="1"/>
    <col min="13567" max="13567" width="24.140625" style="14" bestFit="1" customWidth="1"/>
    <col min="13568" max="13568" width="10.7109375" style="14" bestFit="1" customWidth="1"/>
    <col min="13569" max="13569" width="20" style="14" bestFit="1" customWidth="1"/>
    <col min="13570" max="13570" width="11.85546875" style="14" bestFit="1" customWidth="1"/>
    <col min="13571" max="13571" width="10.42578125" style="14" bestFit="1" customWidth="1"/>
    <col min="13572" max="13572" width="42.28515625" style="14" bestFit="1" customWidth="1"/>
    <col min="13573" max="13573" width="13.5703125" style="14" bestFit="1" customWidth="1"/>
    <col min="13574" max="13574" width="7.7109375" style="14" bestFit="1" customWidth="1"/>
    <col min="13575" max="13575" width="10.7109375" style="14" bestFit="1" customWidth="1"/>
    <col min="13576" max="13576" width="9.28515625" style="14" bestFit="1" customWidth="1"/>
    <col min="13577" max="13577" width="8.7109375" style="14" bestFit="1" customWidth="1"/>
    <col min="13578" max="13816" width="9.140625" style="14"/>
    <col min="13817" max="13817" width="4.42578125" style="14" bestFit="1" customWidth="1"/>
    <col min="13818" max="13818" width="13.85546875" style="14" bestFit="1" customWidth="1"/>
    <col min="13819" max="13819" width="11.28515625" style="14" bestFit="1" customWidth="1"/>
    <col min="13820" max="13820" width="14.5703125" style="14" bestFit="1" customWidth="1"/>
    <col min="13821" max="13821" width="4.5703125" style="14" bestFit="1" customWidth="1"/>
    <col min="13822" max="13822" width="22.140625" style="14" bestFit="1" customWidth="1"/>
    <col min="13823" max="13823" width="24.140625" style="14" bestFit="1" customWidth="1"/>
    <col min="13824" max="13824" width="10.7109375" style="14" bestFit="1" customWidth="1"/>
    <col min="13825" max="13825" width="20" style="14" bestFit="1" customWidth="1"/>
    <col min="13826" max="13826" width="11.85546875" style="14" bestFit="1" customWidth="1"/>
    <col min="13827" max="13827" width="10.42578125" style="14" bestFit="1" customWidth="1"/>
    <col min="13828" max="13828" width="42.28515625" style="14" bestFit="1" customWidth="1"/>
    <col min="13829" max="13829" width="13.5703125" style="14" bestFit="1" customWidth="1"/>
    <col min="13830" max="13830" width="7.7109375" style="14" bestFit="1" customWidth="1"/>
    <col min="13831" max="13831" width="10.7109375" style="14" bestFit="1" customWidth="1"/>
    <col min="13832" max="13832" width="9.28515625" style="14" bestFit="1" customWidth="1"/>
    <col min="13833" max="13833" width="8.7109375" style="14" bestFit="1" customWidth="1"/>
    <col min="13834" max="14072" width="9.140625" style="14"/>
    <col min="14073" max="14073" width="4.42578125" style="14" bestFit="1" customWidth="1"/>
    <col min="14074" max="14074" width="13.85546875" style="14" bestFit="1" customWidth="1"/>
    <col min="14075" max="14075" width="11.28515625" style="14" bestFit="1" customWidth="1"/>
    <col min="14076" max="14076" width="14.5703125" style="14" bestFit="1" customWidth="1"/>
    <col min="14077" max="14077" width="4.5703125" style="14" bestFit="1" customWidth="1"/>
    <col min="14078" max="14078" width="22.140625" style="14" bestFit="1" customWidth="1"/>
    <col min="14079" max="14079" width="24.140625" style="14" bestFit="1" customWidth="1"/>
    <col min="14080" max="14080" width="10.7109375" style="14" bestFit="1" customWidth="1"/>
    <col min="14081" max="14081" width="20" style="14" bestFit="1" customWidth="1"/>
    <col min="14082" max="14082" width="11.85546875" style="14" bestFit="1" customWidth="1"/>
    <col min="14083" max="14083" width="10.42578125" style="14" bestFit="1" customWidth="1"/>
    <col min="14084" max="14084" width="42.28515625" style="14" bestFit="1" customWidth="1"/>
    <col min="14085" max="14085" width="13.5703125" style="14" bestFit="1" customWidth="1"/>
    <col min="14086" max="14086" width="7.7109375" style="14" bestFit="1" customWidth="1"/>
    <col min="14087" max="14087" width="10.7109375" style="14" bestFit="1" customWidth="1"/>
    <col min="14088" max="14088" width="9.28515625" style="14" bestFit="1" customWidth="1"/>
    <col min="14089" max="14089" width="8.7109375" style="14" bestFit="1" customWidth="1"/>
    <col min="14090" max="14328" width="9.140625" style="14"/>
    <col min="14329" max="14329" width="4.42578125" style="14" bestFit="1" customWidth="1"/>
    <col min="14330" max="14330" width="13.85546875" style="14" bestFit="1" customWidth="1"/>
    <col min="14331" max="14331" width="11.28515625" style="14" bestFit="1" customWidth="1"/>
    <col min="14332" max="14332" width="14.5703125" style="14" bestFit="1" customWidth="1"/>
    <col min="14333" max="14333" width="4.5703125" style="14" bestFit="1" customWidth="1"/>
    <col min="14334" max="14334" width="22.140625" style="14" bestFit="1" customWidth="1"/>
    <col min="14335" max="14335" width="24.140625" style="14" bestFit="1" customWidth="1"/>
    <col min="14336" max="14336" width="10.7109375" style="14" bestFit="1" customWidth="1"/>
    <col min="14337" max="14337" width="20" style="14" bestFit="1" customWidth="1"/>
    <col min="14338" max="14338" width="11.85546875" style="14" bestFit="1" customWidth="1"/>
    <col min="14339" max="14339" width="10.42578125" style="14" bestFit="1" customWidth="1"/>
    <col min="14340" max="14340" width="42.28515625" style="14" bestFit="1" customWidth="1"/>
    <col min="14341" max="14341" width="13.5703125" style="14" bestFit="1" customWidth="1"/>
    <col min="14342" max="14342" width="7.7109375" style="14" bestFit="1" customWidth="1"/>
    <col min="14343" max="14343" width="10.7109375" style="14" bestFit="1" customWidth="1"/>
    <col min="14344" max="14344" width="9.28515625" style="14" bestFit="1" customWidth="1"/>
    <col min="14345" max="14345" width="8.7109375" style="14" bestFit="1" customWidth="1"/>
    <col min="14346" max="14584" width="9.140625" style="14"/>
    <col min="14585" max="14585" width="4.42578125" style="14" bestFit="1" customWidth="1"/>
    <col min="14586" max="14586" width="13.85546875" style="14" bestFit="1" customWidth="1"/>
    <col min="14587" max="14587" width="11.28515625" style="14" bestFit="1" customWidth="1"/>
    <col min="14588" max="14588" width="14.5703125" style="14" bestFit="1" customWidth="1"/>
    <col min="14589" max="14589" width="4.5703125" style="14" bestFit="1" customWidth="1"/>
    <col min="14590" max="14590" width="22.140625" style="14" bestFit="1" customWidth="1"/>
    <col min="14591" max="14591" width="24.140625" style="14" bestFit="1" customWidth="1"/>
    <col min="14592" max="14592" width="10.7109375" style="14" bestFit="1" customWidth="1"/>
    <col min="14593" max="14593" width="20" style="14" bestFit="1" customWidth="1"/>
    <col min="14594" max="14594" width="11.85546875" style="14" bestFit="1" customWidth="1"/>
    <col min="14595" max="14595" width="10.42578125" style="14" bestFit="1" customWidth="1"/>
    <col min="14596" max="14596" width="42.28515625" style="14" bestFit="1" customWidth="1"/>
    <col min="14597" max="14597" width="13.5703125" style="14" bestFit="1" customWidth="1"/>
    <col min="14598" max="14598" width="7.7109375" style="14" bestFit="1" customWidth="1"/>
    <col min="14599" max="14599" width="10.7109375" style="14" bestFit="1" customWidth="1"/>
    <col min="14600" max="14600" width="9.28515625" style="14" bestFit="1" customWidth="1"/>
    <col min="14601" max="14601" width="8.7109375" style="14" bestFit="1" customWidth="1"/>
    <col min="14602" max="14840" width="9.140625" style="14"/>
    <col min="14841" max="14841" width="4.42578125" style="14" bestFit="1" customWidth="1"/>
    <col min="14842" max="14842" width="13.85546875" style="14" bestFit="1" customWidth="1"/>
    <col min="14843" max="14843" width="11.28515625" style="14" bestFit="1" customWidth="1"/>
    <col min="14844" max="14844" width="14.5703125" style="14" bestFit="1" customWidth="1"/>
    <col min="14845" max="14845" width="4.5703125" style="14" bestFit="1" customWidth="1"/>
    <col min="14846" max="14846" width="22.140625" style="14" bestFit="1" customWidth="1"/>
    <col min="14847" max="14847" width="24.140625" style="14" bestFit="1" customWidth="1"/>
    <col min="14848" max="14848" width="10.7109375" style="14" bestFit="1" customWidth="1"/>
    <col min="14849" max="14849" width="20" style="14" bestFit="1" customWidth="1"/>
    <col min="14850" max="14850" width="11.85546875" style="14" bestFit="1" customWidth="1"/>
    <col min="14851" max="14851" width="10.42578125" style="14" bestFit="1" customWidth="1"/>
    <col min="14852" max="14852" width="42.28515625" style="14" bestFit="1" customWidth="1"/>
    <col min="14853" max="14853" width="13.5703125" style="14" bestFit="1" customWidth="1"/>
    <col min="14854" max="14854" width="7.7109375" style="14" bestFit="1" customWidth="1"/>
    <col min="14855" max="14855" width="10.7109375" style="14" bestFit="1" customWidth="1"/>
    <col min="14856" max="14856" width="9.28515625" style="14" bestFit="1" customWidth="1"/>
    <col min="14857" max="14857" width="8.7109375" style="14" bestFit="1" customWidth="1"/>
    <col min="14858" max="15096" width="9.140625" style="14"/>
    <col min="15097" max="15097" width="4.42578125" style="14" bestFit="1" customWidth="1"/>
    <col min="15098" max="15098" width="13.85546875" style="14" bestFit="1" customWidth="1"/>
    <col min="15099" max="15099" width="11.28515625" style="14" bestFit="1" customWidth="1"/>
    <col min="15100" max="15100" width="14.5703125" style="14" bestFit="1" customWidth="1"/>
    <col min="15101" max="15101" width="4.5703125" style="14" bestFit="1" customWidth="1"/>
    <col min="15102" max="15102" width="22.140625" style="14" bestFit="1" customWidth="1"/>
    <col min="15103" max="15103" width="24.140625" style="14" bestFit="1" customWidth="1"/>
    <col min="15104" max="15104" width="10.7109375" style="14" bestFit="1" customWidth="1"/>
    <col min="15105" max="15105" width="20" style="14" bestFit="1" customWidth="1"/>
    <col min="15106" max="15106" width="11.85546875" style="14" bestFit="1" customWidth="1"/>
    <col min="15107" max="15107" width="10.42578125" style="14" bestFit="1" customWidth="1"/>
    <col min="15108" max="15108" width="42.28515625" style="14" bestFit="1" customWidth="1"/>
    <col min="15109" max="15109" width="13.5703125" style="14" bestFit="1" customWidth="1"/>
    <col min="15110" max="15110" width="7.7109375" style="14" bestFit="1" customWidth="1"/>
    <col min="15111" max="15111" width="10.7109375" style="14" bestFit="1" customWidth="1"/>
    <col min="15112" max="15112" width="9.28515625" style="14" bestFit="1" customWidth="1"/>
    <col min="15113" max="15113" width="8.7109375" style="14" bestFit="1" customWidth="1"/>
    <col min="15114" max="15352" width="9.140625" style="14"/>
    <col min="15353" max="15353" width="4.42578125" style="14" bestFit="1" customWidth="1"/>
    <col min="15354" max="15354" width="13.85546875" style="14" bestFit="1" customWidth="1"/>
    <col min="15355" max="15355" width="11.28515625" style="14" bestFit="1" customWidth="1"/>
    <col min="15356" max="15356" width="14.5703125" style="14" bestFit="1" customWidth="1"/>
    <col min="15357" max="15357" width="4.5703125" style="14" bestFit="1" customWidth="1"/>
    <col min="15358" max="15358" width="22.140625" style="14" bestFit="1" customWidth="1"/>
    <col min="15359" max="15359" width="24.140625" style="14" bestFit="1" customWidth="1"/>
    <col min="15360" max="15360" width="10.7109375" style="14" bestFit="1" customWidth="1"/>
    <col min="15361" max="15361" width="20" style="14" bestFit="1" customWidth="1"/>
    <col min="15362" max="15362" width="11.85546875" style="14" bestFit="1" customWidth="1"/>
    <col min="15363" max="15363" width="10.42578125" style="14" bestFit="1" customWidth="1"/>
    <col min="15364" max="15364" width="42.28515625" style="14" bestFit="1" customWidth="1"/>
    <col min="15365" max="15365" width="13.5703125" style="14" bestFit="1" customWidth="1"/>
    <col min="15366" max="15366" width="7.7109375" style="14" bestFit="1" customWidth="1"/>
    <col min="15367" max="15367" width="10.7109375" style="14" bestFit="1" customWidth="1"/>
    <col min="15368" max="15368" width="9.28515625" style="14" bestFit="1" customWidth="1"/>
    <col min="15369" max="15369" width="8.7109375" style="14" bestFit="1" customWidth="1"/>
    <col min="15370" max="15608" width="9.140625" style="14"/>
    <col min="15609" max="15609" width="4.42578125" style="14" bestFit="1" customWidth="1"/>
    <col min="15610" max="15610" width="13.85546875" style="14" bestFit="1" customWidth="1"/>
    <col min="15611" max="15611" width="11.28515625" style="14" bestFit="1" customWidth="1"/>
    <col min="15612" max="15612" width="14.5703125" style="14" bestFit="1" customWidth="1"/>
    <col min="15613" max="15613" width="4.5703125" style="14" bestFit="1" customWidth="1"/>
    <col min="15614" max="15614" width="22.140625" style="14" bestFit="1" customWidth="1"/>
    <col min="15615" max="15615" width="24.140625" style="14" bestFit="1" customWidth="1"/>
    <col min="15616" max="15616" width="10.7109375" style="14" bestFit="1" customWidth="1"/>
    <col min="15617" max="15617" width="20" style="14" bestFit="1" customWidth="1"/>
    <col min="15618" max="15618" width="11.85546875" style="14" bestFit="1" customWidth="1"/>
    <col min="15619" max="15619" width="10.42578125" style="14" bestFit="1" customWidth="1"/>
    <col min="15620" max="15620" width="42.28515625" style="14" bestFit="1" customWidth="1"/>
    <col min="15621" max="15621" width="13.5703125" style="14" bestFit="1" customWidth="1"/>
    <col min="15622" max="15622" width="7.7109375" style="14" bestFit="1" customWidth="1"/>
    <col min="15623" max="15623" width="10.7109375" style="14" bestFit="1" customWidth="1"/>
    <col min="15624" max="15624" width="9.28515625" style="14" bestFit="1" customWidth="1"/>
    <col min="15625" max="15625" width="8.7109375" style="14" bestFit="1" customWidth="1"/>
    <col min="15626" max="15864" width="9.140625" style="14"/>
    <col min="15865" max="15865" width="4.42578125" style="14" bestFit="1" customWidth="1"/>
    <col min="15866" max="15866" width="13.85546875" style="14" bestFit="1" customWidth="1"/>
    <col min="15867" max="15867" width="11.28515625" style="14" bestFit="1" customWidth="1"/>
    <col min="15868" max="15868" width="14.5703125" style="14" bestFit="1" customWidth="1"/>
    <col min="15869" max="15869" width="4.5703125" style="14" bestFit="1" customWidth="1"/>
    <col min="15870" max="15870" width="22.140625" style="14" bestFit="1" customWidth="1"/>
    <col min="15871" max="15871" width="24.140625" style="14" bestFit="1" customWidth="1"/>
    <col min="15872" max="15872" width="10.7109375" style="14" bestFit="1" customWidth="1"/>
    <col min="15873" max="15873" width="20" style="14" bestFit="1" customWidth="1"/>
    <col min="15874" max="15874" width="11.85546875" style="14" bestFit="1" customWidth="1"/>
    <col min="15875" max="15875" width="10.42578125" style="14" bestFit="1" customWidth="1"/>
    <col min="15876" max="15876" width="42.28515625" style="14" bestFit="1" customWidth="1"/>
    <col min="15877" max="15877" width="13.5703125" style="14" bestFit="1" customWidth="1"/>
    <col min="15878" max="15878" width="7.7109375" style="14" bestFit="1" customWidth="1"/>
    <col min="15879" max="15879" width="10.7109375" style="14" bestFit="1" customWidth="1"/>
    <col min="15880" max="15880" width="9.28515625" style="14" bestFit="1" customWidth="1"/>
    <col min="15881" max="15881" width="8.7109375" style="14" bestFit="1" customWidth="1"/>
    <col min="15882" max="16120" width="9.140625" style="14"/>
    <col min="16121" max="16121" width="4.42578125" style="14" bestFit="1" customWidth="1"/>
    <col min="16122" max="16122" width="13.85546875" style="14" bestFit="1" customWidth="1"/>
    <col min="16123" max="16123" width="11.28515625" style="14" bestFit="1" customWidth="1"/>
    <col min="16124" max="16124" width="14.5703125" style="14" bestFit="1" customWidth="1"/>
    <col min="16125" max="16125" width="4.5703125" style="14" bestFit="1" customWidth="1"/>
    <col min="16126" max="16126" width="22.140625" style="14" bestFit="1" customWidth="1"/>
    <col min="16127" max="16127" width="24.140625" style="14" bestFit="1" customWidth="1"/>
    <col min="16128" max="16128" width="10.7109375" style="14" bestFit="1" customWidth="1"/>
    <col min="16129" max="16129" width="20" style="14" bestFit="1" customWidth="1"/>
    <col min="16130" max="16130" width="11.85546875" style="14" bestFit="1" customWidth="1"/>
    <col min="16131" max="16131" width="10.42578125" style="14" bestFit="1" customWidth="1"/>
    <col min="16132" max="16132" width="42.28515625" style="14" bestFit="1" customWidth="1"/>
    <col min="16133" max="16133" width="13.5703125" style="14" bestFit="1" customWidth="1"/>
    <col min="16134" max="16134" width="7.7109375" style="14" bestFit="1" customWidth="1"/>
    <col min="16135" max="16135" width="10.7109375" style="14" bestFit="1" customWidth="1"/>
    <col min="16136" max="16136" width="9.28515625" style="14" bestFit="1" customWidth="1"/>
    <col min="16137" max="16137" width="8.7109375" style="14" bestFit="1" customWidth="1"/>
    <col min="16138" max="16384" width="9.140625" style="14"/>
  </cols>
  <sheetData>
    <row r="1" spans="1:9" x14ac:dyDescent="0.2">
      <c r="A1" s="10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0</v>
      </c>
      <c r="I1" s="11" t="s">
        <v>37</v>
      </c>
    </row>
    <row r="2" spans="1:9" x14ac:dyDescent="0.2">
      <c r="H2" s="14" t="s">
        <v>584</v>
      </c>
      <c r="I2" s="14" t="s">
        <v>63</v>
      </c>
    </row>
    <row r="3" spans="1:9" x14ac:dyDescent="0.2">
      <c r="H3" s="14" t="s">
        <v>586</v>
      </c>
    </row>
    <row r="5" spans="1:9" x14ac:dyDescent="0.2">
      <c r="A5" s="10" t="s">
        <v>30</v>
      </c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 t="s">
        <v>36</v>
      </c>
      <c r="H5" s="11" t="s">
        <v>0</v>
      </c>
      <c r="I5" s="11" t="s">
        <v>37</v>
      </c>
    </row>
    <row r="6" spans="1:9" ht="15" x14ac:dyDescent="0.25">
      <c r="A6" s="15" t="s">
        <v>46</v>
      </c>
      <c r="B6" s="14" t="s">
        <v>47</v>
      </c>
      <c r="C6" s="14" t="s">
        <v>48</v>
      </c>
      <c r="D6" s="14" t="s">
        <v>49</v>
      </c>
      <c r="E6" s="16" t="s">
        <v>50</v>
      </c>
      <c r="F6" s="14" t="s">
        <v>51</v>
      </c>
      <c r="G6" s="14" t="s">
        <v>52</v>
      </c>
      <c r="H6" s="17">
        <v>5418.9394766711184</v>
      </c>
      <c r="I6" s="14" t="s">
        <v>53</v>
      </c>
    </row>
    <row r="7" spans="1:9" ht="15" x14ac:dyDescent="0.25">
      <c r="A7" s="15" t="s">
        <v>58</v>
      </c>
      <c r="B7" s="14" t="s">
        <v>59</v>
      </c>
      <c r="C7" s="14" t="s">
        <v>60</v>
      </c>
      <c r="D7" s="14" t="s">
        <v>61</v>
      </c>
      <c r="E7" s="16" t="s">
        <v>50</v>
      </c>
      <c r="F7" s="14" t="s">
        <v>51</v>
      </c>
      <c r="G7" s="14" t="s">
        <v>62</v>
      </c>
      <c r="H7" s="17">
        <v>12707.398332184133</v>
      </c>
      <c r="I7" s="14" t="s">
        <v>63</v>
      </c>
    </row>
    <row r="8" spans="1:9" ht="15" hidden="1" x14ac:dyDescent="0.25">
      <c r="A8" s="15" t="s">
        <v>66</v>
      </c>
      <c r="B8" s="14" t="s">
        <v>67</v>
      </c>
      <c r="C8" s="14" t="s">
        <v>68</v>
      </c>
      <c r="D8" s="14" t="s">
        <v>69</v>
      </c>
      <c r="E8" s="16" t="s">
        <v>50</v>
      </c>
      <c r="F8" s="14" t="s">
        <v>51</v>
      </c>
      <c r="G8" s="14" t="s">
        <v>70</v>
      </c>
      <c r="H8" s="17">
        <v>7041.4857976093836</v>
      </c>
      <c r="I8" s="14" t="s">
        <v>63</v>
      </c>
    </row>
    <row r="9" spans="1:9" ht="15" hidden="1" x14ac:dyDescent="0.25">
      <c r="A9" s="15" t="s">
        <v>75</v>
      </c>
      <c r="B9" s="14" t="s">
        <v>76</v>
      </c>
      <c r="C9" s="14" t="s">
        <v>77</v>
      </c>
      <c r="D9" s="14" t="s">
        <v>78</v>
      </c>
      <c r="E9" s="16" t="s">
        <v>50</v>
      </c>
      <c r="F9" s="14" t="s">
        <v>51</v>
      </c>
      <c r="G9" s="14" t="s">
        <v>79</v>
      </c>
      <c r="H9" s="17">
        <v>9017.0352559581006</v>
      </c>
      <c r="I9" s="14" t="s">
        <v>53</v>
      </c>
    </row>
    <row r="10" spans="1:9" ht="15" hidden="1" x14ac:dyDescent="0.25">
      <c r="A10" s="15" t="s">
        <v>83</v>
      </c>
      <c r="B10" s="14" t="s">
        <v>84</v>
      </c>
      <c r="C10" s="14" t="s">
        <v>85</v>
      </c>
      <c r="D10" s="14" t="s">
        <v>86</v>
      </c>
      <c r="E10" s="16" t="s">
        <v>87</v>
      </c>
      <c r="F10" s="14" t="s">
        <v>51</v>
      </c>
      <c r="G10" s="14" t="s">
        <v>88</v>
      </c>
      <c r="H10" s="17">
        <v>9510.0582876089993</v>
      </c>
      <c r="I10" s="14" t="s">
        <v>53</v>
      </c>
    </row>
    <row r="11" spans="1:9" ht="15" hidden="1" x14ac:dyDescent="0.25">
      <c r="A11" s="15" t="s">
        <v>92</v>
      </c>
      <c r="B11" s="14" t="s">
        <v>93</v>
      </c>
      <c r="C11" s="14" t="s">
        <v>94</v>
      </c>
      <c r="D11" s="14" t="s">
        <v>95</v>
      </c>
      <c r="E11" s="16" t="s">
        <v>87</v>
      </c>
      <c r="F11" s="14" t="s">
        <v>51</v>
      </c>
      <c r="G11" s="14" t="s">
        <v>52</v>
      </c>
      <c r="H11" s="17">
        <v>7191.8240266017674</v>
      </c>
      <c r="I11" s="14" t="s">
        <v>53</v>
      </c>
    </row>
    <row r="12" spans="1:9" ht="15" hidden="1" x14ac:dyDescent="0.25">
      <c r="A12" s="15" t="s">
        <v>99</v>
      </c>
      <c r="B12" s="14" t="s">
        <v>100</v>
      </c>
      <c r="C12" s="14" t="s">
        <v>101</v>
      </c>
      <c r="D12" s="14" t="s">
        <v>102</v>
      </c>
      <c r="E12" s="16" t="s">
        <v>50</v>
      </c>
      <c r="F12" s="14" t="s">
        <v>103</v>
      </c>
      <c r="G12" s="14" t="s">
        <v>104</v>
      </c>
      <c r="H12" s="17">
        <v>6209.8910488522833</v>
      </c>
      <c r="I12" s="14" t="s">
        <v>53</v>
      </c>
    </row>
    <row r="13" spans="1:9" ht="15" x14ac:dyDescent="0.25">
      <c r="A13" s="15" t="s">
        <v>107</v>
      </c>
      <c r="B13" s="14" t="s">
        <v>5</v>
      </c>
      <c r="C13" s="14" t="s">
        <v>108</v>
      </c>
      <c r="D13" s="14" t="s">
        <v>109</v>
      </c>
      <c r="E13" s="16" t="s">
        <v>87</v>
      </c>
      <c r="F13" s="14" t="s">
        <v>103</v>
      </c>
      <c r="G13" s="14" t="s">
        <v>110</v>
      </c>
      <c r="H13" s="17">
        <v>14613.372183667399</v>
      </c>
      <c r="I13" s="14" t="s">
        <v>63</v>
      </c>
    </row>
    <row r="14" spans="1:9" ht="15" x14ac:dyDescent="0.25">
      <c r="A14" s="15" t="s">
        <v>114</v>
      </c>
      <c r="B14" s="14" t="s">
        <v>115</v>
      </c>
      <c r="C14" s="14" t="s">
        <v>85</v>
      </c>
      <c r="D14" s="14" t="s">
        <v>116</v>
      </c>
      <c r="E14" s="16" t="s">
        <v>87</v>
      </c>
      <c r="F14" s="14" t="s">
        <v>103</v>
      </c>
      <c r="G14" s="14" t="s">
        <v>117</v>
      </c>
      <c r="H14" s="17">
        <v>13587.3733966329</v>
      </c>
      <c r="I14" s="14" t="s">
        <v>63</v>
      </c>
    </row>
    <row r="15" spans="1:9" ht="15" x14ac:dyDescent="0.25">
      <c r="A15" s="15" t="s">
        <v>121</v>
      </c>
      <c r="B15" s="14" t="s">
        <v>122</v>
      </c>
      <c r="C15" s="14" t="s">
        <v>123</v>
      </c>
      <c r="D15" s="14" t="s">
        <v>124</v>
      </c>
      <c r="E15" s="16" t="s">
        <v>50</v>
      </c>
      <c r="F15" s="14" t="s">
        <v>103</v>
      </c>
      <c r="G15" s="14" t="s">
        <v>125</v>
      </c>
      <c r="H15" s="17">
        <v>15190.4570729188</v>
      </c>
      <c r="I15" s="14" t="s">
        <v>63</v>
      </c>
    </row>
    <row r="16" spans="1:9" ht="15" hidden="1" x14ac:dyDescent="0.25">
      <c r="A16" s="15" t="s">
        <v>130</v>
      </c>
      <c r="B16" s="14" t="s">
        <v>131</v>
      </c>
      <c r="C16" s="14" t="s">
        <v>132</v>
      </c>
      <c r="D16" s="14" t="s">
        <v>69</v>
      </c>
      <c r="E16" s="16" t="s">
        <v>50</v>
      </c>
      <c r="F16" s="14" t="s">
        <v>103</v>
      </c>
      <c r="G16" s="14" t="s">
        <v>133</v>
      </c>
      <c r="H16" s="17">
        <v>12169.6033781476</v>
      </c>
      <c r="I16" s="14" t="s">
        <v>134</v>
      </c>
    </row>
    <row r="17" spans="1:9" ht="15" hidden="1" x14ac:dyDescent="0.25">
      <c r="A17" s="15" t="s">
        <v>139</v>
      </c>
      <c r="B17" s="14" t="s">
        <v>140</v>
      </c>
      <c r="C17" s="14" t="s">
        <v>141</v>
      </c>
      <c r="D17" s="14" t="s">
        <v>142</v>
      </c>
      <c r="E17" s="16" t="s">
        <v>87</v>
      </c>
      <c r="F17" s="14" t="s">
        <v>143</v>
      </c>
      <c r="G17" s="14" t="s">
        <v>144</v>
      </c>
      <c r="H17" s="17">
        <v>11744.058764424301</v>
      </c>
      <c r="I17" s="14" t="s">
        <v>134</v>
      </c>
    </row>
    <row r="18" spans="1:9" ht="15" x14ac:dyDescent="0.25">
      <c r="A18" s="15" t="s">
        <v>149</v>
      </c>
      <c r="B18" s="14" t="s">
        <v>150</v>
      </c>
      <c r="C18" s="14" t="s">
        <v>132</v>
      </c>
      <c r="D18" s="14" t="s">
        <v>151</v>
      </c>
      <c r="E18" s="16" t="s">
        <v>50</v>
      </c>
      <c r="F18" s="14" t="s">
        <v>143</v>
      </c>
      <c r="G18" s="14" t="s">
        <v>152</v>
      </c>
      <c r="H18" s="17">
        <v>10687.814774165099</v>
      </c>
      <c r="I18" s="14" t="s">
        <v>63</v>
      </c>
    </row>
    <row r="19" spans="1:9" ht="15" x14ac:dyDescent="0.25">
      <c r="A19" s="15" t="s">
        <v>157</v>
      </c>
      <c r="B19" s="14" t="s">
        <v>158</v>
      </c>
      <c r="C19" s="14" t="s">
        <v>159</v>
      </c>
      <c r="D19" s="14" t="s">
        <v>160</v>
      </c>
      <c r="E19" s="16" t="s">
        <v>50</v>
      </c>
      <c r="F19" s="14" t="s">
        <v>161</v>
      </c>
      <c r="G19" s="14" t="s">
        <v>162</v>
      </c>
      <c r="H19" s="17">
        <v>10721.362397126901</v>
      </c>
      <c r="I19" s="14" t="s">
        <v>63</v>
      </c>
    </row>
    <row r="20" spans="1:9" ht="15" hidden="1" x14ac:dyDescent="0.25">
      <c r="A20" s="15" t="s">
        <v>166</v>
      </c>
      <c r="B20" s="14" t="s">
        <v>167</v>
      </c>
      <c r="C20" s="14" t="s">
        <v>168</v>
      </c>
      <c r="D20" s="14" t="s">
        <v>69</v>
      </c>
      <c r="E20" s="16" t="s">
        <v>50</v>
      </c>
      <c r="F20" s="14" t="s">
        <v>161</v>
      </c>
      <c r="G20" s="14" t="s">
        <v>169</v>
      </c>
      <c r="H20" s="17">
        <v>6801.3577514660437</v>
      </c>
      <c r="I20" s="14" t="s">
        <v>53</v>
      </c>
    </row>
    <row r="21" spans="1:9" ht="15" hidden="1" x14ac:dyDescent="0.25">
      <c r="A21" s="15" t="s">
        <v>171</v>
      </c>
      <c r="B21" s="14" t="s">
        <v>172</v>
      </c>
      <c r="C21" s="14" t="s">
        <v>173</v>
      </c>
      <c r="D21" s="14" t="s">
        <v>174</v>
      </c>
      <c r="E21" s="16" t="s">
        <v>50</v>
      </c>
      <c r="F21" s="14" t="s">
        <v>161</v>
      </c>
      <c r="G21" s="14" t="s">
        <v>175</v>
      </c>
      <c r="H21" s="17">
        <v>12416.518764765749</v>
      </c>
      <c r="I21" s="14" t="s">
        <v>53</v>
      </c>
    </row>
    <row r="22" spans="1:9" ht="15" hidden="1" x14ac:dyDescent="0.25">
      <c r="A22" s="15" t="s">
        <v>178</v>
      </c>
      <c r="B22" s="14" t="s">
        <v>179</v>
      </c>
      <c r="C22" s="14" t="s">
        <v>60</v>
      </c>
      <c r="D22" s="14" t="s">
        <v>102</v>
      </c>
      <c r="E22" s="16" t="s">
        <v>50</v>
      </c>
      <c r="F22" s="14" t="s">
        <v>161</v>
      </c>
      <c r="G22" s="14" t="s">
        <v>169</v>
      </c>
      <c r="H22" s="17">
        <v>6990.5973601102469</v>
      </c>
      <c r="I22" s="14" t="s">
        <v>180</v>
      </c>
    </row>
    <row r="23" spans="1:9" ht="15" hidden="1" x14ac:dyDescent="0.25">
      <c r="A23" s="15" t="s">
        <v>183</v>
      </c>
      <c r="B23" s="14" t="s">
        <v>184</v>
      </c>
      <c r="C23" s="14" t="s">
        <v>185</v>
      </c>
      <c r="D23" s="14" t="s">
        <v>186</v>
      </c>
      <c r="E23" s="16" t="s">
        <v>50</v>
      </c>
      <c r="F23" s="14" t="s">
        <v>161</v>
      </c>
      <c r="G23" s="14" t="s">
        <v>187</v>
      </c>
      <c r="H23" s="17">
        <v>9729.7852775936954</v>
      </c>
      <c r="I23" s="14" t="s">
        <v>53</v>
      </c>
    </row>
    <row r="24" spans="1:9" ht="15" x14ac:dyDescent="0.25">
      <c r="A24" s="15" t="s">
        <v>190</v>
      </c>
      <c r="B24" s="14" t="s">
        <v>191</v>
      </c>
      <c r="C24" s="14" t="s">
        <v>192</v>
      </c>
      <c r="D24" s="14" t="s">
        <v>49</v>
      </c>
      <c r="E24" s="16" t="s">
        <v>50</v>
      </c>
      <c r="F24" s="14" t="s">
        <v>161</v>
      </c>
      <c r="G24" s="14" t="s">
        <v>193</v>
      </c>
      <c r="H24" s="17">
        <v>11788.046787464711</v>
      </c>
      <c r="I24" s="14" t="s">
        <v>63</v>
      </c>
    </row>
    <row r="25" spans="1:9" ht="15" hidden="1" x14ac:dyDescent="0.25">
      <c r="A25" s="15" t="s">
        <v>196</v>
      </c>
      <c r="B25" s="14" t="s">
        <v>197</v>
      </c>
      <c r="C25" s="14" t="s">
        <v>132</v>
      </c>
      <c r="D25" s="14" t="s">
        <v>198</v>
      </c>
      <c r="E25" s="16" t="s">
        <v>50</v>
      </c>
      <c r="F25" s="14" t="s">
        <v>161</v>
      </c>
      <c r="G25" s="14" t="s">
        <v>199</v>
      </c>
      <c r="H25" s="17">
        <v>8592.4044860840258</v>
      </c>
      <c r="I25" s="14" t="s">
        <v>53</v>
      </c>
    </row>
    <row r="26" spans="1:9" ht="15" hidden="1" x14ac:dyDescent="0.25">
      <c r="A26" s="15" t="s">
        <v>202</v>
      </c>
      <c r="B26" s="14" t="s">
        <v>203</v>
      </c>
      <c r="C26" s="14" t="s">
        <v>68</v>
      </c>
      <c r="D26" s="14" t="s">
        <v>78</v>
      </c>
      <c r="E26" s="16" t="s">
        <v>50</v>
      </c>
      <c r="F26" s="14" t="s">
        <v>161</v>
      </c>
      <c r="G26" s="14" t="s">
        <v>199</v>
      </c>
      <c r="H26" s="17">
        <v>6318.3004549578254</v>
      </c>
      <c r="I26" s="14" t="s">
        <v>53</v>
      </c>
    </row>
    <row r="27" spans="1:9" ht="15" hidden="1" x14ac:dyDescent="0.25">
      <c r="A27" s="15" t="s">
        <v>206</v>
      </c>
      <c r="B27" s="14" t="s">
        <v>207</v>
      </c>
      <c r="C27" s="14" t="s">
        <v>208</v>
      </c>
      <c r="D27" s="14" t="s">
        <v>124</v>
      </c>
      <c r="E27" s="16" t="s">
        <v>50</v>
      </c>
      <c r="F27" s="14" t="s">
        <v>161</v>
      </c>
      <c r="G27" s="14" t="s">
        <v>209</v>
      </c>
      <c r="H27" s="17">
        <v>9118.718256106542</v>
      </c>
      <c r="I27" s="14" t="s">
        <v>53</v>
      </c>
    </row>
    <row r="28" spans="1:9" ht="15" x14ac:dyDescent="0.25">
      <c r="A28" s="15" t="s">
        <v>212</v>
      </c>
      <c r="B28" s="14" t="s">
        <v>213</v>
      </c>
      <c r="C28" s="14" t="s">
        <v>185</v>
      </c>
      <c r="D28" s="14" t="s">
        <v>151</v>
      </c>
      <c r="E28" s="16" t="s">
        <v>50</v>
      </c>
      <c r="F28" s="14" t="s">
        <v>161</v>
      </c>
      <c r="G28" s="14" t="s">
        <v>187</v>
      </c>
      <c r="H28" s="17">
        <v>12649.177735950938</v>
      </c>
      <c r="I28" s="14" t="s">
        <v>63</v>
      </c>
    </row>
    <row r="29" spans="1:9" ht="15" hidden="1" x14ac:dyDescent="0.25">
      <c r="A29" s="15" t="s">
        <v>218</v>
      </c>
      <c r="B29" s="14" t="s">
        <v>219</v>
      </c>
      <c r="C29" s="14" t="s">
        <v>220</v>
      </c>
      <c r="D29" s="14" t="s">
        <v>124</v>
      </c>
      <c r="E29" s="16" t="s">
        <v>50</v>
      </c>
      <c r="F29" s="14" t="s">
        <v>161</v>
      </c>
      <c r="G29" s="14" t="s">
        <v>175</v>
      </c>
      <c r="H29" s="17">
        <v>9575.1729492277009</v>
      </c>
      <c r="I29" s="14" t="s">
        <v>180</v>
      </c>
    </row>
    <row r="30" spans="1:9" ht="15" hidden="1" x14ac:dyDescent="0.25">
      <c r="A30" s="15" t="s">
        <v>223</v>
      </c>
      <c r="B30" s="14" t="s">
        <v>224</v>
      </c>
      <c r="C30" s="14" t="s">
        <v>132</v>
      </c>
      <c r="D30" s="14" t="s">
        <v>225</v>
      </c>
      <c r="E30" s="16" t="s">
        <v>50</v>
      </c>
      <c r="F30" s="14" t="s">
        <v>161</v>
      </c>
      <c r="G30" s="14" t="s">
        <v>187</v>
      </c>
      <c r="H30" s="17">
        <v>9186.8043650826003</v>
      </c>
      <c r="I30" s="14" t="s">
        <v>180</v>
      </c>
    </row>
    <row r="31" spans="1:9" ht="15" x14ac:dyDescent="0.25">
      <c r="A31" s="15" t="s">
        <v>229</v>
      </c>
      <c r="B31" s="14" t="s">
        <v>230</v>
      </c>
      <c r="C31" s="14" t="s">
        <v>231</v>
      </c>
      <c r="D31" s="14" t="s">
        <v>142</v>
      </c>
      <c r="E31" s="16" t="s">
        <v>87</v>
      </c>
      <c r="F31" s="14" t="s">
        <v>161</v>
      </c>
      <c r="G31" s="14" t="s">
        <v>144</v>
      </c>
      <c r="H31" s="17">
        <v>13552.180889683978</v>
      </c>
      <c r="I31" s="14" t="s">
        <v>63</v>
      </c>
    </row>
    <row r="32" spans="1:9" ht="15" x14ac:dyDescent="0.25">
      <c r="A32" s="15" t="s">
        <v>235</v>
      </c>
      <c r="B32" s="14" t="s">
        <v>236</v>
      </c>
      <c r="C32" s="14" t="s">
        <v>237</v>
      </c>
      <c r="D32" s="14" t="s">
        <v>238</v>
      </c>
      <c r="E32" s="16" t="s">
        <v>87</v>
      </c>
      <c r="F32" s="14" t="s">
        <v>161</v>
      </c>
      <c r="G32" s="14" t="s">
        <v>239</v>
      </c>
      <c r="H32" s="17">
        <v>11129.8708790295</v>
      </c>
      <c r="I32" s="14" t="s">
        <v>63</v>
      </c>
    </row>
    <row r="33" spans="1:9" ht="15" hidden="1" x14ac:dyDescent="0.25">
      <c r="A33" s="15" t="s">
        <v>243</v>
      </c>
      <c r="B33" s="14" t="s">
        <v>244</v>
      </c>
      <c r="C33" s="14" t="s">
        <v>108</v>
      </c>
      <c r="D33" s="14" t="s">
        <v>238</v>
      </c>
      <c r="E33" s="16" t="s">
        <v>87</v>
      </c>
      <c r="F33" s="14" t="s">
        <v>143</v>
      </c>
      <c r="G33" s="14" t="s">
        <v>245</v>
      </c>
      <c r="H33" s="17">
        <v>6741.1748858595456</v>
      </c>
      <c r="I33" s="14" t="s">
        <v>53</v>
      </c>
    </row>
    <row r="34" spans="1:9" ht="15" x14ac:dyDescent="0.25">
      <c r="A34" s="15" t="s">
        <v>249</v>
      </c>
      <c r="B34" s="14" t="s">
        <v>250</v>
      </c>
      <c r="C34" s="14" t="s">
        <v>251</v>
      </c>
      <c r="D34" s="14" t="s">
        <v>252</v>
      </c>
      <c r="E34" s="16" t="s">
        <v>87</v>
      </c>
      <c r="F34" s="14" t="s">
        <v>143</v>
      </c>
      <c r="G34" s="14" t="s">
        <v>253</v>
      </c>
      <c r="H34" s="17">
        <v>12924.048181149799</v>
      </c>
      <c r="I34" s="14" t="s">
        <v>63</v>
      </c>
    </row>
    <row r="35" spans="1:9" ht="15" hidden="1" x14ac:dyDescent="0.25">
      <c r="A35" s="15" t="s">
        <v>256</v>
      </c>
      <c r="B35" s="14" t="s">
        <v>257</v>
      </c>
      <c r="C35" s="14" t="s">
        <v>258</v>
      </c>
      <c r="D35" s="14" t="s">
        <v>259</v>
      </c>
      <c r="E35" s="16" t="s">
        <v>50</v>
      </c>
      <c r="F35" s="14" t="s">
        <v>143</v>
      </c>
      <c r="G35" s="14" t="s">
        <v>104</v>
      </c>
      <c r="H35" s="17">
        <v>11395.712607802161</v>
      </c>
      <c r="I35" s="14" t="s">
        <v>134</v>
      </c>
    </row>
    <row r="36" spans="1:9" ht="15" hidden="1" x14ac:dyDescent="0.25">
      <c r="A36" s="15" t="s">
        <v>264</v>
      </c>
      <c r="B36" s="14" t="s">
        <v>265</v>
      </c>
      <c r="C36" s="14" t="s">
        <v>266</v>
      </c>
      <c r="D36" s="14" t="s">
        <v>267</v>
      </c>
      <c r="E36" s="16" t="s">
        <v>87</v>
      </c>
      <c r="F36" s="14" t="s">
        <v>268</v>
      </c>
      <c r="G36" s="14" t="s">
        <v>144</v>
      </c>
      <c r="H36" s="17">
        <v>10238.0106795096</v>
      </c>
      <c r="I36" s="14" t="s">
        <v>134</v>
      </c>
    </row>
    <row r="37" spans="1:9" ht="15" hidden="1" x14ac:dyDescent="0.25">
      <c r="A37" s="15" t="s">
        <v>273</v>
      </c>
      <c r="B37" s="14" t="s">
        <v>274</v>
      </c>
      <c r="C37" s="14" t="s">
        <v>266</v>
      </c>
      <c r="D37" s="14" t="s">
        <v>95</v>
      </c>
      <c r="E37" s="16" t="s">
        <v>87</v>
      </c>
      <c r="F37" s="14" t="s">
        <v>268</v>
      </c>
      <c r="G37" s="14" t="s">
        <v>275</v>
      </c>
      <c r="H37" s="17">
        <v>10389.8779733723</v>
      </c>
      <c r="I37" s="14" t="s">
        <v>53</v>
      </c>
    </row>
    <row r="38" spans="1:9" ht="15" x14ac:dyDescent="0.25">
      <c r="A38" s="15" t="s">
        <v>280</v>
      </c>
      <c r="B38" s="14" t="s">
        <v>281</v>
      </c>
      <c r="C38" s="14" t="s">
        <v>94</v>
      </c>
      <c r="D38" s="14" t="s">
        <v>282</v>
      </c>
      <c r="E38" s="16" t="s">
        <v>87</v>
      </c>
      <c r="F38" s="14" t="s">
        <v>268</v>
      </c>
      <c r="G38" s="14" t="s">
        <v>253</v>
      </c>
      <c r="H38" s="17">
        <v>11142.1670754684</v>
      </c>
      <c r="I38" s="14" t="s">
        <v>63</v>
      </c>
    </row>
    <row r="39" spans="1:9" ht="15" x14ac:dyDescent="0.25">
      <c r="A39" s="15" t="s">
        <v>285</v>
      </c>
      <c r="B39" s="14" t="s">
        <v>286</v>
      </c>
      <c r="C39" s="14" t="s">
        <v>287</v>
      </c>
      <c r="D39" s="14" t="s">
        <v>288</v>
      </c>
      <c r="E39" s="16" t="s">
        <v>50</v>
      </c>
      <c r="F39" s="14" t="s">
        <v>289</v>
      </c>
      <c r="G39" s="14" t="s">
        <v>239</v>
      </c>
      <c r="H39" s="17">
        <v>11477.095535836535</v>
      </c>
      <c r="I39" s="14" t="s">
        <v>63</v>
      </c>
    </row>
    <row r="40" spans="1:9" ht="15" x14ac:dyDescent="0.25">
      <c r="A40" s="15" t="s">
        <v>293</v>
      </c>
      <c r="B40" s="14" t="s">
        <v>294</v>
      </c>
      <c r="C40" s="14" t="s">
        <v>68</v>
      </c>
      <c r="D40" s="14" t="s">
        <v>124</v>
      </c>
      <c r="E40" s="16" t="s">
        <v>50</v>
      </c>
      <c r="F40" s="14" t="s">
        <v>289</v>
      </c>
      <c r="G40" s="14" t="s">
        <v>239</v>
      </c>
      <c r="H40" s="17">
        <v>5742.2490484559476</v>
      </c>
      <c r="I40" s="14" t="s">
        <v>63</v>
      </c>
    </row>
    <row r="41" spans="1:9" ht="15" hidden="1" x14ac:dyDescent="0.25">
      <c r="A41" s="15" t="s">
        <v>297</v>
      </c>
      <c r="B41" s="14" t="s">
        <v>298</v>
      </c>
      <c r="C41" s="14" t="s">
        <v>299</v>
      </c>
      <c r="D41" s="14" t="s">
        <v>300</v>
      </c>
      <c r="E41" s="16" t="s">
        <v>50</v>
      </c>
      <c r="F41" s="14" t="s">
        <v>289</v>
      </c>
      <c r="G41" s="14" t="s">
        <v>144</v>
      </c>
      <c r="H41" s="17">
        <v>8081.7875863473264</v>
      </c>
      <c r="I41" s="14" t="s">
        <v>134</v>
      </c>
    </row>
    <row r="42" spans="1:9" ht="15" hidden="1" x14ac:dyDescent="0.25">
      <c r="A42" s="15" t="s">
        <v>303</v>
      </c>
      <c r="B42" s="14" t="s">
        <v>304</v>
      </c>
      <c r="C42" s="14" t="s">
        <v>185</v>
      </c>
      <c r="D42" s="14" t="s">
        <v>305</v>
      </c>
      <c r="E42" s="16" t="s">
        <v>50</v>
      </c>
      <c r="F42" s="14" t="s">
        <v>289</v>
      </c>
      <c r="G42" s="14" t="s">
        <v>104</v>
      </c>
      <c r="H42" s="17">
        <v>7611.2957853310199</v>
      </c>
      <c r="I42" s="14" t="s">
        <v>134</v>
      </c>
    </row>
    <row r="43" spans="1:9" ht="15" x14ac:dyDescent="0.25">
      <c r="A43" s="15" t="s">
        <v>308</v>
      </c>
      <c r="B43" s="14" t="s">
        <v>309</v>
      </c>
      <c r="C43" s="14" t="s">
        <v>168</v>
      </c>
      <c r="D43" s="14" t="s">
        <v>310</v>
      </c>
      <c r="E43" s="16" t="s">
        <v>50</v>
      </c>
      <c r="F43" s="14" t="s">
        <v>289</v>
      </c>
      <c r="G43" s="14" t="s">
        <v>311</v>
      </c>
      <c r="H43" s="17">
        <v>14336.118175428066</v>
      </c>
      <c r="I43" s="14" t="s">
        <v>63</v>
      </c>
    </row>
    <row r="44" spans="1:9" ht="15" hidden="1" x14ac:dyDescent="0.25">
      <c r="A44" s="15" t="s">
        <v>314</v>
      </c>
      <c r="B44" s="14" t="s">
        <v>315</v>
      </c>
      <c r="C44" s="14" t="s">
        <v>316</v>
      </c>
      <c r="D44" s="14" t="s">
        <v>317</v>
      </c>
      <c r="E44" s="16" t="s">
        <v>50</v>
      </c>
      <c r="F44" s="14" t="s">
        <v>268</v>
      </c>
      <c r="G44" s="14" t="s">
        <v>104</v>
      </c>
      <c r="H44" s="17">
        <v>9406.7912250329755</v>
      </c>
      <c r="I44" s="14" t="s">
        <v>53</v>
      </c>
    </row>
    <row r="45" spans="1:9" ht="15" hidden="1" x14ac:dyDescent="0.25">
      <c r="A45" s="15" t="s">
        <v>323</v>
      </c>
      <c r="B45" s="14" t="s">
        <v>324</v>
      </c>
      <c r="C45" s="14" t="s">
        <v>325</v>
      </c>
      <c r="D45" s="14" t="s">
        <v>326</v>
      </c>
      <c r="E45" s="16" t="s">
        <v>50</v>
      </c>
      <c r="F45" s="14" t="s">
        <v>268</v>
      </c>
      <c r="G45" s="14" t="s">
        <v>253</v>
      </c>
      <c r="H45" s="17">
        <v>10117.7278312244</v>
      </c>
      <c r="I45" s="14" t="s">
        <v>134</v>
      </c>
    </row>
    <row r="46" spans="1:9" ht="15" x14ac:dyDescent="0.25">
      <c r="A46" s="15" t="s">
        <v>329</v>
      </c>
      <c r="B46" s="14" t="s">
        <v>330</v>
      </c>
      <c r="C46" s="14" t="s">
        <v>331</v>
      </c>
      <c r="D46" s="14" t="s">
        <v>116</v>
      </c>
      <c r="E46" s="16" t="s">
        <v>87</v>
      </c>
      <c r="F46" s="14" t="s">
        <v>268</v>
      </c>
      <c r="G46" s="14" t="s">
        <v>311</v>
      </c>
      <c r="H46" s="17">
        <v>12247.747148017401</v>
      </c>
      <c r="I46" s="14" t="s">
        <v>63</v>
      </c>
    </row>
    <row r="47" spans="1:9" ht="15" hidden="1" x14ac:dyDescent="0.25">
      <c r="A47" s="15" t="s">
        <v>335</v>
      </c>
      <c r="B47" s="14" t="s">
        <v>336</v>
      </c>
      <c r="C47" s="14" t="s">
        <v>337</v>
      </c>
      <c r="D47" s="14" t="s">
        <v>225</v>
      </c>
      <c r="E47" s="16" t="s">
        <v>50</v>
      </c>
      <c r="F47" s="14" t="s">
        <v>338</v>
      </c>
      <c r="G47" s="14" t="s">
        <v>339</v>
      </c>
      <c r="H47" s="17">
        <v>8668.5274506055521</v>
      </c>
      <c r="I47" s="14" t="s">
        <v>180</v>
      </c>
    </row>
    <row r="48" spans="1:9" ht="15" hidden="1" x14ac:dyDescent="0.25">
      <c r="A48" s="15" t="s">
        <v>343</v>
      </c>
      <c r="B48" s="14" t="s">
        <v>344</v>
      </c>
      <c r="C48" s="14" t="s">
        <v>345</v>
      </c>
      <c r="D48" s="14" t="s">
        <v>346</v>
      </c>
      <c r="E48" s="16" t="s">
        <v>87</v>
      </c>
      <c r="F48" s="14" t="s">
        <v>338</v>
      </c>
      <c r="G48" s="14" t="s">
        <v>347</v>
      </c>
      <c r="H48" s="17">
        <v>11472.290380362065</v>
      </c>
      <c r="I48" s="14" t="s">
        <v>180</v>
      </c>
    </row>
    <row r="49" spans="1:9" ht="15" hidden="1" x14ac:dyDescent="0.25">
      <c r="A49" s="15" t="s">
        <v>350</v>
      </c>
      <c r="B49" s="14" t="s">
        <v>351</v>
      </c>
      <c r="C49" s="14" t="s">
        <v>331</v>
      </c>
      <c r="D49" s="14" t="s">
        <v>352</v>
      </c>
      <c r="E49" s="16" t="s">
        <v>87</v>
      </c>
      <c r="F49" s="14" t="s">
        <v>338</v>
      </c>
      <c r="G49" s="14" t="s">
        <v>347</v>
      </c>
      <c r="H49" s="17">
        <v>6545.2883217567833</v>
      </c>
      <c r="I49" s="14" t="s">
        <v>180</v>
      </c>
    </row>
    <row r="50" spans="1:9" ht="15" hidden="1" x14ac:dyDescent="0.25">
      <c r="A50" s="15" t="s">
        <v>356</v>
      </c>
      <c r="B50" s="14" t="s">
        <v>357</v>
      </c>
      <c r="C50" s="14" t="s">
        <v>237</v>
      </c>
      <c r="D50" s="14" t="s">
        <v>282</v>
      </c>
      <c r="E50" s="16" t="s">
        <v>87</v>
      </c>
      <c r="F50" s="14" t="s">
        <v>338</v>
      </c>
      <c r="G50" s="14" t="s">
        <v>358</v>
      </c>
      <c r="H50" s="17">
        <v>13514.395410585492</v>
      </c>
      <c r="I50" s="14" t="s">
        <v>134</v>
      </c>
    </row>
    <row r="51" spans="1:9" ht="15" x14ac:dyDescent="0.25">
      <c r="A51" s="15" t="s">
        <v>361</v>
      </c>
      <c r="B51" s="14" t="s">
        <v>362</v>
      </c>
      <c r="C51" s="14" t="s">
        <v>231</v>
      </c>
      <c r="D51" s="14" t="s">
        <v>363</v>
      </c>
      <c r="E51" s="16" t="s">
        <v>87</v>
      </c>
      <c r="F51" s="14" t="s">
        <v>338</v>
      </c>
      <c r="G51" s="14" t="s">
        <v>339</v>
      </c>
      <c r="H51" s="17">
        <v>5053.6033918022285</v>
      </c>
      <c r="I51" s="14" t="s">
        <v>180</v>
      </c>
    </row>
    <row r="52" spans="1:9" ht="15" hidden="1" x14ac:dyDescent="0.25">
      <c r="A52" s="15" t="s">
        <v>366</v>
      </c>
      <c r="B52" s="14" t="s">
        <v>367</v>
      </c>
      <c r="C52" s="14" t="s">
        <v>368</v>
      </c>
      <c r="D52" s="14" t="s">
        <v>369</v>
      </c>
      <c r="E52" s="16" t="s">
        <v>87</v>
      </c>
      <c r="F52" s="14" t="s">
        <v>338</v>
      </c>
      <c r="G52" s="14" t="s">
        <v>347</v>
      </c>
      <c r="H52" s="17">
        <v>11069.850875497006</v>
      </c>
      <c r="I52" s="14" t="s">
        <v>134</v>
      </c>
    </row>
    <row r="53" spans="1:9" ht="15" x14ac:dyDescent="0.25">
      <c r="A53" s="15" t="s">
        <v>373</v>
      </c>
      <c r="B53" s="14" t="s">
        <v>374</v>
      </c>
      <c r="C53" s="14" t="s">
        <v>375</v>
      </c>
      <c r="D53" s="14" t="s">
        <v>142</v>
      </c>
      <c r="E53" s="16" t="s">
        <v>87</v>
      </c>
      <c r="F53" s="14" t="s">
        <v>376</v>
      </c>
      <c r="G53" s="14" t="s">
        <v>144</v>
      </c>
      <c r="H53" s="17">
        <v>12592.183135589101</v>
      </c>
      <c r="I53" s="14" t="s">
        <v>63</v>
      </c>
    </row>
    <row r="54" spans="1:9" ht="15" hidden="1" x14ac:dyDescent="0.25">
      <c r="A54" s="15" t="s">
        <v>380</v>
      </c>
      <c r="B54" s="14" t="s">
        <v>381</v>
      </c>
      <c r="C54" s="14" t="s">
        <v>382</v>
      </c>
      <c r="D54" s="14" t="s">
        <v>238</v>
      </c>
      <c r="E54" s="16" t="s">
        <v>87</v>
      </c>
      <c r="F54" s="14" t="s">
        <v>376</v>
      </c>
      <c r="G54" s="14" t="s">
        <v>383</v>
      </c>
      <c r="H54" s="17">
        <v>10643.3766537518</v>
      </c>
      <c r="I54" s="14" t="s">
        <v>134</v>
      </c>
    </row>
    <row r="55" spans="1:9" ht="15" hidden="1" x14ac:dyDescent="0.25">
      <c r="A55" s="15" t="s">
        <v>388</v>
      </c>
      <c r="B55" s="14" t="s">
        <v>389</v>
      </c>
      <c r="C55" s="14" t="s">
        <v>68</v>
      </c>
      <c r="D55" s="14" t="s">
        <v>69</v>
      </c>
      <c r="E55" s="16" t="s">
        <v>50</v>
      </c>
      <c r="F55" s="14" t="s">
        <v>390</v>
      </c>
      <c r="G55" s="14" t="s">
        <v>391</v>
      </c>
      <c r="H55" s="17">
        <v>9453.2607782707091</v>
      </c>
      <c r="I55" s="14" t="s">
        <v>63</v>
      </c>
    </row>
    <row r="56" spans="1:9" ht="15" hidden="1" x14ac:dyDescent="0.25">
      <c r="A56" s="15" t="s">
        <v>394</v>
      </c>
      <c r="B56" s="21" t="s">
        <v>395</v>
      </c>
      <c r="C56" s="21" t="s">
        <v>325</v>
      </c>
      <c r="D56" s="14" t="s">
        <v>396</v>
      </c>
      <c r="E56" s="16" t="s">
        <v>50</v>
      </c>
      <c r="F56" s="14" t="s">
        <v>390</v>
      </c>
      <c r="G56" s="21" t="s">
        <v>397</v>
      </c>
      <c r="H56" s="17">
        <v>13104.8464892221</v>
      </c>
      <c r="I56" s="14" t="s">
        <v>134</v>
      </c>
    </row>
    <row r="57" spans="1:9" ht="15" hidden="1" x14ac:dyDescent="0.25">
      <c r="A57" s="15" t="s">
        <v>400</v>
      </c>
      <c r="B57" s="21" t="s">
        <v>401</v>
      </c>
      <c r="C57" s="21" t="s">
        <v>402</v>
      </c>
      <c r="D57" s="14" t="s">
        <v>69</v>
      </c>
      <c r="E57" s="16" t="s">
        <v>50</v>
      </c>
      <c r="F57" s="14" t="s">
        <v>390</v>
      </c>
      <c r="G57" s="21" t="s">
        <v>403</v>
      </c>
      <c r="H57" s="17">
        <v>8415.0990823491975</v>
      </c>
      <c r="I57" s="14" t="s">
        <v>134</v>
      </c>
    </row>
    <row r="58" spans="1:9" ht="15" x14ac:dyDescent="0.25">
      <c r="A58" s="15" t="s">
        <v>406</v>
      </c>
      <c r="B58" s="14" t="s">
        <v>407</v>
      </c>
      <c r="C58" s="14" t="s">
        <v>316</v>
      </c>
      <c r="D58" s="14" t="s">
        <v>174</v>
      </c>
      <c r="E58" s="16" t="s">
        <v>50</v>
      </c>
      <c r="F58" s="14" t="s">
        <v>390</v>
      </c>
      <c r="G58" s="14" t="s">
        <v>391</v>
      </c>
      <c r="H58" s="17">
        <v>12616.153463888215</v>
      </c>
      <c r="I58" s="14" t="s">
        <v>63</v>
      </c>
    </row>
    <row r="59" spans="1:9" ht="15" x14ac:dyDescent="0.25">
      <c r="A59" s="15" t="s">
        <v>410</v>
      </c>
      <c r="B59" s="21" t="s">
        <v>411</v>
      </c>
      <c r="C59" s="21" t="s">
        <v>412</v>
      </c>
      <c r="D59" s="14" t="s">
        <v>326</v>
      </c>
      <c r="E59" s="16" t="s">
        <v>50</v>
      </c>
      <c r="F59" s="14" t="s">
        <v>390</v>
      </c>
      <c r="G59" s="21" t="s">
        <v>403</v>
      </c>
      <c r="H59" s="17">
        <v>5356.4388461651015</v>
      </c>
      <c r="I59" s="14" t="s">
        <v>63</v>
      </c>
    </row>
    <row r="60" spans="1:9" ht="15" hidden="1" x14ac:dyDescent="0.25">
      <c r="A60" s="15" t="s">
        <v>414</v>
      </c>
      <c r="B60" s="21" t="s">
        <v>415</v>
      </c>
      <c r="C60" s="21" t="s">
        <v>416</v>
      </c>
      <c r="D60" s="14" t="s">
        <v>417</v>
      </c>
      <c r="E60" s="16" t="s">
        <v>50</v>
      </c>
      <c r="F60" s="14" t="s">
        <v>390</v>
      </c>
      <c r="G60" s="21" t="s">
        <v>418</v>
      </c>
      <c r="H60" s="17">
        <v>7699.1781874603867</v>
      </c>
      <c r="I60" s="14" t="s">
        <v>63</v>
      </c>
    </row>
    <row r="61" spans="1:9" ht="15" hidden="1" x14ac:dyDescent="0.25">
      <c r="A61" s="15" t="s">
        <v>421</v>
      </c>
      <c r="B61" s="21" t="s">
        <v>422</v>
      </c>
      <c r="C61" s="21" t="s">
        <v>168</v>
      </c>
      <c r="D61" s="14" t="s">
        <v>423</v>
      </c>
      <c r="E61" s="16" t="s">
        <v>50</v>
      </c>
      <c r="F61" s="14" t="s">
        <v>390</v>
      </c>
      <c r="G61" s="21" t="s">
        <v>418</v>
      </c>
      <c r="H61" s="17">
        <v>6769.9436427326746</v>
      </c>
      <c r="I61" s="14" t="s">
        <v>134</v>
      </c>
    </row>
    <row r="62" spans="1:9" ht="15" hidden="1" x14ac:dyDescent="0.25">
      <c r="A62" s="15" t="s">
        <v>426</v>
      </c>
      <c r="B62" s="14" t="s">
        <v>427</v>
      </c>
      <c r="C62" s="14" t="s">
        <v>428</v>
      </c>
      <c r="D62" s="14" t="s">
        <v>429</v>
      </c>
      <c r="E62" s="16" t="s">
        <v>50</v>
      </c>
      <c r="F62" s="14" t="s">
        <v>390</v>
      </c>
      <c r="G62" s="14" t="s">
        <v>169</v>
      </c>
      <c r="H62" s="17">
        <v>8334.4812476725183</v>
      </c>
      <c r="I62" s="14" t="s">
        <v>53</v>
      </c>
    </row>
    <row r="63" spans="1:9" ht="15" x14ac:dyDescent="0.25">
      <c r="A63" s="15" t="s">
        <v>431</v>
      </c>
      <c r="B63" s="21" t="s">
        <v>432</v>
      </c>
      <c r="C63" s="21" t="s">
        <v>433</v>
      </c>
      <c r="D63" s="14" t="s">
        <v>317</v>
      </c>
      <c r="E63" s="16" t="s">
        <v>50</v>
      </c>
      <c r="F63" s="14" t="s">
        <v>390</v>
      </c>
      <c r="G63" s="21" t="s">
        <v>403</v>
      </c>
      <c r="H63" s="17">
        <v>13349.155517093794</v>
      </c>
      <c r="I63" s="14" t="s">
        <v>63</v>
      </c>
    </row>
    <row r="64" spans="1:9" ht="15" hidden="1" x14ac:dyDescent="0.25">
      <c r="A64" s="15" t="s">
        <v>436</v>
      </c>
      <c r="B64" s="21" t="s">
        <v>437</v>
      </c>
      <c r="C64" s="21" t="s">
        <v>316</v>
      </c>
      <c r="D64" s="14" t="s">
        <v>438</v>
      </c>
      <c r="E64" s="16" t="s">
        <v>50</v>
      </c>
      <c r="F64" s="14" t="s">
        <v>390</v>
      </c>
      <c r="G64" s="21" t="s">
        <v>418</v>
      </c>
      <c r="H64" s="17">
        <v>7045.2632223453566</v>
      </c>
      <c r="I64" s="14" t="s">
        <v>63</v>
      </c>
    </row>
    <row r="65" spans="1:9" ht="15" hidden="1" x14ac:dyDescent="0.25">
      <c r="A65" s="15" t="s">
        <v>441</v>
      </c>
      <c r="B65" s="21" t="s">
        <v>442</v>
      </c>
      <c r="C65" s="21" t="s">
        <v>443</v>
      </c>
      <c r="D65" s="14" t="s">
        <v>225</v>
      </c>
      <c r="E65" s="16" t="s">
        <v>50</v>
      </c>
      <c r="F65" s="14" t="s">
        <v>390</v>
      </c>
      <c r="G65" s="21" t="s">
        <v>418</v>
      </c>
      <c r="H65" s="17">
        <v>6943.8446212997997</v>
      </c>
      <c r="I65" s="14" t="s">
        <v>63</v>
      </c>
    </row>
    <row r="66" spans="1:9" ht="15" hidden="1" x14ac:dyDescent="0.25">
      <c r="A66" s="15" t="s">
        <v>445</v>
      </c>
      <c r="B66" s="14" t="s">
        <v>446</v>
      </c>
      <c r="C66" s="14" t="s">
        <v>447</v>
      </c>
      <c r="D66" s="14" t="s">
        <v>282</v>
      </c>
      <c r="E66" s="16" t="s">
        <v>87</v>
      </c>
      <c r="F66" s="14" t="s">
        <v>376</v>
      </c>
      <c r="G66" s="14" t="s">
        <v>383</v>
      </c>
      <c r="H66" s="17">
        <v>7810.6406505531404</v>
      </c>
      <c r="I66" s="14" t="s">
        <v>53</v>
      </c>
    </row>
    <row r="67" spans="1:9" ht="15" hidden="1" x14ac:dyDescent="0.25">
      <c r="A67" s="15" t="s">
        <v>450</v>
      </c>
      <c r="B67" s="14" t="s">
        <v>451</v>
      </c>
      <c r="C67" s="14" t="s">
        <v>141</v>
      </c>
      <c r="D67" s="14" t="s">
        <v>452</v>
      </c>
      <c r="E67" s="16" t="s">
        <v>87</v>
      </c>
      <c r="F67" s="14" t="s">
        <v>376</v>
      </c>
      <c r="G67" s="14" t="s">
        <v>383</v>
      </c>
      <c r="H67" s="17">
        <v>8520.7696909160004</v>
      </c>
      <c r="I67" s="14" t="s">
        <v>53</v>
      </c>
    </row>
    <row r="68" spans="1:9" ht="15" x14ac:dyDescent="0.25">
      <c r="A68" s="15" t="s">
        <v>456</v>
      </c>
      <c r="B68" s="21" t="s">
        <v>457</v>
      </c>
      <c r="C68" s="21" t="s">
        <v>458</v>
      </c>
      <c r="D68" s="14" t="s">
        <v>116</v>
      </c>
      <c r="E68" s="16" t="s">
        <v>87</v>
      </c>
      <c r="F68" s="14" t="s">
        <v>390</v>
      </c>
      <c r="G68" s="21" t="s">
        <v>459</v>
      </c>
      <c r="H68" s="17">
        <v>14142.038140808014</v>
      </c>
      <c r="I68" s="14" t="s">
        <v>63</v>
      </c>
    </row>
    <row r="69" spans="1:9" ht="15" x14ac:dyDescent="0.25">
      <c r="A69" s="15" t="s">
        <v>462</v>
      </c>
      <c r="B69" s="14" t="s">
        <v>463</v>
      </c>
      <c r="C69" s="14" t="s">
        <v>464</v>
      </c>
      <c r="D69" s="14" t="s">
        <v>288</v>
      </c>
      <c r="E69" s="16" t="s">
        <v>50</v>
      </c>
      <c r="F69" s="14" t="s">
        <v>376</v>
      </c>
      <c r="G69" s="14" t="s">
        <v>465</v>
      </c>
      <c r="H69" s="17">
        <v>5715.3864960983001</v>
      </c>
      <c r="I69" s="14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11"/>
  <sheetViews>
    <sheetView workbookViewId="0">
      <selection activeCell="E1" sqref="E1"/>
    </sheetView>
  </sheetViews>
  <sheetFormatPr defaultRowHeight="15" x14ac:dyDescent="0.25"/>
  <cols>
    <col min="1" max="1" width="19.7109375" customWidth="1"/>
    <col min="2" max="2" width="26.42578125" customWidth="1"/>
    <col min="3" max="3" width="21.85546875" customWidth="1"/>
    <col min="4" max="4" width="26.85546875" customWidth="1"/>
    <col min="5" max="5" width="24.28515625" customWidth="1"/>
    <col min="6" max="6" width="26.85546875" customWidth="1"/>
  </cols>
  <sheetData>
    <row r="1" spans="1:6" ht="33.75" thickBot="1" x14ac:dyDescent="0.3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ht="17.25" hidden="1" thickBot="1" x14ac:dyDescent="0.3">
      <c r="A2" s="6" t="s">
        <v>21</v>
      </c>
      <c r="B2" s="7">
        <v>0.24099999999999999</v>
      </c>
      <c r="C2" s="7">
        <v>58</v>
      </c>
      <c r="D2" s="7">
        <v>4.9000000000000004</v>
      </c>
      <c r="E2" s="7">
        <v>0.32</v>
      </c>
      <c r="F2" s="7">
        <v>0</v>
      </c>
    </row>
    <row r="3" spans="1:6" ht="17.25" hidden="1" thickBot="1" x14ac:dyDescent="0.3">
      <c r="A3" s="6" t="s">
        <v>22</v>
      </c>
      <c r="B3" s="7">
        <v>0.61499999999999999</v>
      </c>
      <c r="C3" s="7">
        <v>108</v>
      </c>
      <c r="D3" s="7">
        <v>12.1</v>
      </c>
      <c r="E3" s="7">
        <v>4.8600000000000003</v>
      </c>
      <c r="F3" s="7">
        <v>0</v>
      </c>
    </row>
    <row r="4" spans="1:6" ht="17.25" hidden="1" thickBot="1" x14ac:dyDescent="0.3">
      <c r="A4" s="6" t="s">
        <v>23</v>
      </c>
      <c r="B4" s="7">
        <v>1</v>
      </c>
      <c r="C4" s="7">
        <v>150</v>
      </c>
      <c r="D4" s="7">
        <v>12.8</v>
      </c>
      <c r="E4" s="7">
        <v>6</v>
      </c>
      <c r="F4" s="7">
        <v>1</v>
      </c>
    </row>
    <row r="5" spans="1:6" ht="17.25" hidden="1" thickBot="1" x14ac:dyDescent="0.3">
      <c r="A5" s="6" t="s">
        <v>24</v>
      </c>
      <c r="B5" s="7">
        <v>1.881</v>
      </c>
      <c r="C5" s="7">
        <v>288</v>
      </c>
      <c r="D5" s="7">
        <v>6.8</v>
      </c>
      <c r="E5" s="7">
        <v>0.61</v>
      </c>
      <c r="F5" s="7">
        <v>2</v>
      </c>
    </row>
    <row r="6" spans="1:6" ht="17.25" hidden="1" thickBot="1" x14ac:dyDescent="0.3">
      <c r="A6" s="6" t="s">
        <v>25</v>
      </c>
      <c r="B6" s="7">
        <v>11.86</v>
      </c>
      <c r="C6" s="7">
        <v>778</v>
      </c>
      <c r="D6" s="7">
        <v>142.6</v>
      </c>
      <c r="E6" s="7">
        <v>1906.98</v>
      </c>
      <c r="F6" s="7">
        <v>16</v>
      </c>
    </row>
    <row r="7" spans="1:6" ht="17.25" thickBot="1" x14ac:dyDescent="0.3">
      <c r="A7" s="6" t="s">
        <v>26</v>
      </c>
      <c r="B7" s="7">
        <v>29.46</v>
      </c>
      <c r="C7" s="7">
        <v>1426</v>
      </c>
      <c r="D7" s="7">
        <v>120.2</v>
      </c>
      <c r="E7" s="7">
        <v>570.9</v>
      </c>
      <c r="F7" s="7">
        <v>17</v>
      </c>
    </row>
    <row r="8" spans="1:6" ht="17.25" hidden="1" thickBot="1" x14ac:dyDescent="0.3">
      <c r="A8" s="6" t="s">
        <v>27</v>
      </c>
      <c r="B8" s="7">
        <v>84.01</v>
      </c>
      <c r="C8" s="7">
        <v>2869</v>
      </c>
      <c r="D8" s="7">
        <v>49</v>
      </c>
      <c r="E8" s="7">
        <v>87.24</v>
      </c>
      <c r="F8" s="7">
        <v>14</v>
      </c>
    </row>
    <row r="9" spans="1:6" ht="17.25" hidden="1" thickBot="1" x14ac:dyDescent="0.3">
      <c r="A9" s="6" t="s">
        <v>28</v>
      </c>
      <c r="B9" s="7">
        <v>164.8</v>
      </c>
      <c r="C9" s="7">
        <v>4496</v>
      </c>
      <c r="D9" s="7">
        <v>50.2</v>
      </c>
      <c r="E9" s="7">
        <v>103.38</v>
      </c>
      <c r="F9" s="7">
        <v>2</v>
      </c>
    </row>
    <row r="10" spans="1:6" ht="17.25" hidden="1" thickBot="1" x14ac:dyDescent="0.3">
      <c r="A10" s="6" t="s">
        <v>29</v>
      </c>
      <c r="B10" s="7">
        <v>247.7</v>
      </c>
      <c r="C10" s="7">
        <v>5900</v>
      </c>
      <c r="D10" s="7">
        <v>2.8</v>
      </c>
      <c r="E10" s="7">
        <v>0.1</v>
      </c>
      <c r="F10" s="7">
        <v>1</v>
      </c>
    </row>
    <row r="11" spans="1:6" ht="16.5" x14ac:dyDescent="0.25">
      <c r="A11" s="8"/>
      <c r="B11" s="9"/>
      <c r="C11" s="9"/>
      <c r="D11" s="9"/>
      <c r="E11" s="9"/>
      <c r="F11" s="9"/>
    </row>
  </sheetData>
  <autoFilter ref="A1:F10" xr:uid="{C33242D0-3CD4-440B-B5D9-10C7B695B135}">
    <filterColumn colId="0">
      <customFilters>
        <customFilter val="С*"/>
        <customFilter val="Ю*"/>
      </customFilters>
    </filterColumn>
    <filterColumn colId="4">
      <customFilters>
        <customFilter operator="lessThan" val="60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F16"/>
  <sheetViews>
    <sheetView zoomScaleNormal="100" workbookViewId="0">
      <selection activeCell="D3" sqref="D3"/>
    </sheetView>
  </sheetViews>
  <sheetFormatPr defaultRowHeight="15" x14ac:dyDescent="0.25"/>
  <cols>
    <col min="1" max="1" width="19.7109375" customWidth="1"/>
    <col min="2" max="2" width="26.42578125" customWidth="1"/>
    <col min="3" max="3" width="21.85546875" customWidth="1"/>
    <col min="4" max="4" width="26.85546875" customWidth="1"/>
    <col min="5" max="5" width="24.28515625" customWidth="1"/>
    <col min="6" max="6" width="26.85546875" customWidth="1"/>
  </cols>
  <sheetData>
    <row r="1" spans="1:6" ht="33.75" thickBot="1" x14ac:dyDescent="0.3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C2" t="s">
        <v>587</v>
      </c>
      <c r="F2" t="s">
        <v>588</v>
      </c>
    </row>
    <row r="3" spans="1:6" x14ac:dyDescent="0.25">
      <c r="D3" t="s">
        <v>589</v>
      </c>
    </row>
    <row r="5" spans="1:6" ht="15.75" thickBot="1" x14ac:dyDescent="0.3"/>
    <row r="6" spans="1:6" ht="33.75" thickBot="1" x14ac:dyDescent="0.3">
      <c r="A6" s="4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</row>
    <row r="7" spans="1:6" ht="17.25" hidden="1" thickBot="1" x14ac:dyDescent="0.3">
      <c r="A7" s="6" t="s">
        <v>21</v>
      </c>
      <c r="B7" s="7">
        <v>0.24099999999999999</v>
      </c>
      <c r="C7" s="7">
        <v>58</v>
      </c>
      <c r="D7" s="7">
        <v>4.9000000000000004</v>
      </c>
      <c r="E7" s="7">
        <v>0.32</v>
      </c>
      <c r="F7" s="7">
        <v>0</v>
      </c>
    </row>
    <row r="8" spans="1:6" ht="17.25" hidden="1" thickBot="1" x14ac:dyDescent="0.3">
      <c r="A8" s="6" t="s">
        <v>22</v>
      </c>
      <c r="B8" s="7">
        <v>0.61499999999999999</v>
      </c>
      <c r="C8" s="7">
        <v>108</v>
      </c>
      <c r="D8" s="7">
        <v>12.1</v>
      </c>
      <c r="E8" s="7">
        <v>4.8600000000000003</v>
      </c>
      <c r="F8" s="7">
        <v>0</v>
      </c>
    </row>
    <row r="9" spans="1:6" ht="17.25" hidden="1" thickBot="1" x14ac:dyDescent="0.3">
      <c r="A9" s="6" t="s">
        <v>23</v>
      </c>
      <c r="B9" s="7">
        <v>1</v>
      </c>
      <c r="C9" s="7">
        <v>150</v>
      </c>
      <c r="D9" s="7">
        <v>12.8</v>
      </c>
      <c r="E9" s="7">
        <v>6</v>
      </c>
      <c r="F9" s="7">
        <v>1</v>
      </c>
    </row>
    <row r="10" spans="1:6" ht="17.25" hidden="1" thickBot="1" x14ac:dyDescent="0.3">
      <c r="A10" s="6" t="s">
        <v>24</v>
      </c>
      <c r="B10" s="7">
        <v>1.881</v>
      </c>
      <c r="C10" s="7">
        <v>288</v>
      </c>
      <c r="D10" s="7">
        <v>6.8</v>
      </c>
      <c r="E10" s="7">
        <v>0.61</v>
      </c>
      <c r="F10" s="7">
        <v>2</v>
      </c>
    </row>
    <row r="11" spans="1:6" ht="17.25" hidden="1" thickBot="1" x14ac:dyDescent="0.3">
      <c r="A11" s="6" t="s">
        <v>25</v>
      </c>
      <c r="B11" s="7">
        <v>11.86</v>
      </c>
      <c r="C11" s="7">
        <v>778</v>
      </c>
      <c r="D11" s="7">
        <v>142.6</v>
      </c>
      <c r="E11" s="7">
        <v>1906.98</v>
      </c>
      <c r="F11" s="7">
        <v>16</v>
      </c>
    </row>
    <row r="12" spans="1:6" ht="17.25" thickBot="1" x14ac:dyDescent="0.3">
      <c r="A12" s="6" t="s">
        <v>26</v>
      </c>
      <c r="B12" s="7">
        <v>29.46</v>
      </c>
      <c r="C12" s="7">
        <v>1426</v>
      </c>
      <c r="D12" s="7">
        <v>120.2</v>
      </c>
      <c r="E12" s="7">
        <v>570.9</v>
      </c>
      <c r="F12" s="7">
        <v>17</v>
      </c>
    </row>
    <row r="13" spans="1:6" ht="17.25" thickBot="1" x14ac:dyDescent="0.3">
      <c r="A13" s="6" t="s">
        <v>27</v>
      </c>
      <c r="B13" s="7">
        <v>84.01</v>
      </c>
      <c r="C13" s="7">
        <v>2869</v>
      </c>
      <c r="D13" s="7">
        <v>49</v>
      </c>
      <c r="E13" s="7">
        <v>87.24</v>
      </c>
      <c r="F13" s="7">
        <v>14</v>
      </c>
    </row>
    <row r="14" spans="1:6" ht="17.25" thickBot="1" x14ac:dyDescent="0.3">
      <c r="A14" s="6" t="s">
        <v>28</v>
      </c>
      <c r="B14" s="7">
        <v>164.8</v>
      </c>
      <c r="C14" s="7">
        <v>4496</v>
      </c>
      <c r="D14" s="7">
        <v>50.2</v>
      </c>
      <c r="E14" s="7">
        <v>103.38</v>
      </c>
      <c r="F14" s="7">
        <v>2</v>
      </c>
    </row>
    <row r="15" spans="1:6" ht="17.25" hidden="1" thickBot="1" x14ac:dyDescent="0.3">
      <c r="A15" s="6" t="s">
        <v>29</v>
      </c>
      <c r="B15" s="7">
        <v>247.7</v>
      </c>
      <c r="C15" s="7">
        <v>5900</v>
      </c>
      <c r="D15" s="7">
        <v>2.8</v>
      </c>
      <c r="E15" s="7">
        <v>0.1</v>
      </c>
      <c r="F15" s="7">
        <v>1</v>
      </c>
    </row>
    <row r="16" spans="1:6" ht="16.5" x14ac:dyDescent="0.25">
      <c r="A16" s="8"/>
      <c r="B16" s="9"/>
      <c r="C16" s="9"/>
      <c r="D16" s="9"/>
      <c r="E16" s="9"/>
      <c r="F1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9"/>
  <sheetViews>
    <sheetView zoomScaleNormal="100" workbookViewId="0">
      <selection activeCell="B66" sqref="B66"/>
    </sheetView>
  </sheetViews>
  <sheetFormatPr defaultRowHeight="12.75" outlineLevelRow="2" x14ac:dyDescent="0.2"/>
  <cols>
    <col min="1" max="1" width="4.42578125" style="14" bestFit="1" customWidth="1"/>
    <col min="2" max="2" width="13.85546875" style="14" bestFit="1" customWidth="1"/>
    <col min="3" max="3" width="11.28515625" style="14" bestFit="1" customWidth="1"/>
    <col min="4" max="4" width="14.5703125" style="14" bestFit="1" customWidth="1"/>
    <col min="5" max="5" width="4.5703125" style="16" bestFit="1" customWidth="1"/>
    <col min="6" max="6" width="22.140625" style="14" bestFit="1" customWidth="1"/>
    <col min="7" max="7" width="24.140625" style="14" bestFit="1" customWidth="1"/>
    <col min="8" max="8" width="10.7109375" style="14" bestFit="1" customWidth="1"/>
    <col min="9" max="9" width="20" style="14" bestFit="1" customWidth="1"/>
    <col min="10" max="10" width="11.85546875" style="14" bestFit="1" customWidth="1"/>
    <col min="11" max="11" width="10.42578125" style="14" bestFit="1" customWidth="1"/>
    <col min="12" max="12" width="42.28515625" style="14" bestFit="1" customWidth="1"/>
    <col min="13" max="13" width="13.5703125" style="14" bestFit="1" customWidth="1"/>
    <col min="14" max="14" width="7.7109375" style="14" bestFit="1" customWidth="1"/>
    <col min="15" max="15" width="10.7109375" style="14" bestFit="1" customWidth="1"/>
    <col min="16" max="16" width="9.28515625" style="14" bestFit="1" customWidth="1"/>
    <col min="17" max="17" width="8.7109375" style="14" bestFit="1" customWidth="1"/>
    <col min="18" max="256" width="9.140625" style="14"/>
    <col min="257" max="257" width="4.42578125" style="14" bestFit="1" customWidth="1"/>
    <col min="258" max="258" width="13.85546875" style="14" bestFit="1" customWidth="1"/>
    <col min="259" max="259" width="11.28515625" style="14" bestFit="1" customWidth="1"/>
    <col min="260" max="260" width="14.5703125" style="14" bestFit="1" customWidth="1"/>
    <col min="261" max="261" width="4.5703125" style="14" bestFit="1" customWidth="1"/>
    <col min="262" max="262" width="22.140625" style="14" bestFit="1" customWidth="1"/>
    <col min="263" max="263" width="24.140625" style="14" bestFit="1" customWidth="1"/>
    <col min="264" max="264" width="10.7109375" style="14" bestFit="1" customWidth="1"/>
    <col min="265" max="265" width="20" style="14" bestFit="1" customWidth="1"/>
    <col min="266" max="266" width="11.85546875" style="14" bestFit="1" customWidth="1"/>
    <col min="267" max="267" width="10.42578125" style="14" bestFit="1" customWidth="1"/>
    <col min="268" max="268" width="42.28515625" style="14" bestFit="1" customWidth="1"/>
    <col min="269" max="269" width="13.5703125" style="14" bestFit="1" customWidth="1"/>
    <col min="270" max="270" width="7.7109375" style="14" bestFit="1" customWidth="1"/>
    <col min="271" max="271" width="10.7109375" style="14" bestFit="1" customWidth="1"/>
    <col min="272" max="272" width="9.28515625" style="14" bestFit="1" customWidth="1"/>
    <col min="273" max="273" width="8.7109375" style="14" bestFit="1" customWidth="1"/>
    <col min="274" max="512" width="9.140625" style="14"/>
    <col min="513" max="513" width="4.42578125" style="14" bestFit="1" customWidth="1"/>
    <col min="514" max="514" width="13.85546875" style="14" bestFit="1" customWidth="1"/>
    <col min="515" max="515" width="11.28515625" style="14" bestFit="1" customWidth="1"/>
    <col min="516" max="516" width="14.5703125" style="14" bestFit="1" customWidth="1"/>
    <col min="517" max="517" width="4.5703125" style="14" bestFit="1" customWidth="1"/>
    <col min="518" max="518" width="22.140625" style="14" bestFit="1" customWidth="1"/>
    <col min="519" max="519" width="24.140625" style="14" bestFit="1" customWidth="1"/>
    <col min="520" max="520" width="10.7109375" style="14" bestFit="1" customWidth="1"/>
    <col min="521" max="521" width="20" style="14" bestFit="1" customWidth="1"/>
    <col min="522" max="522" width="11.85546875" style="14" bestFit="1" customWidth="1"/>
    <col min="523" max="523" width="10.42578125" style="14" bestFit="1" customWidth="1"/>
    <col min="524" max="524" width="42.28515625" style="14" bestFit="1" customWidth="1"/>
    <col min="525" max="525" width="13.5703125" style="14" bestFit="1" customWidth="1"/>
    <col min="526" max="526" width="7.7109375" style="14" bestFit="1" customWidth="1"/>
    <col min="527" max="527" width="10.7109375" style="14" bestFit="1" customWidth="1"/>
    <col min="528" max="528" width="9.28515625" style="14" bestFit="1" customWidth="1"/>
    <col min="529" max="529" width="8.7109375" style="14" bestFit="1" customWidth="1"/>
    <col min="530" max="768" width="9.140625" style="14"/>
    <col min="769" max="769" width="4.42578125" style="14" bestFit="1" customWidth="1"/>
    <col min="770" max="770" width="13.85546875" style="14" bestFit="1" customWidth="1"/>
    <col min="771" max="771" width="11.28515625" style="14" bestFit="1" customWidth="1"/>
    <col min="772" max="772" width="14.5703125" style="14" bestFit="1" customWidth="1"/>
    <col min="773" max="773" width="4.5703125" style="14" bestFit="1" customWidth="1"/>
    <col min="774" max="774" width="22.140625" style="14" bestFit="1" customWidth="1"/>
    <col min="775" max="775" width="24.140625" style="14" bestFit="1" customWidth="1"/>
    <col min="776" max="776" width="10.7109375" style="14" bestFit="1" customWidth="1"/>
    <col min="777" max="777" width="20" style="14" bestFit="1" customWidth="1"/>
    <col min="778" max="778" width="11.85546875" style="14" bestFit="1" customWidth="1"/>
    <col min="779" max="779" width="10.42578125" style="14" bestFit="1" customWidth="1"/>
    <col min="780" max="780" width="42.28515625" style="14" bestFit="1" customWidth="1"/>
    <col min="781" max="781" width="13.5703125" style="14" bestFit="1" customWidth="1"/>
    <col min="782" max="782" width="7.7109375" style="14" bestFit="1" customWidth="1"/>
    <col min="783" max="783" width="10.7109375" style="14" bestFit="1" customWidth="1"/>
    <col min="784" max="784" width="9.28515625" style="14" bestFit="1" customWidth="1"/>
    <col min="785" max="785" width="8.7109375" style="14" bestFit="1" customWidth="1"/>
    <col min="786" max="1024" width="9.140625" style="14"/>
    <col min="1025" max="1025" width="4.42578125" style="14" bestFit="1" customWidth="1"/>
    <col min="1026" max="1026" width="13.85546875" style="14" bestFit="1" customWidth="1"/>
    <col min="1027" max="1027" width="11.28515625" style="14" bestFit="1" customWidth="1"/>
    <col min="1028" max="1028" width="14.5703125" style="14" bestFit="1" customWidth="1"/>
    <col min="1029" max="1029" width="4.5703125" style="14" bestFit="1" customWidth="1"/>
    <col min="1030" max="1030" width="22.140625" style="14" bestFit="1" customWidth="1"/>
    <col min="1031" max="1031" width="24.140625" style="14" bestFit="1" customWidth="1"/>
    <col min="1032" max="1032" width="10.7109375" style="14" bestFit="1" customWidth="1"/>
    <col min="1033" max="1033" width="20" style="14" bestFit="1" customWidth="1"/>
    <col min="1034" max="1034" width="11.85546875" style="14" bestFit="1" customWidth="1"/>
    <col min="1035" max="1035" width="10.42578125" style="14" bestFit="1" customWidth="1"/>
    <col min="1036" max="1036" width="42.28515625" style="14" bestFit="1" customWidth="1"/>
    <col min="1037" max="1037" width="13.5703125" style="14" bestFit="1" customWidth="1"/>
    <col min="1038" max="1038" width="7.7109375" style="14" bestFit="1" customWidth="1"/>
    <col min="1039" max="1039" width="10.7109375" style="14" bestFit="1" customWidth="1"/>
    <col min="1040" max="1040" width="9.28515625" style="14" bestFit="1" customWidth="1"/>
    <col min="1041" max="1041" width="8.7109375" style="14" bestFit="1" customWidth="1"/>
    <col min="1042" max="1280" width="9.140625" style="14"/>
    <col min="1281" max="1281" width="4.42578125" style="14" bestFit="1" customWidth="1"/>
    <col min="1282" max="1282" width="13.85546875" style="14" bestFit="1" customWidth="1"/>
    <col min="1283" max="1283" width="11.28515625" style="14" bestFit="1" customWidth="1"/>
    <col min="1284" max="1284" width="14.5703125" style="14" bestFit="1" customWidth="1"/>
    <col min="1285" max="1285" width="4.5703125" style="14" bestFit="1" customWidth="1"/>
    <col min="1286" max="1286" width="22.140625" style="14" bestFit="1" customWidth="1"/>
    <col min="1287" max="1287" width="24.140625" style="14" bestFit="1" customWidth="1"/>
    <col min="1288" max="1288" width="10.7109375" style="14" bestFit="1" customWidth="1"/>
    <col min="1289" max="1289" width="20" style="14" bestFit="1" customWidth="1"/>
    <col min="1290" max="1290" width="11.85546875" style="14" bestFit="1" customWidth="1"/>
    <col min="1291" max="1291" width="10.42578125" style="14" bestFit="1" customWidth="1"/>
    <col min="1292" max="1292" width="42.28515625" style="14" bestFit="1" customWidth="1"/>
    <col min="1293" max="1293" width="13.5703125" style="14" bestFit="1" customWidth="1"/>
    <col min="1294" max="1294" width="7.7109375" style="14" bestFit="1" customWidth="1"/>
    <col min="1295" max="1295" width="10.7109375" style="14" bestFit="1" customWidth="1"/>
    <col min="1296" max="1296" width="9.28515625" style="14" bestFit="1" customWidth="1"/>
    <col min="1297" max="1297" width="8.7109375" style="14" bestFit="1" customWidth="1"/>
    <col min="1298" max="1536" width="9.140625" style="14"/>
    <col min="1537" max="1537" width="4.42578125" style="14" bestFit="1" customWidth="1"/>
    <col min="1538" max="1538" width="13.85546875" style="14" bestFit="1" customWidth="1"/>
    <col min="1539" max="1539" width="11.28515625" style="14" bestFit="1" customWidth="1"/>
    <col min="1540" max="1540" width="14.5703125" style="14" bestFit="1" customWidth="1"/>
    <col min="1541" max="1541" width="4.5703125" style="14" bestFit="1" customWidth="1"/>
    <col min="1542" max="1542" width="22.140625" style="14" bestFit="1" customWidth="1"/>
    <col min="1543" max="1543" width="24.140625" style="14" bestFit="1" customWidth="1"/>
    <col min="1544" max="1544" width="10.7109375" style="14" bestFit="1" customWidth="1"/>
    <col min="1545" max="1545" width="20" style="14" bestFit="1" customWidth="1"/>
    <col min="1546" max="1546" width="11.85546875" style="14" bestFit="1" customWidth="1"/>
    <col min="1547" max="1547" width="10.42578125" style="14" bestFit="1" customWidth="1"/>
    <col min="1548" max="1548" width="42.28515625" style="14" bestFit="1" customWidth="1"/>
    <col min="1549" max="1549" width="13.5703125" style="14" bestFit="1" customWidth="1"/>
    <col min="1550" max="1550" width="7.7109375" style="14" bestFit="1" customWidth="1"/>
    <col min="1551" max="1551" width="10.7109375" style="14" bestFit="1" customWidth="1"/>
    <col min="1552" max="1552" width="9.28515625" style="14" bestFit="1" customWidth="1"/>
    <col min="1553" max="1553" width="8.7109375" style="14" bestFit="1" customWidth="1"/>
    <col min="1554" max="1792" width="9.140625" style="14"/>
    <col min="1793" max="1793" width="4.42578125" style="14" bestFit="1" customWidth="1"/>
    <col min="1794" max="1794" width="13.85546875" style="14" bestFit="1" customWidth="1"/>
    <col min="1795" max="1795" width="11.28515625" style="14" bestFit="1" customWidth="1"/>
    <col min="1796" max="1796" width="14.5703125" style="14" bestFit="1" customWidth="1"/>
    <col min="1797" max="1797" width="4.5703125" style="14" bestFit="1" customWidth="1"/>
    <col min="1798" max="1798" width="22.140625" style="14" bestFit="1" customWidth="1"/>
    <col min="1799" max="1799" width="24.140625" style="14" bestFit="1" customWidth="1"/>
    <col min="1800" max="1800" width="10.7109375" style="14" bestFit="1" customWidth="1"/>
    <col min="1801" max="1801" width="20" style="14" bestFit="1" customWidth="1"/>
    <col min="1802" max="1802" width="11.85546875" style="14" bestFit="1" customWidth="1"/>
    <col min="1803" max="1803" width="10.42578125" style="14" bestFit="1" customWidth="1"/>
    <col min="1804" max="1804" width="42.28515625" style="14" bestFit="1" customWidth="1"/>
    <col min="1805" max="1805" width="13.5703125" style="14" bestFit="1" customWidth="1"/>
    <col min="1806" max="1806" width="7.7109375" style="14" bestFit="1" customWidth="1"/>
    <col min="1807" max="1807" width="10.7109375" style="14" bestFit="1" customWidth="1"/>
    <col min="1808" max="1808" width="9.28515625" style="14" bestFit="1" customWidth="1"/>
    <col min="1809" max="1809" width="8.7109375" style="14" bestFit="1" customWidth="1"/>
    <col min="1810" max="2048" width="9.140625" style="14"/>
    <col min="2049" max="2049" width="4.42578125" style="14" bestFit="1" customWidth="1"/>
    <col min="2050" max="2050" width="13.85546875" style="14" bestFit="1" customWidth="1"/>
    <col min="2051" max="2051" width="11.28515625" style="14" bestFit="1" customWidth="1"/>
    <col min="2052" max="2052" width="14.5703125" style="14" bestFit="1" customWidth="1"/>
    <col min="2053" max="2053" width="4.5703125" style="14" bestFit="1" customWidth="1"/>
    <col min="2054" max="2054" width="22.140625" style="14" bestFit="1" customWidth="1"/>
    <col min="2055" max="2055" width="24.140625" style="14" bestFit="1" customWidth="1"/>
    <col min="2056" max="2056" width="10.7109375" style="14" bestFit="1" customWidth="1"/>
    <col min="2057" max="2057" width="20" style="14" bestFit="1" customWidth="1"/>
    <col min="2058" max="2058" width="11.85546875" style="14" bestFit="1" customWidth="1"/>
    <col min="2059" max="2059" width="10.42578125" style="14" bestFit="1" customWidth="1"/>
    <col min="2060" max="2060" width="42.28515625" style="14" bestFit="1" customWidth="1"/>
    <col min="2061" max="2061" width="13.5703125" style="14" bestFit="1" customWidth="1"/>
    <col min="2062" max="2062" width="7.7109375" style="14" bestFit="1" customWidth="1"/>
    <col min="2063" max="2063" width="10.7109375" style="14" bestFit="1" customWidth="1"/>
    <col min="2064" max="2064" width="9.28515625" style="14" bestFit="1" customWidth="1"/>
    <col min="2065" max="2065" width="8.7109375" style="14" bestFit="1" customWidth="1"/>
    <col min="2066" max="2304" width="9.140625" style="14"/>
    <col min="2305" max="2305" width="4.42578125" style="14" bestFit="1" customWidth="1"/>
    <col min="2306" max="2306" width="13.85546875" style="14" bestFit="1" customWidth="1"/>
    <col min="2307" max="2307" width="11.28515625" style="14" bestFit="1" customWidth="1"/>
    <col min="2308" max="2308" width="14.5703125" style="14" bestFit="1" customWidth="1"/>
    <col min="2309" max="2309" width="4.5703125" style="14" bestFit="1" customWidth="1"/>
    <col min="2310" max="2310" width="22.140625" style="14" bestFit="1" customWidth="1"/>
    <col min="2311" max="2311" width="24.140625" style="14" bestFit="1" customWidth="1"/>
    <col min="2312" max="2312" width="10.7109375" style="14" bestFit="1" customWidth="1"/>
    <col min="2313" max="2313" width="20" style="14" bestFit="1" customWidth="1"/>
    <col min="2314" max="2314" width="11.85546875" style="14" bestFit="1" customWidth="1"/>
    <col min="2315" max="2315" width="10.42578125" style="14" bestFit="1" customWidth="1"/>
    <col min="2316" max="2316" width="42.28515625" style="14" bestFit="1" customWidth="1"/>
    <col min="2317" max="2317" width="13.5703125" style="14" bestFit="1" customWidth="1"/>
    <col min="2318" max="2318" width="7.7109375" style="14" bestFit="1" customWidth="1"/>
    <col min="2319" max="2319" width="10.7109375" style="14" bestFit="1" customWidth="1"/>
    <col min="2320" max="2320" width="9.28515625" style="14" bestFit="1" customWidth="1"/>
    <col min="2321" max="2321" width="8.7109375" style="14" bestFit="1" customWidth="1"/>
    <col min="2322" max="2560" width="9.140625" style="14"/>
    <col min="2561" max="2561" width="4.42578125" style="14" bestFit="1" customWidth="1"/>
    <col min="2562" max="2562" width="13.85546875" style="14" bestFit="1" customWidth="1"/>
    <col min="2563" max="2563" width="11.28515625" style="14" bestFit="1" customWidth="1"/>
    <col min="2564" max="2564" width="14.5703125" style="14" bestFit="1" customWidth="1"/>
    <col min="2565" max="2565" width="4.5703125" style="14" bestFit="1" customWidth="1"/>
    <col min="2566" max="2566" width="22.140625" style="14" bestFit="1" customWidth="1"/>
    <col min="2567" max="2567" width="24.140625" style="14" bestFit="1" customWidth="1"/>
    <col min="2568" max="2568" width="10.7109375" style="14" bestFit="1" customWidth="1"/>
    <col min="2569" max="2569" width="20" style="14" bestFit="1" customWidth="1"/>
    <col min="2570" max="2570" width="11.85546875" style="14" bestFit="1" customWidth="1"/>
    <col min="2571" max="2571" width="10.42578125" style="14" bestFit="1" customWidth="1"/>
    <col min="2572" max="2572" width="42.28515625" style="14" bestFit="1" customWidth="1"/>
    <col min="2573" max="2573" width="13.5703125" style="14" bestFit="1" customWidth="1"/>
    <col min="2574" max="2574" width="7.7109375" style="14" bestFit="1" customWidth="1"/>
    <col min="2575" max="2575" width="10.7109375" style="14" bestFit="1" customWidth="1"/>
    <col min="2576" max="2576" width="9.28515625" style="14" bestFit="1" customWidth="1"/>
    <col min="2577" max="2577" width="8.7109375" style="14" bestFit="1" customWidth="1"/>
    <col min="2578" max="2816" width="9.140625" style="14"/>
    <col min="2817" max="2817" width="4.42578125" style="14" bestFit="1" customWidth="1"/>
    <col min="2818" max="2818" width="13.85546875" style="14" bestFit="1" customWidth="1"/>
    <col min="2819" max="2819" width="11.28515625" style="14" bestFit="1" customWidth="1"/>
    <col min="2820" max="2820" width="14.5703125" style="14" bestFit="1" customWidth="1"/>
    <col min="2821" max="2821" width="4.5703125" style="14" bestFit="1" customWidth="1"/>
    <col min="2822" max="2822" width="22.140625" style="14" bestFit="1" customWidth="1"/>
    <col min="2823" max="2823" width="24.140625" style="14" bestFit="1" customWidth="1"/>
    <col min="2824" max="2824" width="10.7109375" style="14" bestFit="1" customWidth="1"/>
    <col min="2825" max="2825" width="20" style="14" bestFit="1" customWidth="1"/>
    <col min="2826" max="2826" width="11.85546875" style="14" bestFit="1" customWidth="1"/>
    <col min="2827" max="2827" width="10.42578125" style="14" bestFit="1" customWidth="1"/>
    <col min="2828" max="2828" width="42.28515625" style="14" bestFit="1" customWidth="1"/>
    <col min="2829" max="2829" width="13.5703125" style="14" bestFit="1" customWidth="1"/>
    <col min="2830" max="2830" width="7.7109375" style="14" bestFit="1" customWidth="1"/>
    <col min="2831" max="2831" width="10.7109375" style="14" bestFit="1" customWidth="1"/>
    <col min="2832" max="2832" width="9.28515625" style="14" bestFit="1" customWidth="1"/>
    <col min="2833" max="2833" width="8.7109375" style="14" bestFit="1" customWidth="1"/>
    <col min="2834" max="3072" width="9.140625" style="14"/>
    <col min="3073" max="3073" width="4.42578125" style="14" bestFit="1" customWidth="1"/>
    <col min="3074" max="3074" width="13.85546875" style="14" bestFit="1" customWidth="1"/>
    <col min="3075" max="3075" width="11.28515625" style="14" bestFit="1" customWidth="1"/>
    <col min="3076" max="3076" width="14.5703125" style="14" bestFit="1" customWidth="1"/>
    <col min="3077" max="3077" width="4.5703125" style="14" bestFit="1" customWidth="1"/>
    <col min="3078" max="3078" width="22.140625" style="14" bestFit="1" customWidth="1"/>
    <col min="3079" max="3079" width="24.140625" style="14" bestFit="1" customWidth="1"/>
    <col min="3080" max="3080" width="10.7109375" style="14" bestFit="1" customWidth="1"/>
    <col min="3081" max="3081" width="20" style="14" bestFit="1" customWidth="1"/>
    <col min="3082" max="3082" width="11.85546875" style="14" bestFit="1" customWidth="1"/>
    <col min="3083" max="3083" width="10.42578125" style="14" bestFit="1" customWidth="1"/>
    <col min="3084" max="3084" width="42.28515625" style="14" bestFit="1" customWidth="1"/>
    <col min="3085" max="3085" width="13.5703125" style="14" bestFit="1" customWidth="1"/>
    <col min="3086" max="3086" width="7.7109375" style="14" bestFit="1" customWidth="1"/>
    <col min="3087" max="3087" width="10.7109375" style="14" bestFit="1" customWidth="1"/>
    <col min="3088" max="3088" width="9.28515625" style="14" bestFit="1" customWidth="1"/>
    <col min="3089" max="3089" width="8.7109375" style="14" bestFit="1" customWidth="1"/>
    <col min="3090" max="3328" width="9.140625" style="14"/>
    <col min="3329" max="3329" width="4.42578125" style="14" bestFit="1" customWidth="1"/>
    <col min="3330" max="3330" width="13.85546875" style="14" bestFit="1" customWidth="1"/>
    <col min="3331" max="3331" width="11.28515625" style="14" bestFit="1" customWidth="1"/>
    <col min="3332" max="3332" width="14.5703125" style="14" bestFit="1" customWidth="1"/>
    <col min="3333" max="3333" width="4.5703125" style="14" bestFit="1" customWidth="1"/>
    <col min="3334" max="3334" width="22.140625" style="14" bestFit="1" customWidth="1"/>
    <col min="3335" max="3335" width="24.140625" style="14" bestFit="1" customWidth="1"/>
    <col min="3336" max="3336" width="10.7109375" style="14" bestFit="1" customWidth="1"/>
    <col min="3337" max="3337" width="20" style="14" bestFit="1" customWidth="1"/>
    <col min="3338" max="3338" width="11.85546875" style="14" bestFit="1" customWidth="1"/>
    <col min="3339" max="3339" width="10.42578125" style="14" bestFit="1" customWidth="1"/>
    <col min="3340" max="3340" width="42.28515625" style="14" bestFit="1" customWidth="1"/>
    <col min="3341" max="3341" width="13.5703125" style="14" bestFit="1" customWidth="1"/>
    <col min="3342" max="3342" width="7.7109375" style="14" bestFit="1" customWidth="1"/>
    <col min="3343" max="3343" width="10.7109375" style="14" bestFit="1" customWidth="1"/>
    <col min="3344" max="3344" width="9.28515625" style="14" bestFit="1" customWidth="1"/>
    <col min="3345" max="3345" width="8.7109375" style="14" bestFit="1" customWidth="1"/>
    <col min="3346" max="3584" width="9.140625" style="14"/>
    <col min="3585" max="3585" width="4.42578125" style="14" bestFit="1" customWidth="1"/>
    <col min="3586" max="3586" width="13.85546875" style="14" bestFit="1" customWidth="1"/>
    <col min="3587" max="3587" width="11.28515625" style="14" bestFit="1" customWidth="1"/>
    <col min="3588" max="3588" width="14.5703125" style="14" bestFit="1" customWidth="1"/>
    <col min="3589" max="3589" width="4.5703125" style="14" bestFit="1" customWidth="1"/>
    <col min="3590" max="3590" width="22.140625" style="14" bestFit="1" customWidth="1"/>
    <col min="3591" max="3591" width="24.140625" style="14" bestFit="1" customWidth="1"/>
    <col min="3592" max="3592" width="10.7109375" style="14" bestFit="1" customWidth="1"/>
    <col min="3593" max="3593" width="20" style="14" bestFit="1" customWidth="1"/>
    <col min="3594" max="3594" width="11.85546875" style="14" bestFit="1" customWidth="1"/>
    <col min="3595" max="3595" width="10.42578125" style="14" bestFit="1" customWidth="1"/>
    <col min="3596" max="3596" width="42.28515625" style="14" bestFit="1" customWidth="1"/>
    <col min="3597" max="3597" width="13.5703125" style="14" bestFit="1" customWidth="1"/>
    <col min="3598" max="3598" width="7.7109375" style="14" bestFit="1" customWidth="1"/>
    <col min="3599" max="3599" width="10.7109375" style="14" bestFit="1" customWidth="1"/>
    <col min="3600" max="3600" width="9.28515625" style="14" bestFit="1" customWidth="1"/>
    <col min="3601" max="3601" width="8.7109375" style="14" bestFit="1" customWidth="1"/>
    <col min="3602" max="3840" width="9.140625" style="14"/>
    <col min="3841" max="3841" width="4.42578125" style="14" bestFit="1" customWidth="1"/>
    <col min="3842" max="3842" width="13.85546875" style="14" bestFit="1" customWidth="1"/>
    <col min="3843" max="3843" width="11.28515625" style="14" bestFit="1" customWidth="1"/>
    <col min="3844" max="3844" width="14.5703125" style="14" bestFit="1" customWidth="1"/>
    <col min="3845" max="3845" width="4.5703125" style="14" bestFit="1" customWidth="1"/>
    <col min="3846" max="3846" width="22.140625" style="14" bestFit="1" customWidth="1"/>
    <col min="3847" max="3847" width="24.140625" style="14" bestFit="1" customWidth="1"/>
    <col min="3848" max="3848" width="10.7109375" style="14" bestFit="1" customWidth="1"/>
    <col min="3849" max="3849" width="20" style="14" bestFit="1" customWidth="1"/>
    <col min="3850" max="3850" width="11.85546875" style="14" bestFit="1" customWidth="1"/>
    <col min="3851" max="3851" width="10.42578125" style="14" bestFit="1" customWidth="1"/>
    <col min="3852" max="3852" width="42.28515625" style="14" bestFit="1" customWidth="1"/>
    <col min="3853" max="3853" width="13.5703125" style="14" bestFit="1" customWidth="1"/>
    <col min="3854" max="3854" width="7.7109375" style="14" bestFit="1" customWidth="1"/>
    <col min="3855" max="3855" width="10.7109375" style="14" bestFit="1" customWidth="1"/>
    <col min="3856" max="3856" width="9.28515625" style="14" bestFit="1" customWidth="1"/>
    <col min="3857" max="3857" width="8.7109375" style="14" bestFit="1" customWidth="1"/>
    <col min="3858" max="4096" width="9.140625" style="14"/>
    <col min="4097" max="4097" width="4.42578125" style="14" bestFit="1" customWidth="1"/>
    <col min="4098" max="4098" width="13.85546875" style="14" bestFit="1" customWidth="1"/>
    <col min="4099" max="4099" width="11.28515625" style="14" bestFit="1" customWidth="1"/>
    <col min="4100" max="4100" width="14.5703125" style="14" bestFit="1" customWidth="1"/>
    <col min="4101" max="4101" width="4.5703125" style="14" bestFit="1" customWidth="1"/>
    <col min="4102" max="4102" width="22.140625" style="14" bestFit="1" customWidth="1"/>
    <col min="4103" max="4103" width="24.140625" style="14" bestFit="1" customWidth="1"/>
    <col min="4104" max="4104" width="10.7109375" style="14" bestFit="1" customWidth="1"/>
    <col min="4105" max="4105" width="20" style="14" bestFit="1" customWidth="1"/>
    <col min="4106" max="4106" width="11.85546875" style="14" bestFit="1" customWidth="1"/>
    <col min="4107" max="4107" width="10.42578125" style="14" bestFit="1" customWidth="1"/>
    <col min="4108" max="4108" width="42.28515625" style="14" bestFit="1" customWidth="1"/>
    <col min="4109" max="4109" width="13.5703125" style="14" bestFit="1" customWidth="1"/>
    <col min="4110" max="4110" width="7.7109375" style="14" bestFit="1" customWidth="1"/>
    <col min="4111" max="4111" width="10.7109375" style="14" bestFit="1" customWidth="1"/>
    <col min="4112" max="4112" width="9.28515625" style="14" bestFit="1" customWidth="1"/>
    <col min="4113" max="4113" width="8.7109375" style="14" bestFit="1" customWidth="1"/>
    <col min="4114" max="4352" width="9.140625" style="14"/>
    <col min="4353" max="4353" width="4.42578125" style="14" bestFit="1" customWidth="1"/>
    <col min="4354" max="4354" width="13.85546875" style="14" bestFit="1" customWidth="1"/>
    <col min="4355" max="4355" width="11.28515625" style="14" bestFit="1" customWidth="1"/>
    <col min="4356" max="4356" width="14.5703125" style="14" bestFit="1" customWidth="1"/>
    <col min="4357" max="4357" width="4.5703125" style="14" bestFit="1" customWidth="1"/>
    <col min="4358" max="4358" width="22.140625" style="14" bestFit="1" customWidth="1"/>
    <col min="4359" max="4359" width="24.140625" style="14" bestFit="1" customWidth="1"/>
    <col min="4360" max="4360" width="10.7109375" style="14" bestFit="1" customWidth="1"/>
    <col min="4361" max="4361" width="20" style="14" bestFit="1" customWidth="1"/>
    <col min="4362" max="4362" width="11.85546875" style="14" bestFit="1" customWidth="1"/>
    <col min="4363" max="4363" width="10.42578125" style="14" bestFit="1" customWidth="1"/>
    <col min="4364" max="4364" width="42.28515625" style="14" bestFit="1" customWidth="1"/>
    <col min="4365" max="4365" width="13.5703125" style="14" bestFit="1" customWidth="1"/>
    <col min="4366" max="4366" width="7.7109375" style="14" bestFit="1" customWidth="1"/>
    <col min="4367" max="4367" width="10.7109375" style="14" bestFit="1" customWidth="1"/>
    <col min="4368" max="4368" width="9.28515625" style="14" bestFit="1" customWidth="1"/>
    <col min="4369" max="4369" width="8.7109375" style="14" bestFit="1" customWidth="1"/>
    <col min="4370" max="4608" width="9.140625" style="14"/>
    <col min="4609" max="4609" width="4.42578125" style="14" bestFit="1" customWidth="1"/>
    <col min="4610" max="4610" width="13.85546875" style="14" bestFit="1" customWidth="1"/>
    <col min="4611" max="4611" width="11.28515625" style="14" bestFit="1" customWidth="1"/>
    <col min="4612" max="4612" width="14.5703125" style="14" bestFit="1" customWidth="1"/>
    <col min="4613" max="4613" width="4.5703125" style="14" bestFit="1" customWidth="1"/>
    <col min="4614" max="4614" width="22.140625" style="14" bestFit="1" customWidth="1"/>
    <col min="4615" max="4615" width="24.140625" style="14" bestFit="1" customWidth="1"/>
    <col min="4616" max="4616" width="10.7109375" style="14" bestFit="1" customWidth="1"/>
    <col min="4617" max="4617" width="20" style="14" bestFit="1" customWidth="1"/>
    <col min="4618" max="4618" width="11.85546875" style="14" bestFit="1" customWidth="1"/>
    <col min="4619" max="4619" width="10.42578125" style="14" bestFit="1" customWidth="1"/>
    <col min="4620" max="4620" width="42.28515625" style="14" bestFit="1" customWidth="1"/>
    <col min="4621" max="4621" width="13.5703125" style="14" bestFit="1" customWidth="1"/>
    <col min="4622" max="4622" width="7.7109375" style="14" bestFit="1" customWidth="1"/>
    <col min="4623" max="4623" width="10.7109375" style="14" bestFit="1" customWidth="1"/>
    <col min="4624" max="4624" width="9.28515625" style="14" bestFit="1" customWidth="1"/>
    <col min="4625" max="4625" width="8.7109375" style="14" bestFit="1" customWidth="1"/>
    <col min="4626" max="4864" width="9.140625" style="14"/>
    <col min="4865" max="4865" width="4.42578125" style="14" bestFit="1" customWidth="1"/>
    <col min="4866" max="4866" width="13.85546875" style="14" bestFit="1" customWidth="1"/>
    <col min="4867" max="4867" width="11.28515625" style="14" bestFit="1" customWidth="1"/>
    <col min="4868" max="4868" width="14.5703125" style="14" bestFit="1" customWidth="1"/>
    <col min="4869" max="4869" width="4.5703125" style="14" bestFit="1" customWidth="1"/>
    <col min="4870" max="4870" width="22.140625" style="14" bestFit="1" customWidth="1"/>
    <col min="4871" max="4871" width="24.140625" style="14" bestFit="1" customWidth="1"/>
    <col min="4872" max="4872" width="10.7109375" style="14" bestFit="1" customWidth="1"/>
    <col min="4873" max="4873" width="20" style="14" bestFit="1" customWidth="1"/>
    <col min="4874" max="4874" width="11.85546875" style="14" bestFit="1" customWidth="1"/>
    <col min="4875" max="4875" width="10.42578125" style="14" bestFit="1" customWidth="1"/>
    <col min="4876" max="4876" width="42.28515625" style="14" bestFit="1" customWidth="1"/>
    <col min="4877" max="4877" width="13.5703125" style="14" bestFit="1" customWidth="1"/>
    <col min="4878" max="4878" width="7.7109375" style="14" bestFit="1" customWidth="1"/>
    <col min="4879" max="4879" width="10.7109375" style="14" bestFit="1" customWidth="1"/>
    <col min="4880" max="4880" width="9.28515625" style="14" bestFit="1" customWidth="1"/>
    <col min="4881" max="4881" width="8.7109375" style="14" bestFit="1" customWidth="1"/>
    <col min="4882" max="5120" width="9.140625" style="14"/>
    <col min="5121" max="5121" width="4.42578125" style="14" bestFit="1" customWidth="1"/>
    <col min="5122" max="5122" width="13.85546875" style="14" bestFit="1" customWidth="1"/>
    <col min="5123" max="5123" width="11.28515625" style="14" bestFit="1" customWidth="1"/>
    <col min="5124" max="5124" width="14.5703125" style="14" bestFit="1" customWidth="1"/>
    <col min="5125" max="5125" width="4.5703125" style="14" bestFit="1" customWidth="1"/>
    <col min="5126" max="5126" width="22.140625" style="14" bestFit="1" customWidth="1"/>
    <col min="5127" max="5127" width="24.140625" style="14" bestFit="1" customWidth="1"/>
    <col min="5128" max="5128" width="10.7109375" style="14" bestFit="1" customWidth="1"/>
    <col min="5129" max="5129" width="20" style="14" bestFit="1" customWidth="1"/>
    <col min="5130" max="5130" width="11.85546875" style="14" bestFit="1" customWidth="1"/>
    <col min="5131" max="5131" width="10.42578125" style="14" bestFit="1" customWidth="1"/>
    <col min="5132" max="5132" width="42.28515625" style="14" bestFit="1" customWidth="1"/>
    <col min="5133" max="5133" width="13.5703125" style="14" bestFit="1" customWidth="1"/>
    <col min="5134" max="5134" width="7.7109375" style="14" bestFit="1" customWidth="1"/>
    <col min="5135" max="5135" width="10.7109375" style="14" bestFit="1" customWidth="1"/>
    <col min="5136" max="5136" width="9.28515625" style="14" bestFit="1" customWidth="1"/>
    <col min="5137" max="5137" width="8.7109375" style="14" bestFit="1" customWidth="1"/>
    <col min="5138" max="5376" width="9.140625" style="14"/>
    <col min="5377" max="5377" width="4.42578125" style="14" bestFit="1" customWidth="1"/>
    <col min="5378" max="5378" width="13.85546875" style="14" bestFit="1" customWidth="1"/>
    <col min="5379" max="5379" width="11.28515625" style="14" bestFit="1" customWidth="1"/>
    <col min="5380" max="5380" width="14.5703125" style="14" bestFit="1" customWidth="1"/>
    <col min="5381" max="5381" width="4.5703125" style="14" bestFit="1" customWidth="1"/>
    <col min="5382" max="5382" width="22.140625" style="14" bestFit="1" customWidth="1"/>
    <col min="5383" max="5383" width="24.140625" style="14" bestFit="1" customWidth="1"/>
    <col min="5384" max="5384" width="10.7109375" style="14" bestFit="1" customWidth="1"/>
    <col min="5385" max="5385" width="20" style="14" bestFit="1" customWidth="1"/>
    <col min="5386" max="5386" width="11.85546875" style="14" bestFit="1" customWidth="1"/>
    <col min="5387" max="5387" width="10.42578125" style="14" bestFit="1" customWidth="1"/>
    <col min="5388" max="5388" width="42.28515625" style="14" bestFit="1" customWidth="1"/>
    <col min="5389" max="5389" width="13.5703125" style="14" bestFit="1" customWidth="1"/>
    <col min="5390" max="5390" width="7.7109375" style="14" bestFit="1" customWidth="1"/>
    <col min="5391" max="5391" width="10.7109375" style="14" bestFit="1" customWidth="1"/>
    <col min="5392" max="5392" width="9.28515625" style="14" bestFit="1" customWidth="1"/>
    <col min="5393" max="5393" width="8.7109375" style="14" bestFit="1" customWidth="1"/>
    <col min="5394" max="5632" width="9.140625" style="14"/>
    <col min="5633" max="5633" width="4.42578125" style="14" bestFit="1" customWidth="1"/>
    <col min="5634" max="5634" width="13.85546875" style="14" bestFit="1" customWidth="1"/>
    <col min="5635" max="5635" width="11.28515625" style="14" bestFit="1" customWidth="1"/>
    <col min="5636" max="5636" width="14.5703125" style="14" bestFit="1" customWidth="1"/>
    <col min="5637" max="5637" width="4.5703125" style="14" bestFit="1" customWidth="1"/>
    <col min="5638" max="5638" width="22.140625" style="14" bestFit="1" customWidth="1"/>
    <col min="5639" max="5639" width="24.140625" style="14" bestFit="1" customWidth="1"/>
    <col min="5640" max="5640" width="10.7109375" style="14" bestFit="1" customWidth="1"/>
    <col min="5641" max="5641" width="20" style="14" bestFit="1" customWidth="1"/>
    <col min="5642" max="5642" width="11.85546875" style="14" bestFit="1" customWidth="1"/>
    <col min="5643" max="5643" width="10.42578125" style="14" bestFit="1" customWidth="1"/>
    <col min="5644" max="5644" width="42.28515625" style="14" bestFit="1" customWidth="1"/>
    <col min="5645" max="5645" width="13.5703125" style="14" bestFit="1" customWidth="1"/>
    <col min="5646" max="5646" width="7.7109375" style="14" bestFit="1" customWidth="1"/>
    <col min="5647" max="5647" width="10.7109375" style="14" bestFit="1" customWidth="1"/>
    <col min="5648" max="5648" width="9.28515625" style="14" bestFit="1" customWidth="1"/>
    <col min="5649" max="5649" width="8.7109375" style="14" bestFit="1" customWidth="1"/>
    <col min="5650" max="5888" width="9.140625" style="14"/>
    <col min="5889" max="5889" width="4.42578125" style="14" bestFit="1" customWidth="1"/>
    <col min="5890" max="5890" width="13.85546875" style="14" bestFit="1" customWidth="1"/>
    <col min="5891" max="5891" width="11.28515625" style="14" bestFit="1" customWidth="1"/>
    <col min="5892" max="5892" width="14.5703125" style="14" bestFit="1" customWidth="1"/>
    <col min="5893" max="5893" width="4.5703125" style="14" bestFit="1" customWidth="1"/>
    <col min="5894" max="5894" width="22.140625" style="14" bestFit="1" customWidth="1"/>
    <col min="5895" max="5895" width="24.140625" style="14" bestFit="1" customWidth="1"/>
    <col min="5896" max="5896" width="10.7109375" style="14" bestFit="1" customWidth="1"/>
    <col min="5897" max="5897" width="20" style="14" bestFit="1" customWidth="1"/>
    <col min="5898" max="5898" width="11.85546875" style="14" bestFit="1" customWidth="1"/>
    <col min="5899" max="5899" width="10.42578125" style="14" bestFit="1" customWidth="1"/>
    <col min="5900" max="5900" width="42.28515625" style="14" bestFit="1" customWidth="1"/>
    <col min="5901" max="5901" width="13.5703125" style="14" bestFit="1" customWidth="1"/>
    <col min="5902" max="5902" width="7.7109375" style="14" bestFit="1" customWidth="1"/>
    <col min="5903" max="5903" width="10.7109375" style="14" bestFit="1" customWidth="1"/>
    <col min="5904" max="5904" width="9.28515625" style="14" bestFit="1" customWidth="1"/>
    <col min="5905" max="5905" width="8.7109375" style="14" bestFit="1" customWidth="1"/>
    <col min="5906" max="6144" width="9.140625" style="14"/>
    <col min="6145" max="6145" width="4.42578125" style="14" bestFit="1" customWidth="1"/>
    <col min="6146" max="6146" width="13.85546875" style="14" bestFit="1" customWidth="1"/>
    <col min="6147" max="6147" width="11.28515625" style="14" bestFit="1" customWidth="1"/>
    <col min="6148" max="6148" width="14.5703125" style="14" bestFit="1" customWidth="1"/>
    <col min="6149" max="6149" width="4.5703125" style="14" bestFit="1" customWidth="1"/>
    <col min="6150" max="6150" width="22.140625" style="14" bestFit="1" customWidth="1"/>
    <col min="6151" max="6151" width="24.140625" style="14" bestFit="1" customWidth="1"/>
    <col min="6152" max="6152" width="10.7109375" style="14" bestFit="1" customWidth="1"/>
    <col min="6153" max="6153" width="20" style="14" bestFit="1" customWidth="1"/>
    <col min="6154" max="6154" width="11.85546875" style="14" bestFit="1" customWidth="1"/>
    <col min="6155" max="6155" width="10.42578125" style="14" bestFit="1" customWidth="1"/>
    <col min="6156" max="6156" width="42.28515625" style="14" bestFit="1" customWidth="1"/>
    <col min="6157" max="6157" width="13.5703125" style="14" bestFit="1" customWidth="1"/>
    <col min="6158" max="6158" width="7.7109375" style="14" bestFit="1" customWidth="1"/>
    <col min="6159" max="6159" width="10.7109375" style="14" bestFit="1" customWidth="1"/>
    <col min="6160" max="6160" width="9.28515625" style="14" bestFit="1" customWidth="1"/>
    <col min="6161" max="6161" width="8.7109375" style="14" bestFit="1" customWidth="1"/>
    <col min="6162" max="6400" width="9.140625" style="14"/>
    <col min="6401" max="6401" width="4.42578125" style="14" bestFit="1" customWidth="1"/>
    <col min="6402" max="6402" width="13.85546875" style="14" bestFit="1" customWidth="1"/>
    <col min="6403" max="6403" width="11.28515625" style="14" bestFit="1" customWidth="1"/>
    <col min="6404" max="6404" width="14.5703125" style="14" bestFit="1" customWidth="1"/>
    <col min="6405" max="6405" width="4.5703125" style="14" bestFit="1" customWidth="1"/>
    <col min="6406" max="6406" width="22.140625" style="14" bestFit="1" customWidth="1"/>
    <col min="6407" max="6407" width="24.140625" style="14" bestFit="1" customWidth="1"/>
    <col min="6408" max="6408" width="10.7109375" style="14" bestFit="1" customWidth="1"/>
    <col min="6409" max="6409" width="20" style="14" bestFit="1" customWidth="1"/>
    <col min="6410" max="6410" width="11.85546875" style="14" bestFit="1" customWidth="1"/>
    <col min="6411" max="6411" width="10.42578125" style="14" bestFit="1" customWidth="1"/>
    <col min="6412" max="6412" width="42.28515625" style="14" bestFit="1" customWidth="1"/>
    <col min="6413" max="6413" width="13.5703125" style="14" bestFit="1" customWidth="1"/>
    <col min="6414" max="6414" width="7.7109375" style="14" bestFit="1" customWidth="1"/>
    <col min="6415" max="6415" width="10.7109375" style="14" bestFit="1" customWidth="1"/>
    <col min="6416" max="6416" width="9.28515625" style="14" bestFit="1" customWidth="1"/>
    <col min="6417" max="6417" width="8.7109375" style="14" bestFit="1" customWidth="1"/>
    <col min="6418" max="6656" width="9.140625" style="14"/>
    <col min="6657" max="6657" width="4.42578125" style="14" bestFit="1" customWidth="1"/>
    <col min="6658" max="6658" width="13.85546875" style="14" bestFit="1" customWidth="1"/>
    <col min="6659" max="6659" width="11.28515625" style="14" bestFit="1" customWidth="1"/>
    <col min="6660" max="6660" width="14.5703125" style="14" bestFit="1" customWidth="1"/>
    <col min="6661" max="6661" width="4.5703125" style="14" bestFit="1" customWidth="1"/>
    <col min="6662" max="6662" width="22.140625" style="14" bestFit="1" customWidth="1"/>
    <col min="6663" max="6663" width="24.140625" style="14" bestFit="1" customWidth="1"/>
    <col min="6664" max="6664" width="10.7109375" style="14" bestFit="1" customWidth="1"/>
    <col min="6665" max="6665" width="20" style="14" bestFit="1" customWidth="1"/>
    <col min="6666" max="6666" width="11.85546875" style="14" bestFit="1" customWidth="1"/>
    <col min="6667" max="6667" width="10.42578125" style="14" bestFit="1" customWidth="1"/>
    <col min="6668" max="6668" width="42.28515625" style="14" bestFit="1" customWidth="1"/>
    <col min="6669" max="6669" width="13.5703125" style="14" bestFit="1" customWidth="1"/>
    <col min="6670" max="6670" width="7.7109375" style="14" bestFit="1" customWidth="1"/>
    <col min="6671" max="6671" width="10.7109375" style="14" bestFit="1" customWidth="1"/>
    <col min="6672" max="6672" width="9.28515625" style="14" bestFit="1" customWidth="1"/>
    <col min="6673" max="6673" width="8.7109375" style="14" bestFit="1" customWidth="1"/>
    <col min="6674" max="6912" width="9.140625" style="14"/>
    <col min="6913" max="6913" width="4.42578125" style="14" bestFit="1" customWidth="1"/>
    <col min="6914" max="6914" width="13.85546875" style="14" bestFit="1" customWidth="1"/>
    <col min="6915" max="6915" width="11.28515625" style="14" bestFit="1" customWidth="1"/>
    <col min="6916" max="6916" width="14.5703125" style="14" bestFit="1" customWidth="1"/>
    <col min="6917" max="6917" width="4.5703125" style="14" bestFit="1" customWidth="1"/>
    <col min="6918" max="6918" width="22.140625" style="14" bestFit="1" customWidth="1"/>
    <col min="6919" max="6919" width="24.140625" style="14" bestFit="1" customWidth="1"/>
    <col min="6920" max="6920" width="10.7109375" style="14" bestFit="1" customWidth="1"/>
    <col min="6921" max="6921" width="20" style="14" bestFit="1" customWidth="1"/>
    <col min="6922" max="6922" width="11.85546875" style="14" bestFit="1" customWidth="1"/>
    <col min="6923" max="6923" width="10.42578125" style="14" bestFit="1" customWidth="1"/>
    <col min="6924" max="6924" width="42.28515625" style="14" bestFit="1" customWidth="1"/>
    <col min="6925" max="6925" width="13.5703125" style="14" bestFit="1" customWidth="1"/>
    <col min="6926" max="6926" width="7.7109375" style="14" bestFit="1" customWidth="1"/>
    <col min="6927" max="6927" width="10.7109375" style="14" bestFit="1" customWidth="1"/>
    <col min="6928" max="6928" width="9.28515625" style="14" bestFit="1" customWidth="1"/>
    <col min="6929" max="6929" width="8.7109375" style="14" bestFit="1" customWidth="1"/>
    <col min="6930" max="7168" width="9.140625" style="14"/>
    <col min="7169" max="7169" width="4.42578125" style="14" bestFit="1" customWidth="1"/>
    <col min="7170" max="7170" width="13.85546875" style="14" bestFit="1" customWidth="1"/>
    <col min="7171" max="7171" width="11.28515625" style="14" bestFit="1" customWidth="1"/>
    <col min="7172" max="7172" width="14.5703125" style="14" bestFit="1" customWidth="1"/>
    <col min="7173" max="7173" width="4.5703125" style="14" bestFit="1" customWidth="1"/>
    <col min="7174" max="7174" width="22.140625" style="14" bestFit="1" customWidth="1"/>
    <col min="7175" max="7175" width="24.140625" style="14" bestFit="1" customWidth="1"/>
    <col min="7176" max="7176" width="10.7109375" style="14" bestFit="1" customWidth="1"/>
    <col min="7177" max="7177" width="20" style="14" bestFit="1" customWidth="1"/>
    <col min="7178" max="7178" width="11.85546875" style="14" bestFit="1" customWidth="1"/>
    <col min="7179" max="7179" width="10.42578125" style="14" bestFit="1" customWidth="1"/>
    <col min="7180" max="7180" width="42.28515625" style="14" bestFit="1" customWidth="1"/>
    <col min="7181" max="7181" width="13.5703125" style="14" bestFit="1" customWidth="1"/>
    <col min="7182" max="7182" width="7.7109375" style="14" bestFit="1" customWidth="1"/>
    <col min="7183" max="7183" width="10.7109375" style="14" bestFit="1" customWidth="1"/>
    <col min="7184" max="7184" width="9.28515625" style="14" bestFit="1" customWidth="1"/>
    <col min="7185" max="7185" width="8.7109375" style="14" bestFit="1" customWidth="1"/>
    <col min="7186" max="7424" width="9.140625" style="14"/>
    <col min="7425" max="7425" width="4.42578125" style="14" bestFit="1" customWidth="1"/>
    <col min="7426" max="7426" width="13.85546875" style="14" bestFit="1" customWidth="1"/>
    <col min="7427" max="7427" width="11.28515625" style="14" bestFit="1" customWidth="1"/>
    <col min="7428" max="7428" width="14.5703125" style="14" bestFit="1" customWidth="1"/>
    <col min="7429" max="7429" width="4.5703125" style="14" bestFit="1" customWidth="1"/>
    <col min="7430" max="7430" width="22.140625" style="14" bestFit="1" customWidth="1"/>
    <col min="7431" max="7431" width="24.140625" style="14" bestFit="1" customWidth="1"/>
    <col min="7432" max="7432" width="10.7109375" style="14" bestFit="1" customWidth="1"/>
    <col min="7433" max="7433" width="20" style="14" bestFit="1" customWidth="1"/>
    <col min="7434" max="7434" width="11.85546875" style="14" bestFit="1" customWidth="1"/>
    <col min="7435" max="7435" width="10.42578125" style="14" bestFit="1" customWidth="1"/>
    <col min="7436" max="7436" width="42.28515625" style="14" bestFit="1" customWidth="1"/>
    <col min="7437" max="7437" width="13.5703125" style="14" bestFit="1" customWidth="1"/>
    <col min="7438" max="7438" width="7.7109375" style="14" bestFit="1" customWidth="1"/>
    <col min="7439" max="7439" width="10.7109375" style="14" bestFit="1" customWidth="1"/>
    <col min="7440" max="7440" width="9.28515625" style="14" bestFit="1" customWidth="1"/>
    <col min="7441" max="7441" width="8.7109375" style="14" bestFit="1" customWidth="1"/>
    <col min="7442" max="7680" width="9.140625" style="14"/>
    <col min="7681" max="7681" width="4.42578125" style="14" bestFit="1" customWidth="1"/>
    <col min="7682" max="7682" width="13.85546875" style="14" bestFit="1" customWidth="1"/>
    <col min="7683" max="7683" width="11.28515625" style="14" bestFit="1" customWidth="1"/>
    <col min="7684" max="7684" width="14.5703125" style="14" bestFit="1" customWidth="1"/>
    <col min="7685" max="7685" width="4.5703125" style="14" bestFit="1" customWidth="1"/>
    <col min="7686" max="7686" width="22.140625" style="14" bestFit="1" customWidth="1"/>
    <col min="7687" max="7687" width="24.140625" style="14" bestFit="1" customWidth="1"/>
    <col min="7688" max="7688" width="10.7109375" style="14" bestFit="1" customWidth="1"/>
    <col min="7689" max="7689" width="20" style="14" bestFit="1" customWidth="1"/>
    <col min="7690" max="7690" width="11.85546875" style="14" bestFit="1" customWidth="1"/>
    <col min="7691" max="7691" width="10.42578125" style="14" bestFit="1" customWidth="1"/>
    <col min="7692" max="7692" width="42.28515625" style="14" bestFit="1" customWidth="1"/>
    <col min="7693" max="7693" width="13.5703125" style="14" bestFit="1" customWidth="1"/>
    <col min="7694" max="7694" width="7.7109375" style="14" bestFit="1" customWidth="1"/>
    <col min="7695" max="7695" width="10.7109375" style="14" bestFit="1" customWidth="1"/>
    <col min="7696" max="7696" width="9.28515625" style="14" bestFit="1" customWidth="1"/>
    <col min="7697" max="7697" width="8.7109375" style="14" bestFit="1" customWidth="1"/>
    <col min="7698" max="7936" width="9.140625" style="14"/>
    <col min="7937" max="7937" width="4.42578125" style="14" bestFit="1" customWidth="1"/>
    <col min="7938" max="7938" width="13.85546875" style="14" bestFit="1" customWidth="1"/>
    <col min="7939" max="7939" width="11.28515625" style="14" bestFit="1" customWidth="1"/>
    <col min="7940" max="7940" width="14.5703125" style="14" bestFit="1" customWidth="1"/>
    <col min="7941" max="7941" width="4.5703125" style="14" bestFit="1" customWidth="1"/>
    <col min="7942" max="7942" width="22.140625" style="14" bestFit="1" customWidth="1"/>
    <col min="7943" max="7943" width="24.140625" style="14" bestFit="1" customWidth="1"/>
    <col min="7944" max="7944" width="10.7109375" style="14" bestFit="1" customWidth="1"/>
    <col min="7945" max="7945" width="20" style="14" bestFit="1" customWidth="1"/>
    <col min="7946" max="7946" width="11.85546875" style="14" bestFit="1" customWidth="1"/>
    <col min="7947" max="7947" width="10.42578125" style="14" bestFit="1" customWidth="1"/>
    <col min="7948" max="7948" width="42.28515625" style="14" bestFit="1" customWidth="1"/>
    <col min="7949" max="7949" width="13.5703125" style="14" bestFit="1" customWidth="1"/>
    <col min="7950" max="7950" width="7.7109375" style="14" bestFit="1" customWidth="1"/>
    <col min="7951" max="7951" width="10.7109375" style="14" bestFit="1" customWidth="1"/>
    <col min="7952" max="7952" width="9.28515625" style="14" bestFit="1" customWidth="1"/>
    <col min="7953" max="7953" width="8.7109375" style="14" bestFit="1" customWidth="1"/>
    <col min="7954" max="8192" width="9.140625" style="14"/>
    <col min="8193" max="8193" width="4.42578125" style="14" bestFit="1" customWidth="1"/>
    <col min="8194" max="8194" width="13.85546875" style="14" bestFit="1" customWidth="1"/>
    <col min="8195" max="8195" width="11.28515625" style="14" bestFit="1" customWidth="1"/>
    <col min="8196" max="8196" width="14.5703125" style="14" bestFit="1" customWidth="1"/>
    <col min="8197" max="8197" width="4.5703125" style="14" bestFit="1" customWidth="1"/>
    <col min="8198" max="8198" width="22.140625" style="14" bestFit="1" customWidth="1"/>
    <col min="8199" max="8199" width="24.140625" style="14" bestFit="1" customWidth="1"/>
    <col min="8200" max="8200" width="10.7109375" style="14" bestFit="1" customWidth="1"/>
    <col min="8201" max="8201" width="20" style="14" bestFit="1" customWidth="1"/>
    <col min="8202" max="8202" width="11.85546875" style="14" bestFit="1" customWidth="1"/>
    <col min="8203" max="8203" width="10.42578125" style="14" bestFit="1" customWidth="1"/>
    <col min="8204" max="8204" width="42.28515625" style="14" bestFit="1" customWidth="1"/>
    <col min="8205" max="8205" width="13.5703125" style="14" bestFit="1" customWidth="1"/>
    <col min="8206" max="8206" width="7.7109375" style="14" bestFit="1" customWidth="1"/>
    <col min="8207" max="8207" width="10.7109375" style="14" bestFit="1" customWidth="1"/>
    <col min="8208" max="8208" width="9.28515625" style="14" bestFit="1" customWidth="1"/>
    <col min="8209" max="8209" width="8.7109375" style="14" bestFit="1" customWidth="1"/>
    <col min="8210" max="8448" width="9.140625" style="14"/>
    <col min="8449" max="8449" width="4.42578125" style="14" bestFit="1" customWidth="1"/>
    <col min="8450" max="8450" width="13.85546875" style="14" bestFit="1" customWidth="1"/>
    <col min="8451" max="8451" width="11.28515625" style="14" bestFit="1" customWidth="1"/>
    <col min="8452" max="8452" width="14.5703125" style="14" bestFit="1" customWidth="1"/>
    <col min="8453" max="8453" width="4.5703125" style="14" bestFit="1" customWidth="1"/>
    <col min="8454" max="8454" width="22.140625" style="14" bestFit="1" customWidth="1"/>
    <col min="8455" max="8455" width="24.140625" style="14" bestFit="1" customWidth="1"/>
    <col min="8456" max="8456" width="10.7109375" style="14" bestFit="1" customWidth="1"/>
    <col min="8457" max="8457" width="20" style="14" bestFit="1" customWidth="1"/>
    <col min="8458" max="8458" width="11.85546875" style="14" bestFit="1" customWidth="1"/>
    <col min="8459" max="8459" width="10.42578125" style="14" bestFit="1" customWidth="1"/>
    <col min="8460" max="8460" width="42.28515625" style="14" bestFit="1" customWidth="1"/>
    <col min="8461" max="8461" width="13.5703125" style="14" bestFit="1" customWidth="1"/>
    <col min="8462" max="8462" width="7.7109375" style="14" bestFit="1" customWidth="1"/>
    <col min="8463" max="8463" width="10.7109375" style="14" bestFit="1" customWidth="1"/>
    <col min="8464" max="8464" width="9.28515625" style="14" bestFit="1" customWidth="1"/>
    <col min="8465" max="8465" width="8.7109375" style="14" bestFit="1" customWidth="1"/>
    <col min="8466" max="8704" width="9.140625" style="14"/>
    <col min="8705" max="8705" width="4.42578125" style="14" bestFit="1" customWidth="1"/>
    <col min="8706" max="8706" width="13.85546875" style="14" bestFit="1" customWidth="1"/>
    <col min="8707" max="8707" width="11.28515625" style="14" bestFit="1" customWidth="1"/>
    <col min="8708" max="8708" width="14.5703125" style="14" bestFit="1" customWidth="1"/>
    <col min="8709" max="8709" width="4.5703125" style="14" bestFit="1" customWidth="1"/>
    <col min="8710" max="8710" width="22.140625" style="14" bestFit="1" customWidth="1"/>
    <col min="8711" max="8711" width="24.140625" style="14" bestFit="1" customWidth="1"/>
    <col min="8712" max="8712" width="10.7109375" style="14" bestFit="1" customWidth="1"/>
    <col min="8713" max="8713" width="20" style="14" bestFit="1" customWidth="1"/>
    <col min="8714" max="8714" width="11.85546875" style="14" bestFit="1" customWidth="1"/>
    <col min="8715" max="8715" width="10.42578125" style="14" bestFit="1" customWidth="1"/>
    <col min="8716" max="8716" width="42.28515625" style="14" bestFit="1" customWidth="1"/>
    <col min="8717" max="8717" width="13.5703125" style="14" bestFit="1" customWidth="1"/>
    <col min="8718" max="8718" width="7.7109375" style="14" bestFit="1" customWidth="1"/>
    <col min="8719" max="8719" width="10.7109375" style="14" bestFit="1" customWidth="1"/>
    <col min="8720" max="8720" width="9.28515625" style="14" bestFit="1" customWidth="1"/>
    <col min="8721" max="8721" width="8.7109375" style="14" bestFit="1" customWidth="1"/>
    <col min="8722" max="8960" width="9.140625" style="14"/>
    <col min="8961" max="8961" width="4.42578125" style="14" bestFit="1" customWidth="1"/>
    <col min="8962" max="8962" width="13.85546875" style="14" bestFit="1" customWidth="1"/>
    <col min="8963" max="8963" width="11.28515625" style="14" bestFit="1" customWidth="1"/>
    <col min="8964" max="8964" width="14.5703125" style="14" bestFit="1" customWidth="1"/>
    <col min="8965" max="8965" width="4.5703125" style="14" bestFit="1" customWidth="1"/>
    <col min="8966" max="8966" width="22.140625" style="14" bestFit="1" customWidth="1"/>
    <col min="8967" max="8967" width="24.140625" style="14" bestFit="1" customWidth="1"/>
    <col min="8968" max="8968" width="10.7109375" style="14" bestFit="1" customWidth="1"/>
    <col min="8969" max="8969" width="20" style="14" bestFit="1" customWidth="1"/>
    <col min="8970" max="8970" width="11.85546875" style="14" bestFit="1" customWidth="1"/>
    <col min="8971" max="8971" width="10.42578125" style="14" bestFit="1" customWidth="1"/>
    <col min="8972" max="8972" width="42.28515625" style="14" bestFit="1" customWidth="1"/>
    <col min="8973" max="8973" width="13.5703125" style="14" bestFit="1" customWidth="1"/>
    <col min="8974" max="8974" width="7.7109375" style="14" bestFit="1" customWidth="1"/>
    <col min="8975" max="8975" width="10.7109375" style="14" bestFit="1" customWidth="1"/>
    <col min="8976" max="8976" width="9.28515625" style="14" bestFit="1" customWidth="1"/>
    <col min="8977" max="8977" width="8.7109375" style="14" bestFit="1" customWidth="1"/>
    <col min="8978" max="9216" width="9.140625" style="14"/>
    <col min="9217" max="9217" width="4.42578125" style="14" bestFit="1" customWidth="1"/>
    <col min="9218" max="9218" width="13.85546875" style="14" bestFit="1" customWidth="1"/>
    <col min="9219" max="9219" width="11.28515625" style="14" bestFit="1" customWidth="1"/>
    <col min="9220" max="9220" width="14.5703125" style="14" bestFit="1" customWidth="1"/>
    <col min="9221" max="9221" width="4.5703125" style="14" bestFit="1" customWidth="1"/>
    <col min="9222" max="9222" width="22.140625" style="14" bestFit="1" customWidth="1"/>
    <col min="9223" max="9223" width="24.140625" style="14" bestFit="1" customWidth="1"/>
    <col min="9224" max="9224" width="10.7109375" style="14" bestFit="1" customWidth="1"/>
    <col min="9225" max="9225" width="20" style="14" bestFit="1" customWidth="1"/>
    <col min="9226" max="9226" width="11.85546875" style="14" bestFit="1" customWidth="1"/>
    <col min="9227" max="9227" width="10.42578125" style="14" bestFit="1" customWidth="1"/>
    <col min="9228" max="9228" width="42.28515625" style="14" bestFit="1" customWidth="1"/>
    <col min="9229" max="9229" width="13.5703125" style="14" bestFit="1" customWidth="1"/>
    <col min="9230" max="9230" width="7.7109375" style="14" bestFit="1" customWidth="1"/>
    <col min="9231" max="9231" width="10.7109375" style="14" bestFit="1" customWidth="1"/>
    <col min="9232" max="9232" width="9.28515625" style="14" bestFit="1" customWidth="1"/>
    <col min="9233" max="9233" width="8.7109375" style="14" bestFit="1" customWidth="1"/>
    <col min="9234" max="9472" width="9.140625" style="14"/>
    <col min="9473" max="9473" width="4.42578125" style="14" bestFit="1" customWidth="1"/>
    <col min="9474" max="9474" width="13.85546875" style="14" bestFit="1" customWidth="1"/>
    <col min="9475" max="9475" width="11.28515625" style="14" bestFit="1" customWidth="1"/>
    <col min="9476" max="9476" width="14.5703125" style="14" bestFit="1" customWidth="1"/>
    <col min="9477" max="9477" width="4.5703125" style="14" bestFit="1" customWidth="1"/>
    <col min="9478" max="9478" width="22.140625" style="14" bestFit="1" customWidth="1"/>
    <col min="9479" max="9479" width="24.140625" style="14" bestFit="1" customWidth="1"/>
    <col min="9480" max="9480" width="10.7109375" style="14" bestFit="1" customWidth="1"/>
    <col min="9481" max="9481" width="20" style="14" bestFit="1" customWidth="1"/>
    <col min="9482" max="9482" width="11.85546875" style="14" bestFit="1" customWidth="1"/>
    <col min="9483" max="9483" width="10.42578125" style="14" bestFit="1" customWidth="1"/>
    <col min="9484" max="9484" width="42.28515625" style="14" bestFit="1" customWidth="1"/>
    <col min="9485" max="9485" width="13.5703125" style="14" bestFit="1" customWidth="1"/>
    <col min="9486" max="9486" width="7.7109375" style="14" bestFit="1" customWidth="1"/>
    <col min="9487" max="9487" width="10.7109375" style="14" bestFit="1" customWidth="1"/>
    <col min="9488" max="9488" width="9.28515625" style="14" bestFit="1" customWidth="1"/>
    <col min="9489" max="9489" width="8.7109375" style="14" bestFit="1" customWidth="1"/>
    <col min="9490" max="9728" width="9.140625" style="14"/>
    <col min="9729" max="9729" width="4.42578125" style="14" bestFit="1" customWidth="1"/>
    <col min="9730" max="9730" width="13.85546875" style="14" bestFit="1" customWidth="1"/>
    <col min="9731" max="9731" width="11.28515625" style="14" bestFit="1" customWidth="1"/>
    <col min="9732" max="9732" width="14.5703125" style="14" bestFit="1" customWidth="1"/>
    <col min="9733" max="9733" width="4.5703125" style="14" bestFit="1" customWidth="1"/>
    <col min="9734" max="9734" width="22.140625" style="14" bestFit="1" customWidth="1"/>
    <col min="9735" max="9735" width="24.140625" style="14" bestFit="1" customWidth="1"/>
    <col min="9736" max="9736" width="10.7109375" style="14" bestFit="1" customWidth="1"/>
    <col min="9737" max="9737" width="20" style="14" bestFit="1" customWidth="1"/>
    <col min="9738" max="9738" width="11.85546875" style="14" bestFit="1" customWidth="1"/>
    <col min="9739" max="9739" width="10.42578125" style="14" bestFit="1" customWidth="1"/>
    <col min="9740" max="9740" width="42.28515625" style="14" bestFit="1" customWidth="1"/>
    <col min="9741" max="9741" width="13.5703125" style="14" bestFit="1" customWidth="1"/>
    <col min="9742" max="9742" width="7.7109375" style="14" bestFit="1" customWidth="1"/>
    <col min="9743" max="9743" width="10.7109375" style="14" bestFit="1" customWidth="1"/>
    <col min="9744" max="9744" width="9.28515625" style="14" bestFit="1" customWidth="1"/>
    <col min="9745" max="9745" width="8.7109375" style="14" bestFit="1" customWidth="1"/>
    <col min="9746" max="9984" width="9.140625" style="14"/>
    <col min="9985" max="9985" width="4.42578125" style="14" bestFit="1" customWidth="1"/>
    <col min="9986" max="9986" width="13.85546875" style="14" bestFit="1" customWidth="1"/>
    <col min="9987" max="9987" width="11.28515625" style="14" bestFit="1" customWidth="1"/>
    <col min="9988" max="9988" width="14.5703125" style="14" bestFit="1" customWidth="1"/>
    <col min="9989" max="9989" width="4.5703125" style="14" bestFit="1" customWidth="1"/>
    <col min="9990" max="9990" width="22.140625" style="14" bestFit="1" customWidth="1"/>
    <col min="9991" max="9991" width="24.140625" style="14" bestFit="1" customWidth="1"/>
    <col min="9992" max="9992" width="10.7109375" style="14" bestFit="1" customWidth="1"/>
    <col min="9993" max="9993" width="20" style="14" bestFit="1" customWidth="1"/>
    <col min="9994" max="9994" width="11.85546875" style="14" bestFit="1" customWidth="1"/>
    <col min="9995" max="9995" width="10.42578125" style="14" bestFit="1" customWidth="1"/>
    <col min="9996" max="9996" width="42.28515625" style="14" bestFit="1" customWidth="1"/>
    <col min="9997" max="9997" width="13.5703125" style="14" bestFit="1" customWidth="1"/>
    <col min="9998" max="9998" width="7.7109375" style="14" bestFit="1" customWidth="1"/>
    <col min="9999" max="9999" width="10.7109375" style="14" bestFit="1" customWidth="1"/>
    <col min="10000" max="10000" width="9.28515625" style="14" bestFit="1" customWidth="1"/>
    <col min="10001" max="10001" width="8.7109375" style="14" bestFit="1" customWidth="1"/>
    <col min="10002" max="10240" width="9.140625" style="14"/>
    <col min="10241" max="10241" width="4.42578125" style="14" bestFit="1" customWidth="1"/>
    <col min="10242" max="10242" width="13.85546875" style="14" bestFit="1" customWidth="1"/>
    <col min="10243" max="10243" width="11.28515625" style="14" bestFit="1" customWidth="1"/>
    <col min="10244" max="10244" width="14.5703125" style="14" bestFit="1" customWidth="1"/>
    <col min="10245" max="10245" width="4.5703125" style="14" bestFit="1" customWidth="1"/>
    <col min="10246" max="10246" width="22.140625" style="14" bestFit="1" customWidth="1"/>
    <col min="10247" max="10247" width="24.140625" style="14" bestFit="1" customWidth="1"/>
    <col min="10248" max="10248" width="10.7109375" style="14" bestFit="1" customWidth="1"/>
    <col min="10249" max="10249" width="20" style="14" bestFit="1" customWidth="1"/>
    <col min="10250" max="10250" width="11.85546875" style="14" bestFit="1" customWidth="1"/>
    <col min="10251" max="10251" width="10.42578125" style="14" bestFit="1" customWidth="1"/>
    <col min="10252" max="10252" width="42.28515625" style="14" bestFit="1" customWidth="1"/>
    <col min="10253" max="10253" width="13.5703125" style="14" bestFit="1" customWidth="1"/>
    <col min="10254" max="10254" width="7.7109375" style="14" bestFit="1" customWidth="1"/>
    <col min="10255" max="10255" width="10.7109375" style="14" bestFit="1" customWidth="1"/>
    <col min="10256" max="10256" width="9.28515625" style="14" bestFit="1" customWidth="1"/>
    <col min="10257" max="10257" width="8.7109375" style="14" bestFit="1" customWidth="1"/>
    <col min="10258" max="10496" width="9.140625" style="14"/>
    <col min="10497" max="10497" width="4.42578125" style="14" bestFit="1" customWidth="1"/>
    <col min="10498" max="10498" width="13.85546875" style="14" bestFit="1" customWidth="1"/>
    <col min="10499" max="10499" width="11.28515625" style="14" bestFit="1" customWidth="1"/>
    <col min="10500" max="10500" width="14.5703125" style="14" bestFit="1" customWidth="1"/>
    <col min="10501" max="10501" width="4.5703125" style="14" bestFit="1" customWidth="1"/>
    <col min="10502" max="10502" width="22.140625" style="14" bestFit="1" customWidth="1"/>
    <col min="10503" max="10503" width="24.140625" style="14" bestFit="1" customWidth="1"/>
    <col min="10504" max="10504" width="10.7109375" style="14" bestFit="1" customWidth="1"/>
    <col min="10505" max="10505" width="20" style="14" bestFit="1" customWidth="1"/>
    <col min="10506" max="10506" width="11.85546875" style="14" bestFit="1" customWidth="1"/>
    <col min="10507" max="10507" width="10.42578125" style="14" bestFit="1" customWidth="1"/>
    <col min="10508" max="10508" width="42.28515625" style="14" bestFit="1" customWidth="1"/>
    <col min="10509" max="10509" width="13.5703125" style="14" bestFit="1" customWidth="1"/>
    <col min="10510" max="10510" width="7.7109375" style="14" bestFit="1" customWidth="1"/>
    <col min="10511" max="10511" width="10.7109375" style="14" bestFit="1" customWidth="1"/>
    <col min="10512" max="10512" width="9.28515625" style="14" bestFit="1" customWidth="1"/>
    <col min="10513" max="10513" width="8.7109375" style="14" bestFit="1" customWidth="1"/>
    <col min="10514" max="10752" width="9.140625" style="14"/>
    <col min="10753" max="10753" width="4.42578125" style="14" bestFit="1" customWidth="1"/>
    <col min="10754" max="10754" width="13.85546875" style="14" bestFit="1" customWidth="1"/>
    <col min="10755" max="10755" width="11.28515625" style="14" bestFit="1" customWidth="1"/>
    <col min="10756" max="10756" width="14.5703125" style="14" bestFit="1" customWidth="1"/>
    <col min="10757" max="10757" width="4.5703125" style="14" bestFit="1" customWidth="1"/>
    <col min="10758" max="10758" width="22.140625" style="14" bestFit="1" customWidth="1"/>
    <col min="10759" max="10759" width="24.140625" style="14" bestFit="1" customWidth="1"/>
    <col min="10760" max="10760" width="10.7109375" style="14" bestFit="1" customWidth="1"/>
    <col min="10761" max="10761" width="20" style="14" bestFit="1" customWidth="1"/>
    <col min="10762" max="10762" width="11.85546875" style="14" bestFit="1" customWidth="1"/>
    <col min="10763" max="10763" width="10.42578125" style="14" bestFit="1" customWidth="1"/>
    <col min="10764" max="10764" width="42.28515625" style="14" bestFit="1" customWidth="1"/>
    <col min="10765" max="10765" width="13.5703125" style="14" bestFit="1" customWidth="1"/>
    <col min="10766" max="10766" width="7.7109375" style="14" bestFit="1" customWidth="1"/>
    <col min="10767" max="10767" width="10.7109375" style="14" bestFit="1" customWidth="1"/>
    <col min="10768" max="10768" width="9.28515625" style="14" bestFit="1" customWidth="1"/>
    <col min="10769" max="10769" width="8.7109375" style="14" bestFit="1" customWidth="1"/>
    <col min="10770" max="11008" width="9.140625" style="14"/>
    <col min="11009" max="11009" width="4.42578125" style="14" bestFit="1" customWidth="1"/>
    <col min="11010" max="11010" width="13.85546875" style="14" bestFit="1" customWidth="1"/>
    <col min="11011" max="11011" width="11.28515625" style="14" bestFit="1" customWidth="1"/>
    <col min="11012" max="11012" width="14.5703125" style="14" bestFit="1" customWidth="1"/>
    <col min="11013" max="11013" width="4.5703125" style="14" bestFit="1" customWidth="1"/>
    <col min="11014" max="11014" width="22.140625" style="14" bestFit="1" customWidth="1"/>
    <col min="11015" max="11015" width="24.140625" style="14" bestFit="1" customWidth="1"/>
    <col min="11016" max="11016" width="10.7109375" style="14" bestFit="1" customWidth="1"/>
    <col min="11017" max="11017" width="20" style="14" bestFit="1" customWidth="1"/>
    <col min="11018" max="11018" width="11.85546875" style="14" bestFit="1" customWidth="1"/>
    <col min="11019" max="11019" width="10.42578125" style="14" bestFit="1" customWidth="1"/>
    <col min="11020" max="11020" width="42.28515625" style="14" bestFit="1" customWidth="1"/>
    <col min="11021" max="11021" width="13.5703125" style="14" bestFit="1" customWidth="1"/>
    <col min="11022" max="11022" width="7.7109375" style="14" bestFit="1" customWidth="1"/>
    <col min="11023" max="11023" width="10.7109375" style="14" bestFit="1" customWidth="1"/>
    <col min="11024" max="11024" width="9.28515625" style="14" bestFit="1" customWidth="1"/>
    <col min="11025" max="11025" width="8.7109375" style="14" bestFit="1" customWidth="1"/>
    <col min="11026" max="11264" width="9.140625" style="14"/>
    <col min="11265" max="11265" width="4.42578125" style="14" bestFit="1" customWidth="1"/>
    <col min="11266" max="11266" width="13.85546875" style="14" bestFit="1" customWidth="1"/>
    <col min="11267" max="11267" width="11.28515625" style="14" bestFit="1" customWidth="1"/>
    <col min="11268" max="11268" width="14.5703125" style="14" bestFit="1" customWidth="1"/>
    <col min="11269" max="11269" width="4.5703125" style="14" bestFit="1" customWidth="1"/>
    <col min="11270" max="11270" width="22.140625" style="14" bestFit="1" customWidth="1"/>
    <col min="11271" max="11271" width="24.140625" style="14" bestFit="1" customWidth="1"/>
    <col min="11272" max="11272" width="10.7109375" style="14" bestFit="1" customWidth="1"/>
    <col min="11273" max="11273" width="20" style="14" bestFit="1" customWidth="1"/>
    <col min="11274" max="11274" width="11.85546875" style="14" bestFit="1" customWidth="1"/>
    <col min="11275" max="11275" width="10.42578125" style="14" bestFit="1" customWidth="1"/>
    <col min="11276" max="11276" width="42.28515625" style="14" bestFit="1" customWidth="1"/>
    <col min="11277" max="11277" width="13.5703125" style="14" bestFit="1" customWidth="1"/>
    <col min="11278" max="11278" width="7.7109375" style="14" bestFit="1" customWidth="1"/>
    <col min="11279" max="11279" width="10.7109375" style="14" bestFit="1" customWidth="1"/>
    <col min="11280" max="11280" width="9.28515625" style="14" bestFit="1" customWidth="1"/>
    <col min="11281" max="11281" width="8.7109375" style="14" bestFit="1" customWidth="1"/>
    <col min="11282" max="11520" width="9.140625" style="14"/>
    <col min="11521" max="11521" width="4.42578125" style="14" bestFit="1" customWidth="1"/>
    <col min="11522" max="11522" width="13.85546875" style="14" bestFit="1" customWidth="1"/>
    <col min="11523" max="11523" width="11.28515625" style="14" bestFit="1" customWidth="1"/>
    <col min="11524" max="11524" width="14.5703125" style="14" bestFit="1" customWidth="1"/>
    <col min="11525" max="11525" width="4.5703125" style="14" bestFit="1" customWidth="1"/>
    <col min="11526" max="11526" width="22.140625" style="14" bestFit="1" customWidth="1"/>
    <col min="11527" max="11527" width="24.140625" style="14" bestFit="1" customWidth="1"/>
    <col min="11528" max="11528" width="10.7109375" style="14" bestFit="1" customWidth="1"/>
    <col min="11529" max="11529" width="20" style="14" bestFit="1" customWidth="1"/>
    <col min="11530" max="11530" width="11.85546875" style="14" bestFit="1" customWidth="1"/>
    <col min="11531" max="11531" width="10.42578125" style="14" bestFit="1" customWidth="1"/>
    <col min="11532" max="11532" width="42.28515625" style="14" bestFit="1" customWidth="1"/>
    <col min="11533" max="11533" width="13.5703125" style="14" bestFit="1" customWidth="1"/>
    <col min="11534" max="11534" width="7.7109375" style="14" bestFit="1" customWidth="1"/>
    <col min="11535" max="11535" width="10.7109375" style="14" bestFit="1" customWidth="1"/>
    <col min="11536" max="11536" width="9.28515625" style="14" bestFit="1" customWidth="1"/>
    <col min="11537" max="11537" width="8.7109375" style="14" bestFit="1" customWidth="1"/>
    <col min="11538" max="11776" width="9.140625" style="14"/>
    <col min="11777" max="11777" width="4.42578125" style="14" bestFit="1" customWidth="1"/>
    <col min="11778" max="11778" width="13.85546875" style="14" bestFit="1" customWidth="1"/>
    <col min="11779" max="11779" width="11.28515625" style="14" bestFit="1" customWidth="1"/>
    <col min="11780" max="11780" width="14.5703125" style="14" bestFit="1" customWidth="1"/>
    <col min="11781" max="11781" width="4.5703125" style="14" bestFit="1" customWidth="1"/>
    <col min="11782" max="11782" width="22.140625" style="14" bestFit="1" customWidth="1"/>
    <col min="11783" max="11783" width="24.140625" style="14" bestFit="1" customWidth="1"/>
    <col min="11784" max="11784" width="10.7109375" style="14" bestFit="1" customWidth="1"/>
    <col min="11785" max="11785" width="20" style="14" bestFit="1" customWidth="1"/>
    <col min="11786" max="11786" width="11.85546875" style="14" bestFit="1" customWidth="1"/>
    <col min="11787" max="11787" width="10.42578125" style="14" bestFit="1" customWidth="1"/>
    <col min="11788" max="11788" width="42.28515625" style="14" bestFit="1" customWidth="1"/>
    <col min="11789" max="11789" width="13.5703125" style="14" bestFit="1" customWidth="1"/>
    <col min="11790" max="11790" width="7.7109375" style="14" bestFit="1" customWidth="1"/>
    <col min="11791" max="11791" width="10.7109375" style="14" bestFit="1" customWidth="1"/>
    <col min="11792" max="11792" width="9.28515625" style="14" bestFit="1" customWidth="1"/>
    <col min="11793" max="11793" width="8.7109375" style="14" bestFit="1" customWidth="1"/>
    <col min="11794" max="12032" width="9.140625" style="14"/>
    <col min="12033" max="12033" width="4.42578125" style="14" bestFit="1" customWidth="1"/>
    <col min="12034" max="12034" width="13.85546875" style="14" bestFit="1" customWidth="1"/>
    <col min="12035" max="12035" width="11.28515625" style="14" bestFit="1" customWidth="1"/>
    <col min="12036" max="12036" width="14.5703125" style="14" bestFit="1" customWidth="1"/>
    <col min="12037" max="12037" width="4.5703125" style="14" bestFit="1" customWidth="1"/>
    <col min="12038" max="12038" width="22.140625" style="14" bestFit="1" customWidth="1"/>
    <col min="12039" max="12039" width="24.140625" style="14" bestFit="1" customWidth="1"/>
    <col min="12040" max="12040" width="10.7109375" style="14" bestFit="1" customWidth="1"/>
    <col min="12041" max="12041" width="20" style="14" bestFit="1" customWidth="1"/>
    <col min="12042" max="12042" width="11.85546875" style="14" bestFit="1" customWidth="1"/>
    <col min="12043" max="12043" width="10.42578125" style="14" bestFit="1" customWidth="1"/>
    <col min="12044" max="12044" width="42.28515625" style="14" bestFit="1" customWidth="1"/>
    <col min="12045" max="12045" width="13.5703125" style="14" bestFit="1" customWidth="1"/>
    <col min="12046" max="12046" width="7.7109375" style="14" bestFit="1" customWidth="1"/>
    <col min="12047" max="12047" width="10.7109375" style="14" bestFit="1" customWidth="1"/>
    <col min="12048" max="12048" width="9.28515625" style="14" bestFit="1" customWidth="1"/>
    <col min="12049" max="12049" width="8.7109375" style="14" bestFit="1" customWidth="1"/>
    <col min="12050" max="12288" width="9.140625" style="14"/>
    <col min="12289" max="12289" width="4.42578125" style="14" bestFit="1" customWidth="1"/>
    <col min="12290" max="12290" width="13.85546875" style="14" bestFit="1" customWidth="1"/>
    <col min="12291" max="12291" width="11.28515625" style="14" bestFit="1" customWidth="1"/>
    <col min="12292" max="12292" width="14.5703125" style="14" bestFit="1" customWidth="1"/>
    <col min="12293" max="12293" width="4.5703125" style="14" bestFit="1" customWidth="1"/>
    <col min="12294" max="12294" width="22.140625" style="14" bestFit="1" customWidth="1"/>
    <col min="12295" max="12295" width="24.140625" style="14" bestFit="1" customWidth="1"/>
    <col min="12296" max="12296" width="10.7109375" style="14" bestFit="1" customWidth="1"/>
    <col min="12297" max="12297" width="20" style="14" bestFit="1" customWidth="1"/>
    <col min="12298" max="12298" width="11.85546875" style="14" bestFit="1" customWidth="1"/>
    <col min="12299" max="12299" width="10.42578125" style="14" bestFit="1" customWidth="1"/>
    <col min="12300" max="12300" width="42.28515625" style="14" bestFit="1" customWidth="1"/>
    <col min="12301" max="12301" width="13.5703125" style="14" bestFit="1" customWidth="1"/>
    <col min="12302" max="12302" width="7.7109375" style="14" bestFit="1" customWidth="1"/>
    <col min="12303" max="12303" width="10.7109375" style="14" bestFit="1" customWidth="1"/>
    <col min="12304" max="12304" width="9.28515625" style="14" bestFit="1" customWidth="1"/>
    <col min="12305" max="12305" width="8.7109375" style="14" bestFit="1" customWidth="1"/>
    <col min="12306" max="12544" width="9.140625" style="14"/>
    <col min="12545" max="12545" width="4.42578125" style="14" bestFit="1" customWidth="1"/>
    <col min="12546" max="12546" width="13.85546875" style="14" bestFit="1" customWidth="1"/>
    <col min="12547" max="12547" width="11.28515625" style="14" bestFit="1" customWidth="1"/>
    <col min="12548" max="12548" width="14.5703125" style="14" bestFit="1" customWidth="1"/>
    <col min="12549" max="12549" width="4.5703125" style="14" bestFit="1" customWidth="1"/>
    <col min="12550" max="12550" width="22.140625" style="14" bestFit="1" customWidth="1"/>
    <col min="12551" max="12551" width="24.140625" style="14" bestFit="1" customWidth="1"/>
    <col min="12552" max="12552" width="10.7109375" style="14" bestFit="1" customWidth="1"/>
    <col min="12553" max="12553" width="20" style="14" bestFit="1" customWidth="1"/>
    <col min="12554" max="12554" width="11.85546875" style="14" bestFit="1" customWidth="1"/>
    <col min="12555" max="12555" width="10.42578125" style="14" bestFit="1" customWidth="1"/>
    <col min="12556" max="12556" width="42.28515625" style="14" bestFit="1" customWidth="1"/>
    <col min="12557" max="12557" width="13.5703125" style="14" bestFit="1" customWidth="1"/>
    <col min="12558" max="12558" width="7.7109375" style="14" bestFit="1" customWidth="1"/>
    <col min="12559" max="12559" width="10.7109375" style="14" bestFit="1" customWidth="1"/>
    <col min="12560" max="12560" width="9.28515625" style="14" bestFit="1" customWidth="1"/>
    <col min="12561" max="12561" width="8.7109375" style="14" bestFit="1" customWidth="1"/>
    <col min="12562" max="12800" width="9.140625" style="14"/>
    <col min="12801" max="12801" width="4.42578125" style="14" bestFit="1" customWidth="1"/>
    <col min="12802" max="12802" width="13.85546875" style="14" bestFit="1" customWidth="1"/>
    <col min="12803" max="12803" width="11.28515625" style="14" bestFit="1" customWidth="1"/>
    <col min="12804" max="12804" width="14.5703125" style="14" bestFit="1" customWidth="1"/>
    <col min="12805" max="12805" width="4.5703125" style="14" bestFit="1" customWidth="1"/>
    <col min="12806" max="12806" width="22.140625" style="14" bestFit="1" customWidth="1"/>
    <col min="12807" max="12807" width="24.140625" style="14" bestFit="1" customWidth="1"/>
    <col min="12808" max="12808" width="10.7109375" style="14" bestFit="1" customWidth="1"/>
    <col min="12809" max="12809" width="20" style="14" bestFit="1" customWidth="1"/>
    <col min="12810" max="12810" width="11.85546875" style="14" bestFit="1" customWidth="1"/>
    <col min="12811" max="12811" width="10.42578125" style="14" bestFit="1" customWidth="1"/>
    <col min="12812" max="12812" width="42.28515625" style="14" bestFit="1" customWidth="1"/>
    <col min="12813" max="12813" width="13.5703125" style="14" bestFit="1" customWidth="1"/>
    <col min="12814" max="12814" width="7.7109375" style="14" bestFit="1" customWidth="1"/>
    <col min="12815" max="12815" width="10.7109375" style="14" bestFit="1" customWidth="1"/>
    <col min="12816" max="12816" width="9.28515625" style="14" bestFit="1" customWidth="1"/>
    <col min="12817" max="12817" width="8.7109375" style="14" bestFit="1" customWidth="1"/>
    <col min="12818" max="13056" width="9.140625" style="14"/>
    <col min="13057" max="13057" width="4.42578125" style="14" bestFit="1" customWidth="1"/>
    <col min="13058" max="13058" width="13.85546875" style="14" bestFit="1" customWidth="1"/>
    <col min="13059" max="13059" width="11.28515625" style="14" bestFit="1" customWidth="1"/>
    <col min="13060" max="13060" width="14.5703125" style="14" bestFit="1" customWidth="1"/>
    <col min="13061" max="13061" width="4.5703125" style="14" bestFit="1" customWidth="1"/>
    <col min="13062" max="13062" width="22.140625" style="14" bestFit="1" customWidth="1"/>
    <col min="13063" max="13063" width="24.140625" style="14" bestFit="1" customWidth="1"/>
    <col min="13064" max="13064" width="10.7109375" style="14" bestFit="1" customWidth="1"/>
    <col min="13065" max="13065" width="20" style="14" bestFit="1" customWidth="1"/>
    <col min="13066" max="13066" width="11.85546875" style="14" bestFit="1" customWidth="1"/>
    <col min="13067" max="13067" width="10.42578125" style="14" bestFit="1" customWidth="1"/>
    <col min="13068" max="13068" width="42.28515625" style="14" bestFit="1" customWidth="1"/>
    <col min="13069" max="13069" width="13.5703125" style="14" bestFit="1" customWidth="1"/>
    <col min="13070" max="13070" width="7.7109375" style="14" bestFit="1" customWidth="1"/>
    <col min="13071" max="13071" width="10.7109375" style="14" bestFit="1" customWidth="1"/>
    <col min="13072" max="13072" width="9.28515625" style="14" bestFit="1" customWidth="1"/>
    <col min="13073" max="13073" width="8.7109375" style="14" bestFit="1" customWidth="1"/>
    <col min="13074" max="13312" width="9.140625" style="14"/>
    <col min="13313" max="13313" width="4.42578125" style="14" bestFit="1" customWidth="1"/>
    <col min="13314" max="13314" width="13.85546875" style="14" bestFit="1" customWidth="1"/>
    <col min="13315" max="13315" width="11.28515625" style="14" bestFit="1" customWidth="1"/>
    <col min="13316" max="13316" width="14.5703125" style="14" bestFit="1" customWidth="1"/>
    <col min="13317" max="13317" width="4.5703125" style="14" bestFit="1" customWidth="1"/>
    <col min="13318" max="13318" width="22.140625" style="14" bestFit="1" customWidth="1"/>
    <col min="13319" max="13319" width="24.140625" style="14" bestFit="1" customWidth="1"/>
    <col min="13320" max="13320" width="10.7109375" style="14" bestFit="1" customWidth="1"/>
    <col min="13321" max="13321" width="20" style="14" bestFit="1" customWidth="1"/>
    <col min="13322" max="13322" width="11.85546875" style="14" bestFit="1" customWidth="1"/>
    <col min="13323" max="13323" width="10.42578125" style="14" bestFit="1" customWidth="1"/>
    <col min="13324" max="13324" width="42.28515625" style="14" bestFit="1" customWidth="1"/>
    <col min="13325" max="13325" width="13.5703125" style="14" bestFit="1" customWidth="1"/>
    <col min="13326" max="13326" width="7.7109375" style="14" bestFit="1" customWidth="1"/>
    <col min="13327" max="13327" width="10.7109375" style="14" bestFit="1" customWidth="1"/>
    <col min="13328" max="13328" width="9.28515625" style="14" bestFit="1" customWidth="1"/>
    <col min="13329" max="13329" width="8.7109375" style="14" bestFit="1" customWidth="1"/>
    <col min="13330" max="13568" width="9.140625" style="14"/>
    <col min="13569" max="13569" width="4.42578125" style="14" bestFit="1" customWidth="1"/>
    <col min="13570" max="13570" width="13.85546875" style="14" bestFit="1" customWidth="1"/>
    <col min="13571" max="13571" width="11.28515625" style="14" bestFit="1" customWidth="1"/>
    <col min="13572" max="13572" width="14.5703125" style="14" bestFit="1" customWidth="1"/>
    <col min="13573" max="13573" width="4.5703125" style="14" bestFit="1" customWidth="1"/>
    <col min="13574" max="13574" width="22.140625" style="14" bestFit="1" customWidth="1"/>
    <col min="13575" max="13575" width="24.140625" style="14" bestFit="1" customWidth="1"/>
    <col min="13576" max="13576" width="10.7109375" style="14" bestFit="1" customWidth="1"/>
    <col min="13577" max="13577" width="20" style="14" bestFit="1" customWidth="1"/>
    <col min="13578" max="13578" width="11.85546875" style="14" bestFit="1" customWidth="1"/>
    <col min="13579" max="13579" width="10.42578125" style="14" bestFit="1" customWidth="1"/>
    <col min="13580" max="13580" width="42.28515625" style="14" bestFit="1" customWidth="1"/>
    <col min="13581" max="13581" width="13.5703125" style="14" bestFit="1" customWidth="1"/>
    <col min="13582" max="13582" width="7.7109375" style="14" bestFit="1" customWidth="1"/>
    <col min="13583" max="13583" width="10.7109375" style="14" bestFit="1" customWidth="1"/>
    <col min="13584" max="13584" width="9.28515625" style="14" bestFit="1" customWidth="1"/>
    <col min="13585" max="13585" width="8.7109375" style="14" bestFit="1" customWidth="1"/>
    <col min="13586" max="13824" width="9.140625" style="14"/>
    <col min="13825" max="13825" width="4.42578125" style="14" bestFit="1" customWidth="1"/>
    <col min="13826" max="13826" width="13.85546875" style="14" bestFit="1" customWidth="1"/>
    <col min="13827" max="13827" width="11.28515625" style="14" bestFit="1" customWidth="1"/>
    <col min="13828" max="13828" width="14.5703125" style="14" bestFit="1" customWidth="1"/>
    <col min="13829" max="13829" width="4.5703125" style="14" bestFit="1" customWidth="1"/>
    <col min="13830" max="13830" width="22.140625" style="14" bestFit="1" customWidth="1"/>
    <col min="13831" max="13831" width="24.140625" style="14" bestFit="1" customWidth="1"/>
    <col min="13832" max="13832" width="10.7109375" style="14" bestFit="1" customWidth="1"/>
    <col min="13833" max="13833" width="20" style="14" bestFit="1" customWidth="1"/>
    <col min="13834" max="13834" width="11.85546875" style="14" bestFit="1" customWidth="1"/>
    <col min="13835" max="13835" width="10.42578125" style="14" bestFit="1" customWidth="1"/>
    <col min="13836" max="13836" width="42.28515625" style="14" bestFit="1" customWidth="1"/>
    <col min="13837" max="13837" width="13.5703125" style="14" bestFit="1" customWidth="1"/>
    <col min="13838" max="13838" width="7.7109375" style="14" bestFit="1" customWidth="1"/>
    <col min="13839" max="13839" width="10.7109375" style="14" bestFit="1" customWidth="1"/>
    <col min="13840" max="13840" width="9.28515625" style="14" bestFit="1" customWidth="1"/>
    <col min="13841" max="13841" width="8.7109375" style="14" bestFit="1" customWidth="1"/>
    <col min="13842" max="14080" width="9.140625" style="14"/>
    <col min="14081" max="14081" width="4.42578125" style="14" bestFit="1" customWidth="1"/>
    <col min="14082" max="14082" width="13.85546875" style="14" bestFit="1" customWidth="1"/>
    <col min="14083" max="14083" width="11.28515625" style="14" bestFit="1" customWidth="1"/>
    <col min="14084" max="14084" width="14.5703125" style="14" bestFit="1" customWidth="1"/>
    <col min="14085" max="14085" width="4.5703125" style="14" bestFit="1" customWidth="1"/>
    <col min="14086" max="14086" width="22.140625" style="14" bestFit="1" customWidth="1"/>
    <col min="14087" max="14087" width="24.140625" style="14" bestFit="1" customWidth="1"/>
    <col min="14088" max="14088" width="10.7109375" style="14" bestFit="1" customWidth="1"/>
    <col min="14089" max="14089" width="20" style="14" bestFit="1" customWidth="1"/>
    <col min="14090" max="14090" width="11.85546875" style="14" bestFit="1" customWidth="1"/>
    <col min="14091" max="14091" width="10.42578125" style="14" bestFit="1" customWidth="1"/>
    <col min="14092" max="14092" width="42.28515625" style="14" bestFit="1" customWidth="1"/>
    <col min="14093" max="14093" width="13.5703125" style="14" bestFit="1" customWidth="1"/>
    <col min="14094" max="14094" width="7.7109375" style="14" bestFit="1" customWidth="1"/>
    <col min="14095" max="14095" width="10.7109375" style="14" bestFit="1" customWidth="1"/>
    <col min="14096" max="14096" width="9.28515625" style="14" bestFit="1" customWidth="1"/>
    <col min="14097" max="14097" width="8.7109375" style="14" bestFit="1" customWidth="1"/>
    <col min="14098" max="14336" width="9.140625" style="14"/>
    <col min="14337" max="14337" width="4.42578125" style="14" bestFit="1" customWidth="1"/>
    <col min="14338" max="14338" width="13.85546875" style="14" bestFit="1" customWidth="1"/>
    <col min="14339" max="14339" width="11.28515625" style="14" bestFit="1" customWidth="1"/>
    <col min="14340" max="14340" width="14.5703125" style="14" bestFit="1" customWidth="1"/>
    <col min="14341" max="14341" width="4.5703125" style="14" bestFit="1" customWidth="1"/>
    <col min="14342" max="14342" width="22.140625" style="14" bestFit="1" customWidth="1"/>
    <col min="14343" max="14343" width="24.140625" style="14" bestFit="1" customWidth="1"/>
    <col min="14344" max="14344" width="10.7109375" style="14" bestFit="1" customWidth="1"/>
    <col min="14345" max="14345" width="20" style="14" bestFit="1" customWidth="1"/>
    <col min="14346" max="14346" width="11.85546875" style="14" bestFit="1" customWidth="1"/>
    <col min="14347" max="14347" width="10.42578125" style="14" bestFit="1" customWidth="1"/>
    <col min="14348" max="14348" width="42.28515625" style="14" bestFit="1" customWidth="1"/>
    <col min="14349" max="14349" width="13.5703125" style="14" bestFit="1" customWidth="1"/>
    <col min="14350" max="14350" width="7.7109375" style="14" bestFit="1" customWidth="1"/>
    <col min="14351" max="14351" width="10.7109375" style="14" bestFit="1" customWidth="1"/>
    <col min="14352" max="14352" width="9.28515625" style="14" bestFit="1" customWidth="1"/>
    <col min="14353" max="14353" width="8.7109375" style="14" bestFit="1" customWidth="1"/>
    <col min="14354" max="14592" width="9.140625" style="14"/>
    <col min="14593" max="14593" width="4.42578125" style="14" bestFit="1" customWidth="1"/>
    <col min="14594" max="14594" width="13.85546875" style="14" bestFit="1" customWidth="1"/>
    <col min="14595" max="14595" width="11.28515625" style="14" bestFit="1" customWidth="1"/>
    <col min="14596" max="14596" width="14.5703125" style="14" bestFit="1" customWidth="1"/>
    <col min="14597" max="14597" width="4.5703125" style="14" bestFit="1" customWidth="1"/>
    <col min="14598" max="14598" width="22.140625" style="14" bestFit="1" customWidth="1"/>
    <col min="14599" max="14599" width="24.140625" style="14" bestFit="1" customWidth="1"/>
    <col min="14600" max="14600" width="10.7109375" style="14" bestFit="1" customWidth="1"/>
    <col min="14601" max="14601" width="20" style="14" bestFit="1" customWidth="1"/>
    <col min="14602" max="14602" width="11.85546875" style="14" bestFit="1" customWidth="1"/>
    <col min="14603" max="14603" width="10.42578125" style="14" bestFit="1" customWidth="1"/>
    <col min="14604" max="14604" width="42.28515625" style="14" bestFit="1" customWidth="1"/>
    <col min="14605" max="14605" width="13.5703125" style="14" bestFit="1" customWidth="1"/>
    <col min="14606" max="14606" width="7.7109375" style="14" bestFit="1" customWidth="1"/>
    <col min="14607" max="14607" width="10.7109375" style="14" bestFit="1" customWidth="1"/>
    <col min="14608" max="14608" width="9.28515625" style="14" bestFit="1" customWidth="1"/>
    <col min="14609" max="14609" width="8.7109375" style="14" bestFit="1" customWidth="1"/>
    <col min="14610" max="14848" width="9.140625" style="14"/>
    <col min="14849" max="14849" width="4.42578125" style="14" bestFit="1" customWidth="1"/>
    <col min="14850" max="14850" width="13.85546875" style="14" bestFit="1" customWidth="1"/>
    <col min="14851" max="14851" width="11.28515625" style="14" bestFit="1" customWidth="1"/>
    <col min="14852" max="14852" width="14.5703125" style="14" bestFit="1" customWidth="1"/>
    <col min="14853" max="14853" width="4.5703125" style="14" bestFit="1" customWidth="1"/>
    <col min="14854" max="14854" width="22.140625" style="14" bestFit="1" customWidth="1"/>
    <col min="14855" max="14855" width="24.140625" style="14" bestFit="1" customWidth="1"/>
    <col min="14856" max="14856" width="10.7109375" style="14" bestFit="1" customWidth="1"/>
    <col min="14857" max="14857" width="20" style="14" bestFit="1" customWidth="1"/>
    <col min="14858" max="14858" width="11.85546875" style="14" bestFit="1" customWidth="1"/>
    <col min="14859" max="14859" width="10.42578125" style="14" bestFit="1" customWidth="1"/>
    <col min="14860" max="14860" width="42.28515625" style="14" bestFit="1" customWidth="1"/>
    <col min="14861" max="14861" width="13.5703125" style="14" bestFit="1" customWidth="1"/>
    <col min="14862" max="14862" width="7.7109375" style="14" bestFit="1" customWidth="1"/>
    <col min="14863" max="14863" width="10.7109375" style="14" bestFit="1" customWidth="1"/>
    <col min="14864" max="14864" width="9.28515625" style="14" bestFit="1" customWidth="1"/>
    <col min="14865" max="14865" width="8.7109375" style="14" bestFit="1" customWidth="1"/>
    <col min="14866" max="15104" width="9.140625" style="14"/>
    <col min="15105" max="15105" width="4.42578125" style="14" bestFit="1" customWidth="1"/>
    <col min="15106" max="15106" width="13.85546875" style="14" bestFit="1" customWidth="1"/>
    <col min="15107" max="15107" width="11.28515625" style="14" bestFit="1" customWidth="1"/>
    <col min="15108" max="15108" width="14.5703125" style="14" bestFit="1" customWidth="1"/>
    <col min="15109" max="15109" width="4.5703125" style="14" bestFit="1" customWidth="1"/>
    <col min="15110" max="15110" width="22.140625" style="14" bestFit="1" customWidth="1"/>
    <col min="15111" max="15111" width="24.140625" style="14" bestFit="1" customWidth="1"/>
    <col min="15112" max="15112" width="10.7109375" style="14" bestFit="1" customWidth="1"/>
    <col min="15113" max="15113" width="20" style="14" bestFit="1" customWidth="1"/>
    <col min="15114" max="15114" width="11.85546875" style="14" bestFit="1" customWidth="1"/>
    <col min="15115" max="15115" width="10.42578125" style="14" bestFit="1" customWidth="1"/>
    <col min="15116" max="15116" width="42.28515625" style="14" bestFit="1" customWidth="1"/>
    <col min="15117" max="15117" width="13.5703125" style="14" bestFit="1" customWidth="1"/>
    <col min="15118" max="15118" width="7.7109375" style="14" bestFit="1" customWidth="1"/>
    <col min="15119" max="15119" width="10.7109375" style="14" bestFit="1" customWidth="1"/>
    <col min="15120" max="15120" width="9.28515625" style="14" bestFit="1" customWidth="1"/>
    <col min="15121" max="15121" width="8.7109375" style="14" bestFit="1" customWidth="1"/>
    <col min="15122" max="15360" width="9.140625" style="14"/>
    <col min="15361" max="15361" width="4.42578125" style="14" bestFit="1" customWidth="1"/>
    <col min="15362" max="15362" width="13.85546875" style="14" bestFit="1" customWidth="1"/>
    <col min="15363" max="15363" width="11.28515625" style="14" bestFit="1" customWidth="1"/>
    <col min="15364" max="15364" width="14.5703125" style="14" bestFit="1" customWidth="1"/>
    <col min="15365" max="15365" width="4.5703125" style="14" bestFit="1" customWidth="1"/>
    <col min="15366" max="15366" width="22.140625" style="14" bestFit="1" customWidth="1"/>
    <col min="15367" max="15367" width="24.140625" style="14" bestFit="1" customWidth="1"/>
    <col min="15368" max="15368" width="10.7109375" style="14" bestFit="1" customWidth="1"/>
    <col min="15369" max="15369" width="20" style="14" bestFit="1" customWidth="1"/>
    <col min="15370" max="15370" width="11.85546875" style="14" bestFit="1" customWidth="1"/>
    <col min="15371" max="15371" width="10.42578125" style="14" bestFit="1" customWidth="1"/>
    <col min="15372" max="15372" width="42.28515625" style="14" bestFit="1" customWidth="1"/>
    <col min="15373" max="15373" width="13.5703125" style="14" bestFit="1" customWidth="1"/>
    <col min="15374" max="15374" width="7.7109375" style="14" bestFit="1" customWidth="1"/>
    <col min="15375" max="15375" width="10.7109375" style="14" bestFit="1" customWidth="1"/>
    <col min="15376" max="15376" width="9.28515625" style="14" bestFit="1" customWidth="1"/>
    <col min="15377" max="15377" width="8.7109375" style="14" bestFit="1" customWidth="1"/>
    <col min="15378" max="15616" width="9.140625" style="14"/>
    <col min="15617" max="15617" width="4.42578125" style="14" bestFit="1" customWidth="1"/>
    <col min="15618" max="15618" width="13.85546875" style="14" bestFit="1" customWidth="1"/>
    <col min="15619" max="15619" width="11.28515625" style="14" bestFit="1" customWidth="1"/>
    <col min="15620" max="15620" width="14.5703125" style="14" bestFit="1" customWidth="1"/>
    <col min="15621" max="15621" width="4.5703125" style="14" bestFit="1" customWidth="1"/>
    <col min="15622" max="15622" width="22.140625" style="14" bestFit="1" customWidth="1"/>
    <col min="15623" max="15623" width="24.140625" style="14" bestFit="1" customWidth="1"/>
    <col min="15624" max="15624" width="10.7109375" style="14" bestFit="1" customWidth="1"/>
    <col min="15625" max="15625" width="20" style="14" bestFit="1" customWidth="1"/>
    <col min="15626" max="15626" width="11.85546875" style="14" bestFit="1" customWidth="1"/>
    <col min="15627" max="15627" width="10.42578125" style="14" bestFit="1" customWidth="1"/>
    <col min="15628" max="15628" width="42.28515625" style="14" bestFit="1" customWidth="1"/>
    <col min="15629" max="15629" width="13.5703125" style="14" bestFit="1" customWidth="1"/>
    <col min="15630" max="15630" width="7.7109375" style="14" bestFit="1" customWidth="1"/>
    <col min="15631" max="15631" width="10.7109375" style="14" bestFit="1" customWidth="1"/>
    <col min="15632" max="15632" width="9.28515625" style="14" bestFit="1" customWidth="1"/>
    <col min="15633" max="15633" width="8.7109375" style="14" bestFit="1" customWidth="1"/>
    <col min="15634" max="15872" width="9.140625" style="14"/>
    <col min="15873" max="15873" width="4.42578125" style="14" bestFit="1" customWidth="1"/>
    <col min="15874" max="15874" width="13.85546875" style="14" bestFit="1" customWidth="1"/>
    <col min="15875" max="15875" width="11.28515625" style="14" bestFit="1" customWidth="1"/>
    <col min="15876" max="15876" width="14.5703125" style="14" bestFit="1" customWidth="1"/>
    <col min="15877" max="15877" width="4.5703125" style="14" bestFit="1" customWidth="1"/>
    <col min="15878" max="15878" width="22.140625" style="14" bestFit="1" customWidth="1"/>
    <col min="15879" max="15879" width="24.140625" style="14" bestFit="1" customWidth="1"/>
    <col min="15880" max="15880" width="10.7109375" style="14" bestFit="1" customWidth="1"/>
    <col min="15881" max="15881" width="20" style="14" bestFit="1" customWidth="1"/>
    <col min="15882" max="15882" width="11.85546875" style="14" bestFit="1" customWidth="1"/>
    <col min="15883" max="15883" width="10.42578125" style="14" bestFit="1" customWidth="1"/>
    <col min="15884" max="15884" width="42.28515625" style="14" bestFit="1" customWidth="1"/>
    <col min="15885" max="15885" width="13.5703125" style="14" bestFit="1" customWidth="1"/>
    <col min="15886" max="15886" width="7.7109375" style="14" bestFit="1" customWidth="1"/>
    <col min="15887" max="15887" width="10.7109375" style="14" bestFit="1" customWidth="1"/>
    <col min="15888" max="15888" width="9.28515625" style="14" bestFit="1" customWidth="1"/>
    <col min="15889" max="15889" width="8.7109375" style="14" bestFit="1" customWidth="1"/>
    <col min="15890" max="16128" width="9.140625" style="14"/>
    <col min="16129" max="16129" width="4.42578125" style="14" bestFit="1" customWidth="1"/>
    <col min="16130" max="16130" width="13.85546875" style="14" bestFit="1" customWidth="1"/>
    <col min="16131" max="16131" width="11.28515625" style="14" bestFit="1" customWidth="1"/>
    <col min="16132" max="16132" width="14.5703125" style="14" bestFit="1" customWidth="1"/>
    <col min="16133" max="16133" width="4.5703125" style="14" bestFit="1" customWidth="1"/>
    <col min="16134" max="16134" width="22.140625" style="14" bestFit="1" customWidth="1"/>
    <col min="16135" max="16135" width="24.140625" style="14" bestFit="1" customWidth="1"/>
    <col min="16136" max="16136" width="10.7109375" style="14" bestFit="1" customWidth="1"/>
    <col min="16137" max="16137" width="20" style="14" bestFit="1" customWidth="1"/>
    <col min="16138" max="16138" width="11.85546875" style="14" bestFit="1" customWidth="1"/>
    <col min="16139" max="16139" width="10.42578125" style="14" bestFit="1" customWidth="1"/>
    <col min="16140" max="16140" width="42.28515625" style="14" bestFit="1" customWidth="1"/>
    <col min="16141" max="16141" width="13.5703125" style="14" bestFit="1" customWidth="1"/>
    <col min="16142" max="16142" width="7.7109375" style="14" bestFit="1" customWidth="1"/>
    <col min="16143" max="16143" width="10.7109375" style="14" bestFit="1" customWidth="1"/>
    <col min="16144" max="16144" width="9.28515625" style="14" bestFit="1" customWidth="1"/>
    <col min="16145" max="16145" width="8.7109375" style="14" bestFit="1" customWidth="1"/>
    <col min="16146" max="16384" width="9.140625" style="14"/>
  </cols>
  <sheetData>
    <row r="1" spans="1:17" ht="25.5" x14ac:dyDescent="0.2">
      <c r="A1" s="10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0</v>
      </c>
      <c r="I1" s="11" t="s">
        <v>37</v>
      </c>
      <c r="J1" s="11" t="s">
        <v>38</v>
      </c>
      <c r="K1" s="12" t="s">
        <v>39</v>
      </c>
      <c r="L1" s="11" t="s">
        <v>40</v>
      </c>
      <c r="M1" s="11" t="s">
        <v>41</v>
      </c>
      <c r="N1" s="10" t="s">
        <v>42</v>
      </c>
      <c r="O1" s="10" t="s">
        <v>43</v>
      </c>
      <c r="P1" s="10" t="s">
        <v>44</v>
      </c>
      <c r="Q1" s="13" t="s">
        <v>45</v>
      </c>
    </row>
    <row r="2" spans="1:17" ht="15" hidden="1" outlineLevel="2" x14ac:dyDescent="0.25">
      <c r="A2" s="15" t="s">
        <v>314</v>
      </c>
      <c r="B2" s="14" t="s">
        <v>315</v>
      </c>
      <c r="C2" s="14" t="s">
        <v>316</v>
      </c>
      <c r="D2" s="14" t="s">
        <v>317</v>
      </c>
      <c r="E2" s="16" t="s">
        <v>50</v>
      </c>
      <c r="F2" s="14" t="s">
        <v>268</v>
      </c>
      <c r="G2" s="14" t="s">
        <v>104</v>
      </c>
      <c r="H2" s="17">
        <v>9406.7912250329755</v>
      </c>
      <c r="I2" s="14" t="s">
        <v>53</v>
      </c>
      <c r="J2" s="18">
        <v>35122</v>
      </c>
      <c r="K2" s="18">
        <v>22065</v>
      </c>
      <c r="L2" s="14" t="s">
        <v>318</v>
      </c>
      <c r="M2" s="14" t="s">
        <v>319</v>
      </c>
      <c r="N2" s="19" t="s">
        <v>320</v>
      </c>
      <c r="O2" s="19" t="s">
        <v>321</v>
      </c>
      <c r="P2" s="20" t="s">
        <v>322</v>
      </c>
      <c r="Q2" s="14">
        <v>20</v>
      </c>
    </row>
    <row r="3" spans="1:17" ht="15" outlineLevel="1" collapsed="1" x14ac:dyDescent="0.25">
      <c r="A3" s="15"/>
      <c r="B3" s="14">
        <f>SUBTOTAL(3,B2:B2)</f>
        <v>1</v>
      </c>
      <c r="H3" s="17"/>
      <c r="J3" s="18"/>
      <c r="K3" s="18"/>
      <c r="M3" s="28" t="s">
        <v>614</v>
      </c>
      <c r="N3" s="19"/>
      <c r="O3" s="19"/>
      <c r="P3" s="20"/>
    </row>
    <row r="4" spans="1:17" ht="15" hidden="1" outlineLevel="2" x14ac:dyDescent="0.25">
      <c r="A4" s="15" t="s">
        <v>421</v>
      </c>
      <c r="B4" s="21" t="s">
        <v>422</v>
      </c>
      <c r="C4" s="21" t="s">
        <v>168</v>
      </c>
      <c r="D4" s="14" t="s">
        <v>423</v>
      </c>
      <c r="E4" s="16" t="s">
        <v>50</v>
      </c>
      <c r="F4" s="14" t="s">
        <v>390</v>
      </c>
      <c r="G4" s="21" t="s">
        <v>418</v>
      </c>
      <c r="H4" s="17">
        <v>6769.9436427326746</v>
      </c>
      <c r="I4" s="14" t="s">
        <v>134</v>
      </c>
      <c r="J4" s="18">
        <v>35460</v>
      </c>
      <c r="K4" s="18">
        <v>21194</v>
      </c>
      <c r="L4" s="14" t="s">
        <v>424</v>
      </c>
      <c r="M4" s="14" t="s">
        <v>425</v>
      </c>
      <c r="N4" s="19">
        <v>111765</v>
      </c>
      <c r="O4" s="19" t="s">
        <v>74</v>
      </c>
      <c r="P4" s="20" t="s">
        <v>393</v>
      </c>
      <c r="Q4" s="14">
        <v>31</v>
      </c>
    </row>
    <row r="5" spans="1:17" ht="15" outlineLevel="1" collapsed="1" x14ac:dyDescent="0.25">
      <c r="A5" s="15"/>
      <c r="B5" s="21">
        <f>SUBTOTAL(3,B4:B4)</f>
        <v>1</v>
      </c>
      <c r="C5" s="21"/>
      <c r="G5" s="21"/>
      <c r="H5" s="17"/>
      <c r="J5" s="18"/>
      <c r="K5" s="18"/>
      <c r="M5" s="28" t="s">
        <v>615</v>
      </c>
      <c r="N5" s="19"/>
      <c r="O5" s="19"/>
      <c r="P5" s="20"/>
    </row>
    <row r="6" spans="1:17" ht="15" hidden="1" outlineLevel="2" x14ac:dyDescent="0.25">
      <c r="A6" s="15" t="s">
        <v>264</v>
      </c>
      <c r="B6" s="14" t="s">
        <v>265</v>
      </c>
      <c r="C6" s="14" t="s">
        <v>266</v>
      </c>
      <c r="D6" s="14" t="s">
        <v>267</v>
      </c>
      <c r="E6" s="16" t="s">
        <v>87</v>
      </c>
      <c r="F6" s="14" t="s">
        <v>268</v>
      </c>
      <c r="G6" s="14" t="s">
        <v>144</v>
      </c>
      <c r="H6" s="17">
        <v>10238.0106795096</v>
      </c>
      <c r="I6" s="14" t="s">
        <v>134</v>
      </c>
      <c r="J6" s="18">
        <v>35442</v>
      </c>
      <c r="K6" s="18">
        <v>24300</v>
      </c>
      <c r="L6" s="14" t="s">
        <v>269</v>
      </c>
      <c r="M6" s="14" t="s">
        <v>270</v>
      </c>
      <c r="N6" s="19">
        <v>193000</v>
      </c>
      <c r="O6" s="19" t="s">
        <v>271</v>
      </c>
      <c r="P6" s="20" t="s">
        <v>272</v>
      </c>
      <c r="Q6" s="14">
        <v>17</v>
      </c>
    </row>
    <row r="7" spans="1:17" ht="15" outlineLevel="1" collapsed="1" x14ac:dyDescent="0.25">
      <c r="A7" s="15"/>
      <c r="B7" s="14">
        <f>SUBTOTAL(3,B6:B6)</f>
        <v>1</v>
      </c>
      <c r="H7" s="17"/>
      <c r="J7" s="18"/>
      <c r="K7" s="18"/>
      <c r="M7" s="28" t="s">
        <v>616</v>
      </c>
      <c r="N7" s="19"/>
      <c r="O7" s="19"/>
      <c r="P7" s="20"/>
    </row>
    <row r="8" spans="1:17" ht="15" hidden="1" outlineLevel="2" x14ac:dyDescent="0.25">
      <c r="A8" s="15" t="s">
        <v>130</v>
      </c>
      <c r="B8" s="14" t="s">
        <v>131</v>
      </c>
      <c r="C8" s="14" t="s">
        <v>132</v>
      </c>
      <c r="D8" s="14" t="s">
        <v>69</v>
      </c>
      <c r="E8" s="16" t="s">
        <v>50</v>
      </c>
      <c r="F8" s="14" t="s">
        <v>103</v>
      </c>
      <c r="G8" s="14" t="s">
        <v>133</v>
      </c>
      <c r="H8" s="17">
        <v>12169.6033781476</v>
      </c>
      <c r="I8" s="14" t="s">
        <v>134</v>
      </c>
      <c r="J8" s="18">
        <v>35290</v>
      </c>
      <c r="K8" s="18">
        <v>22250</v>
      </c>
      <c r="L8" s="14" t="s">
        <v>135</v>
      </c>
      <c r="M8" s="14" t="s">
        <v>136</v>
      </c>
      <c r="N8" s="19">
        <v>155006</v>
      </c>
      <c r="O8" s="19" t="s">
        <v>137</v>
      </c>
      <c r="P8" s="20" t="s">
        <v>138</v>
      </c>
      <c r="Q8" s="14">
        <v>5</v>
      </c>
    </row>
    <row r="9" spans="1:17" ht="15" outlineLevel="1" collapsed="1" x14ac:dyDescent="0.25">
      <c r="A9" s="15"/>
      <c r="B9" s="14">
        <f>SUBTOTAL(3,B8:B8)</f>
        <v>1</v>
      </c>
      <c r="H9" s="17"/>
      <c r="J9" s="18"/>
      <c r="K9" s="18"/>
      <c r="M9" s="28" t="s">
        <v>617</v>
      </c>
      <c r="N9" s="19"/>
      <c r="O9" s="19"/>
      <c r="P9" s="20"/>
    </row>
    <row r="10" spans="1:17" ht="15" hidden="1" outlineLevel="2" x14ac:dyDescent="0.25">
      <c r="A10" s="15" t="s">
        <v>273</v>
      </c>
      <c r="B10" s="14" t="s">
        <v>274</v>
      </c>
      <c r="C10" s="14" t="s">
        <v>266</v>
      </c>
      <c r="D10" s="14" t="s">
        <v>95</v>
      </c>
      <c r="E10" s="16" t="s">
        <v>87</v>
      </c>
      <c r="F10" s="14" t="s">
        <v>268</v>
      </c>
      <c r="G10" s="14" t="s">
        <v>275</v>
      </c>
      <c r="H10" s="17">
        <v>10389.8779733723</v>
      </c>
      <c r="I10" s="14" t="s">
        <v>53</v>
      </c>
      <c r="J10" s="18">
        <v>35096</v>
      </c>
      <c r="K10" s="18">
        <v>25810</v>
      </c>
      <c r="L10" s="14" t="s">
        <v>276</v>
      </c>
      <c r="M10" s="14" t="s">
        <v>127</v>
      </c>
      <c r="N10" s="19" t="s">
        <v>277</v>
      </c>
      <c r="O10" s="19" t="s">
        <v>278</v>
      </c>
      <c r="P10" s="20" t="s">
        <v>279</v>
      </c>
      <c r="Q10" s="14">
        <v>18</v>
      </c>
    </row>
    <row r="11" spans="1:17" ht="15" hidden="1" outlineLevel="2" x14ac:dyDescent="0.25">
      <c r="A11" s="15" t="s">
        <v>431</v>
      </c>
      <c r="B11" s="21" t="s">
        <v>432</v>
      </c>
      <c r="C11" s="21" t="s">
        <v>433</v>
      </c>
      <c r="D11" s="14" t="s">
        <v>317</v>
      </c>
      <c r="E11" s="16" t="s">
        <v>50</v>
      </c>
      <c r="F11" s="14" t="s">
        <v>390</v>
      </c>
      <c r="G11" s="21" t="s">
        <v>403</v>
      </c>
      <c r="H11" s="17">
        <v>13349.155517093794</v>
      </c>
      <c r="I11" s="14" t="s">
        <v>63</v>
      </c>
      <c r="J11" s="18">
        <v>35122</v>
      </c>
      <c r="K11" s="18">
        <v>23253</v>
      </c>
      <c r="L11" s="14" t="s">
        <v>434</v>
      </c>
      <c r="M11" s="14" t="s">
        <v>127</v>
      </c>
      <c r="N11" s="19">
        <v>102008</v>
      </c>
      <c r="O11" s="19" t="s">
        <v>435</v>
      </c>
      <c r="P11" s="20" t="s">
        <v>393</v>
      </c>
      <c r="Q11" s="14">
        <v>31</v>
      </c>
    </row>
    <row r="12" spans="1:17" ht="15" hidden="1" outlineLevel="2" x14ac:dyDescent="0.25">
      <c r="A12" s="15" t="s">
        <v>121</v>
      </c>
      <c r="B12" s="14" t="s">
        <v>122</v>
      </c>
      <c r="C12" s="14" t="s">
        <v>123</v>
      </c>
      <c r="D12" s="14" t="s">
        <v>124</v>
      </c>
      <c r="E12" s="16" t="s">
        <v>50</v>
      </c>
      <c r="F12" s="14" t="s">
        <v>103</v>
      </c>
      <c r="G12" s="14" t="s">
        <v>125</v>
      </c>
      <c r="H12" s="17">
        <v>15190.4570729188</v>
      </c>
      <c r="I12" s="14" t="s">
        <v>63</v>
      </c>
      <c r="J12" s="18">
        <v>34436</v>
      </c>
      <c r="K12" s="18">
        <v>26821</v>
      </c>
      <c r="L12" s="14" t="s">
        <v>126</v>
      </c>
      <c r="M12" s="14" t="s">
        <v>127</v>
      </c>
      <c r="N12" s="19">
        <v>114099</v>
      </c>
      <c r="O12" s="19" t="s">
        <v>128</v>
      </c>
      <c r="P12" s="20" t="s">
        <v>129</v>
      </c>
      <c r="Q12" s="14">
        <v>4</v>
      </c>
    </row>
    <row r="13" spans="1:17" ht="15" outlineLevel="1" collapsed="1" x14ac:dyDescent="0.25">
      <c r="A13" s="15"/>
      <c r="B13" s="14">
        <f>SUBTOTAL(3,B10:B12)</f>
        <v>3</v>
      </c>
      <c r="H13" s="17"/>
      <c r="J13" s="18"/>
      <c r="K13" s="18"/>
      <c r="M13" s="28" t="s">
        <v>618</v>
      </c>
      <c r="N13" s="19"/>
      <c r="O13" s="19"/>
      <c r="P13" s="20"/>
    </row>
    <row r="14" spans="1:17" ht="15" hidden="1" outlineLevel="2" x14ac:dyDescent="0.25">
      <c r="A14" s="15" t="s">
        <v>235</v>
      </c>
      <c r="B14" s="14" t="s">
        <v>236</v>
      </c>
      <c r="C14" s="14" t="s">
        <v>237</v>
      </c>
      <c r="D14" s="14" t="s">
        <v>238</v>
      </c>
      <c r="E14" s="16" t="s">
        <v>87</v>
      </c>
      <c r="F14" s="14" t="s">
        <v>161</v>
      </c>
      <c r="G14" s="14" t="s">
        <v>239</v>
      </c>
      <c r="H14" s="17">
        <v>11129.8708790295</v>
      </c>
      <c r="I14" s="14" t="s">
        <v>63</v>
      </c>
      <c r="J14" s="18">
        <v>35332</v>
      </c>
      <c r="K14" s="18">
        <v>24085</v>
      </c>
      <c r="L14" s="14" t="s">
        <v>240</v>
      </c>
      <c r="M14" s="14" t="s">
        <v>241</v>
      </c>
      <c r="N14" s="19">
        <v>143430</v>
      </c>
      <c r="O14" s="19" t="s">
        <v>242</v>
      </c>
      <c r="P14" s="20" t="s">
        <v>165</v>
      </c>
      <c r="Q14" s="14">
        <v>14</v>
      </c>
    </row>
    <row r="15" spans="1:17" ht="15" outlineLevel="1" collapsed="1" x14ac:dyDescent="0.25">
      <c r="A15" s="15"/>
      <c r="B15" s="14">
        <f>SUBTOTAL(3,B14:B14)</f>
        <v>1</v>
      </c>
      <c r="H15" s="17"/>
      <c r="J15" s="18"/>
      <c r="K15" s="18"/>
      <c r="M15" s="28" t="s">
        <v>619</v>
      </c>
      <c r="N15" s="19"/>
      <c r="O15" s="19"/>
      <c r="P15" s="20"/>
    </row>
    <row r="16" spans="1:17" ht="15" hidden="1" outlineLevel="2" x14ac:dyDescent="0.25">
      <c r="A16" s="15" t="s">
        <v>66</v>
      </c>
      <c r="B16" s="14" t="s">
        <v>67</v>
      </c>
      <c r="C16" s="14" t="s">
        <v>68</v>
      </c>
      <c r="D16" s="14" t="s">
        <v>69</v>
      </c>
      <c r="E16" s="16" t="s">
        <v>50</v>
      </c>
      <c r="F16" s="14" t="s">
        <v>51</v>
      </c>
      <c r="G16" s="14" t="s">
        <v>70</v>
      </c>
      <c r="H16" s="17">
        <v>7041.4857976093836</v>
      </c>
      <c r="I16" s="14" t="s">
        <v>63</v>
      </c>
      <c r="J16" s="18">
        <v>35292</v>
      </c>
      <c r="K16" s="18">
        <v>21979</v>
      </c>
      <c r="L16" s="14" t="s">
        <v>71</v>
      </c>
      <c r="M16" s="14" t="s">
        <v>72</v>
      </c>
      <c r="N16" s="19" t="s">
        <v>73</v>
      </c>
      <c r="O16" s="19" t="s">
        <v>74</v>
      </c>
      <c r="P16" s="20" t="s">
        <v>57</v>
      </c>
      <c r="Q16" s="14">
        <v>1</v>
      </c>
    </row>
    <row r="17" spans="1:17" ht="15" hidden="1" outlineLevel="2" x14ac:dyDescent="0.25">
      <c r="A17" s="15" t="s">
        <v>75</v>
      </c>
      <c r="B17" s="14" t="s">
        <v>76</v>
      </c>
      <c r="C17" s="14" t="s">
        <v>77</v>
      </c>
      <c r="D17" s="14" t="s">
        <v>78</v>
      </c>
      <c r="E17" s="16" t="s">
        <v>50</v>
      </c>
      <c r="F17" s="14" t="s">
        <v>51</v>
      </c>
      <c r="G17" s="14" t="s">
        <v>79</v>
      </c>
      <c r="H17" s="17">
        <v>9017.0352559581006</v>
      </c>
      <c r="I17" s="14" t="s">
        <v>53</v>
      </c>
      <c r="J17" s="18">
        <v>35321</v>
      </c>
      <c r="K17" s="18">
        <v>22059</v>
      </c>
      <c r="L17" s="14" t="s">
        <v>80</v>
      </c>
      <c r="M17" s="14" t="s">
        <v>72</v>
      </c>
      <c r="N17" s="19" t="s">
        <v>81</v>
      </c>
      <c r="O17" s="19" t="s">
        <v>82</v>
      </c>
      <c r="P17" s="20" t="s">
        <v>57</v>
      </c>
      <c r="Q17" s="14">
        <v>1</v>
      </c>
    </row>
    <row r="18" spans="1:17" ht="15" hidden="1" outlineLevel="2" x14ac:dyDescent="0.25">
      <c r="A18" s="15" t="s">
        <v>280</v>
      </c>
      <c r="B18" s="14" t="s">
        <v>281</v>
      </c>
      <c r="C18" s="14" t="s">
        <v>94</v>
      </c>
      <c r="D18" s="14" t="s">
        <v>282</v>
      </c>
      <c r="E18" s="16" t="s">
        <v>87</v>
      </c>
      <c r="F18" s="14" t="s">
        <v>268</v>
      </c>
      <c r="G18" s="14" t="s">
        <v>253</v>
      </c>
      <c r="H18" s="17">
        <v>11142.1670754684</v>
      </c>
      <c r="I18" s="14" t="s">
        <v>63</v>
      </c>
      <c r="J18" s="18">
        <v>35208</v>
      </c>
      <c r="K18" s="18">
        <v>22913</v>
      </c>
      <c r="L18" s="14" t="s">
        <v>283</v>
      </c>
      <c r="M18" s="14" t="s">
        <v>72</v>
      </c>
      <c r="N18" s="19">
        <v>193001</v>
      </c>
      <c r="O18" s="19" t="s">
        <v>284</v>
      </c>
      <c r="P18" s="20" t="s">
        <v>279</v>
      </c>
      <c r="Q18" s="14">
        <v>18</v>
      </c>
    </row>
    <row r="19" spans="1:17" ht="15" hidden="1" outlineLevel="2" x14ac:dyDescent="0.25">
      <c r="A19" s="15" t="s">
        <v>394</v>
      </c>
      <c r="B19" s="21" t="s">
        <v>395</v>
      </c>
      <c r="C19" s="21" t="s">
        <v>325</v>
      </c>
      <c r="D19" s="14" t="s">
        <v>396</v>
      </c>
      <c r="E19" s="16" t="s">
        <v>50</v>
      </c>
      <c r="F19" s="14" t="s">
        <v>390</v>
      </c>
      <c r="G19" s="21" t="s">
        <v>397</v>
      </c>
      <c r="H19" s="17">
        <v>13104.8464892221</v>
      </c>
      <c r="I19" s="14" t="s">
        <v>134</v>
      </c>
      <c r="J19" s="18">
        <v>35445</v>
      </c>
      <c r="K19" s="18">
        <v>26821</v>
      </c>
      <c r="L19" s="14" t="s">
        <v>398</v>
      </c>
      <c r="M19" s="14" t="s">
        <v>72</v>
      </c>
      <c r="N19" s="19">
        <v>155888</v>
      </c>
      <c r="O19" s="19" t="s">
        <v>399</v>
      </c>
      <c r="P19" s="20" t="s">
        <v>393</v>
      </c>
      <c r="Q19" s="14">
        <v>31</v>
      </c>
    </row>
    <row r="20" spans="1:17" ht="15" hidden="1" outlineLevel="2" x14ac:dyDescent="0.25">
      <c r="A20" s="15" t="s">
        <v>107</v>
      </c>
      <c r="B20" s="14" t="s">
        <v>5</v>
      </c>
      <c r="C20" s="14" t="s">
        <v>108</v>
      </c>
      <c r="D20" s="14" t="s">
        <v>109</v>
      </c>
      <c r="E20" s="16" t="s">
        <v>87</v>
      </c>
      <c r="F20" s="14" t="s">
        <v>103</v>
      </c>
      <c r="G20" s="14" t="s">
        <v>110</v>
      </c>
      <c r="H20" s="17">
        <v>14613.372183667399</v>
      </c>
      <c r="I20" s="14" t="s">
        <v>63</v>
      </c>
      <c r="J20" s="18">
        <v>35292</v>
      </c>
      <c r="K20" s="18">
        <v>21194</v>
      </c>
      <c r="L20" s="14" t="s">
        <v>111</v>
      </c>
      <c r="M20" s="14" t="s">
        <v>72</v>
      </c>
      <c r="N20" s="19" t="s">
        <v>112</v>
      </c>
      <c r="O20" s="19" t="s">
        <v>113</v>
      </c>
      <c r="P20" s="20" t="s">
        <v>106</v>
      </c>
      <c r="Q20" s="14">
        <v>2</v>
      </c>
    </row>
    <row r="21" spans="1:17" ht="15" outlineLevel="1" collapsed="1" x14ac:dyDescent="0.25">
      <c r="A21" s="15"/>
      <c r="B21" s="14">
        <f>SUBTOTAL(3,B16:B20)</f>
        <v>5</v>
      </c>
      <c r="H21" s="17"/>
      <c r="J21" s="18"/>
      <c r="K21" s="18"/>
      <c r="M21" s="28" t="s">
        <v>620</v>
      </c>
      <c r="N21" s="19"/>
      <c r="O21" s="19"/>
      <c r="P21" s="20"/>
    </row>
    <row r="22" spans="1:17" ht="15" hidden="1" outlineLevel="2" x14ac:dyDescent="0.25">
      <c r="A22" s="15" t="s">
        <v>46</v>
      </c>
      <c r="B22" s="14" t="s">
        <v>47</v>
      </c>
      <c r="C22" s="14" t="s">
        <v>48</v>
      </c>
      <c r="D22" s="14" t="s">
        <v>49</v>
      </c>
      <c r="E22" s="16" t="s">
        <v>50</v>
      </c>
      <c r="F22" s="14" t="s">
        <v>51</v>
      </c>
      <c r="G22" s="14" t="s">
        <v>52</v>
      </c>
      <c r="H22" s="17">
        <v>5418.9394766711184</v>
      </c>
      <c r="I22" s="14" t="s">
        <v>53</v>
      </c>
      <c r="J22" s="18">
        <v>35292</v>
      </c>
      <c r="K22" s="18">
        <v>22893</v>
      </c>
      <c r="L22" s="14" t="s">
        <v>54</v>
      </c>
      <c r="M22" s="14" t="s">
        <v>55</v>
      </c>
      <c r="N22" s="19">
        <v>105000</v>
      </c>
      <c r="O22" s="19" t="s">
        <v>56</v>
      </c>
      <c r="P22" s="20" t="s">
        <v>57</v>
      </c>
      <c r="Q22" s="14">
        <v>1</v>
      </c>
    </row>
    <row r="23" spans="1:17" ht="15" hidden="1" outlineLevel="2" x14ac:dyDescent="0.25">
      <c r="A23" s="15" t="s">
        <v>92</v>
      </c>
      <c r="B23" s="14" t="s">
        <v>93</v>
      </c>
      <c r="C23" s="14" t="s">
        <v>94</v>
      </c>
      <c r="D23" s="14" t="s">
        <v>95</v>
      </c>
      <c r="E23" s="16" t="s">
        <v>87</v>
      </c>
      <c r="F23" s="14" t="s">
        <v>51</v>
      </c>
      <c r="G23" s="14" t="s">
        <v>52</v>
      </c>
      <c r="H23" s="17">
        <v>7191.8240266017674</v>
      </c>
      <c r="I23" s="14" t="s">
        <v>53</v>
      </c>
      <c r="J23" s="18">
        <v>35321</v>
      </c>
      <c r="K23" s="18">
        <v>20104</v>
      </c>
      <c r="L23" s="14" t="s">
        <v>96</v>
      </c>
      <c r="M23" s="14" t="s">
        <v>55</v>
      </c>
      <c r="N23" s="19" t="s">
        <v>97</v>
      </c>
      <c r="O23" s="19" t="s">
        <v>98</v>
      </c>
      <c r="P23" s="20" t="s">
        <v>57</v>
      </c>
      <c r="Q23" s="14">
        <v>1</v>
      </c>
    </row>
    <row r="24" spans="1:17" ht="15" hidden="1" outlineLevel="2" x14ac:dyDescent="0.25">
      <c r="A24" s="15" t="s">
        <v>58</v>
      </c>
      <c r="B24" s="14" t="s">
        <v>59</v>
      </c>
      <c r="C24" s="14" t="s">
        <v>60</v>
      </c>
      <c r="D24" s="14" t="s">
        <v>61</v>
      </c>
      <c r="E24" s="16" t="s">
        <v>50</v>
      </c>
      <c r="F24" s="14" t="s">
        <v>51</v>
      </c>
      <c r="G24" s="14" t="s">
        <v>62</v>
      </c>
      <c r="H24" s="17">
        <v>12707.398332184133</v>
      </c>
      <c r="I24" s="14" t="s">
        <v>63</v>
      </c>
      <c r="J24" s="18">
        <v>34380</v>
      </c>
      <c r="K24" s="18">
        <v>25186</v>
      </c>
      <c r="L24" s="14" t="s">
        <v>64</v>
      </c>
      <c r="M24" s="14" t="s">
        <v>55</v>
      </c>
      <c r="N24" s="19">
        <v>150020</v>
      </c>
      <c r="O24" s="19" t="s">
        <v>65</v>
      </c>
      <c r="P24" s="20" t="s">
        <v>57</v>
      </c>
      <c r="Q24" s="14">
        <v>1</v>
      </c>
    </row>
    <row r="25" spans="1:17" ht="15" hidden="1" outlineLevel="2" x14ac:dyDescent="0.25">
      <c r="A25" s="15" t="s">
        <v>329</v>
      </c>
      <c r="B25" s="14" t="s">
        <v>330</v>
      </c>
      <c r="C25" s="14" t="s">
        <v>331</v>
      </c>
      <c r="D25" s="14" t="s">
        <v>116</v>
      </c>
      <c r="E25" s="16" t="s">
        <v>87</v>
      </c>
      <c r="F25" s="14" t="s">
        <v>268</v>
      </c>
      <c r="G25" s="14" t="s">
        <v>311</v>
      </c>
      <c r="H25" s="17">
        <v>12247.747148017401</v>
      </c>
      <c r="I25" s="14" t="s">
        <v>63</v>
      </c>
      <c r="J25" s="18">
        <v>35290</v>
      </c>
      <c r="K25" s="18">
        <v>20100</v>
      </c>
      <c r="L25" s="14" t="s">
        <v>332</v>
      </c>
      <c r="M25" s="14" t="s">
        <v>55</v>
      </c>
      <c r="N25" s="19" t="s">
        <v>333</v>
      </c>
      <c r="O25" s="19" t="s">
        <v>334</v>
      </c>
      <c r="P25" s="20" t="s">
        <v>322</v>
      </c>
      <c r="Q25" s="14">
        <v>20</v>
      </c>
    </row>
    <row r="26" spans="1:17" ht="15" hidden="1" outlineLevel="2" x14ac:dyDescent="0.25">
      <c r="A26" s="15" t="s">
        <v>323</v>
      </c>
      <c r="B26" s="14" t="s">
        <v>324</v>
      </c>
      <c r="C26" s="14" t="s">
        <v>325</v>
      </c>
      <c r="D26" s="14" t="s">
        <v>326</v>
      </c>
      <c r="E26" s="16" t="s">
        <v>50</v>
      </c>
      <c r="F26" s="14" t="s">
        <v>268</v>
      </c>
      <c r="G26" s="14" t="s">
        <v>253</v>
      </c>
      <c r="H26" s="17">
        <v>10117.7278312244</v>
      </c>
      <c r="I26" s="14" t="s">
        <v>134</v>
      </c>
      <c r="J26" s="18">
        <v>35258</v>
      </c>
      <c r="K26" s="18">
        <v>21979</v>
      </c>
      <c r="L26" s="14" t="s">
        <v>327</v>
      </c>
      <c r="M26" s="14" t="s">
        <v>55</v>
      </c>
      <c r="N26" s="19">
        <v>193002</v>
      </c>
      <c r="O26" s="19" t="s">
        <v>328</v>
      </c>
      <c r="P26" s="20" t="s">
        <v>322</v>
      </c>
      <c r="Q26" s="14">
        <v>20</v>
      </c>
    </row>
    <row r="27" spans="1:17" ht="15" hidden="1" outlineLevel="2" x14ac:dyDescent="0.25">
      <c r="A27" s="15" t="s">
        <v>308</v>
      </c>
      <c r="B27" s="14" t="s">
        <v>309</v>
      </c>
      <c r="C27" s="14" t="s">
        <v>168</v>
      </c>
      <c r="D27" s="14" t="s">
        <v>310</v>
      </c>
      <c r="E27" s="16" t="s">
        <v>50</v>
      </c>
      <c r="F27" s="14" t="s">
        <v>289</v>
      </c>
      <c r="G27" s="14" t="s">
        <v>311</v>
      </c>
      <c r="H27" s="17">
        <v>14336.118175428066</v>
      </c>
      <c r="I27" s="14" t="s">
        <v>63</v>
      </c>
      <c r="J27" s="18">
        <v>34380</v>
      </c>
      <c r="K27" s="18">
        <v>23757</v>
      </c>
      <c r="L27" s="14" t="s">
        <v>312</v>
      </c>
      <c r="M27" s="14" t="s">
        <v>55</v>
      </c>
      <c r="N27" s="19">
        <v>122307</v>
      </c>
      <c r="O27" s="19" t="s">
        <v>313</v>
      </c>
      <c r="P27" s="20" t="s">
        <v>292</v>
      </c>
      <c r="Q27" s="14">
        <v>19</v>
      </c>
    </row>
    <row r="28" spans="1:17" ht="15" hidden="1" outlineLevel="2" x14ac:dyDescent="0.25">
      <c r="A28" s="15" t="s">
        <v>297</v>
      </c>
      <c r="B28" s="14" t="s">
        <v>298</v>
      </c>
      <c r="C28" s="14" t="s">
        <v>299</v>
      </c>
      <c r="D28" s="14" t="s">
        <v>300</v>
      </c>
      <c r="E28" s="16" t="s">
        <v>50</v>
      </c>
      <c r="F28" s="14" t="s">
        <v>289</v>
      </c>
      <c r="G28" s="14" t="s">
        <v>144</v>
      </c>
      <c r="H28" s="17">
        <v>8081.7875863473264</v>
      </c>
      <c r="I28" s="14" t="s">
        <v>134</v>
      </c>
      <c r="J28" s="18">
        <v>35096</v>
      </c>
      <c r="K28" s="18">
        <v>24085</v>
      </c>
      <c r="L28" s="14" t="s">
        <v>301</v>
      </c>
      <c r="M28" s="14" t="s">
        <v>55</v>
      </c>
      <c r="N28" s="19">
        <v>132098</v>
      </c>
      <c r="O28" s="19" t="s">
        <v>302</v>
      </c>
      <c r="P28" s="20" t="s">
        <v>292</v>
      </c>
      <c r="Q28" s="14">
        <v>19</v>
      </c>
    </row>
    <row r="29" spans="1:17" ht="15" hidden="1" outlineLevel="2" x14ac:dyDescent="0.25">
      <c r="A29" s="15" t="s">
        <v>303</v>
      </c>
      <c r="B29" s="14" t="s">
        <v>304</v>
      </c>
      <c r="C29" s="14" t="s">
        <v>185</v>
      </c>
      <c r="D29" s="14" t="s">
        <v>305</v>
      </c>
      <c r="E29" s="16" t="s">
        <v>50</v>
      </c>
      <c r="F29" s="14" t="s">
        <v>289</v>
      </c>
      <c r="G29" s="14" t="s">
        <v>104</v>
      </c>
      <c r="H29" s="17">
        <v>7611.2957853310199</v>
      </c>
      <c r="I29" s="14" t="s">
        <v>134</v>
      </c>
      <c r="J29" s="18">
        <v>35332</v>
      </c>
      <c r="K29" s="18">
        <v>22893</v>
      </c>
      <c r="L29" s="14" t="s">
        <v>306</v>
      </c>
      <c r="M29" s="14" t="s">
        <v>55</v>
      </c>
      <c r="N29" s="19">
        <v>101765</v>
      </c>
      <c r="O29" s="19" t="s">
        <v>307</v>
      </c>
      <c r="P29" s="20" t="s">
        <v>292</v>
      </c>
      <c r="Q29" s="14">
        <v>19</v>
      </c>
    </row>
    <row r="30" spans="1:17" ht="15" hidden="1" outlineLevel="2" x14ac:dyDescent="0.25">
      <c r="A30" s="15" t="s">
        <v>285</v>
      </c>
      <c r="B30" s="14" t="s">
        <v>286</v>
      </c>
      <c r="C30" s="14" t="s">
        <v>287</v>
      </c>
      <c r="D30" s="14" t="s">
        <v>288</v>
      </c>
      <c r="E30" s="16" t="s">
        <v>50</v>
      </c>
      <c r="F30" s="14" t="s">
        <v>289</v>
      </c>
      <c r="G30" s="14" t="s">
        <v>239</v>
      </c>
      <c r="H30" s="17">
        <v>11477.095535836535</v>
      </c>
      <c r="I30" s="14" t="s">
        <v>63</v>
      </c>
      <c r="J30" s="18">
        <v>35208</v>
      </c>
      <c r="K30" s="18">
        <v>25186</v>
      </c>
      <c r="L30" s="14" t="s">
        <v>290</v>
      </c>
      <c r="M30" s="14" t="s">
        <v>55</v>
      </c>
      <c r="N30" s="19">
        <v>112378</v>
      </c>
      <c r="O30" s="19" t="s">
        <v>291</v>
      </c>
      <c r="P30" s="20" t="s">
        <v>292</v>
      </c>
      <c r="Q30" s="14">
        <v>19</v>
      </c>
    </row>
    <row r="31" spans="1:17" ht="15" hidden="1" outlineLevel="2" x14ac:dyDescent="0.25">
      <c r="A31" s="15" t="s">
        <v>293</v>
      </c>
      <c r="B31" s="14" t="s">
        <v>294</v>
      </c>
      <c r="C31" s="14" t="s">
        <v>68</v>
      </c>
      <c r="D31" s="14" t="s">
        <v>124</v>
      </c>
      <c r="E31" s="16" t="s">
        <v>50</v>
      </c>
      <c r="F31" s="14" t="s">
        <v>289</v>
      </c>
      <c r="G31" s="14" t="s">
        <v>239</v>
      </c>
      <c r="H31" s="17">
        <v>5742.2490484559476</v>
      </c>
      <c r="I31" s="14" t="s">
        <v>63</v>
      </c>
      <c r="J31" s="18">
        <v>35290</v>
      </c>
      <c r="K31" s="18">
        <v>23891</v>
      </c>
      <c r="L31" s="14" t="s">
        <v>295</v>
      </c>
      <c r="M31" s="14" t="s">
        <v>55</v>
      </c>
      <c r="N31" s="19">
        <v>112432</v>
      </c>
      <c r="O31" s="19" t="s">
        <v>296</v>
      </c>
      <c r="P31" s="20" t="s">
        <v>292</v>
      </c>
      <c r="Q31" s="14">
        <v>19</v>
      </c>
    </row>
    <row r="32" spans="1:17" ht="15" hidden="1" outlineLevel="2" x14ac:dyDescent="0.25">
      <c r="A32" s="15" t="s">
        <v>456</v>
      </c>
      <c r="B32" s="21" t="s">
        <v>457</v>
      </c>
      <c r="C32" s="21" t="s">
        <v>458</v>
      </c>
      <c r="D32" s="14" t="s">
        <v>116</v>
      </c>
      <c r="E32" s="16" t="s">
        <v>87</v>
      </c>
      <c r="F32" s="14" t="s">
        <v>390</v>
      </c>
      <c r="G32" s="21" t="s">
        <v>459</v>
      </c>
      <c r="H32" s="17">
        <v>14142.038140808014</v>
      </c>
      <c r="I32" s="14" t="s">
        <v>63</v>
      </c>
      <c r="J32" s="18">
        <v>35153</v>
      </c>
      <c r="K32" s="18">
        <v>24814</v>
      </c>
      <c r="L32" s="14" t="s">
        <v>460</v>
      </c>
      <c r="M32" s="14" t="s">
        <v>55</v>
      </c>
      <c r="N32" s="19">
        <v>108644</v>
      </c>
      <c r="O32" s="19" t="s">
        <v>461</v>
      </c>
      <c r="P32" s="20" t="s">
        <v>393</v>
      </c>
      <c r="Q32" s="14">
        <v>31</v>
      </c>
    </row>
    <row r="33" spans="1:17" ht="15" hidden="1" outlineLevel="2" x14ac:dyDescent="0.25">
      <c r="A33" s="15" t="s">
        <v>441</v>
      </c>
      <c r="B33" s="21" t="s">
        <v>442</v>
      </c>
      <c r="C33" s="21" t="s">
        <v>443</v>
      </c>
      <c r="D33" s="14" t="s">
        <v>225</v>
      </c>
      <c r="E33" s="16" t="s">
        <v>50</v>
      </c>
      <c r="F33" s="14" t="s">
        <v>390</v>
      </c>
      <c r="G33" s="21" t="s">
        <v>418</v>
      </c>
      <c r="H33" s="17">
        <v>6943.8446212997997</v>
      </c>
      <c r="I33" s="14" t="s">
        <v>63</v>
      </c>
      <c r="J33" s="18">
        <v>34955</v>
      </c>
      <c r="K33" s="18">
        <v>21979</v>
      </c>
      <c r="L33" s="14" t="s">
        <v>404</v>
      </c>
      <c r="M33" s="14" t="s">
        <v>55</v>
      </c>
      <c r="N33" s="19">
        <v>186599</v>
      </c>
      <c r="O33" s="19" t="s">
        <v>444</v>
      </c>
      <c r="P33" s="20" t="s">
        <v>393</v>
      </c>
      <c r="Q33" s="14">
        <v>31</v>
      </c>
    </row>
    <row r="34" spans="1:17" ht="15" hidden="1" outlineLevel="2" x14ac:dyDescent="0.25">
      <c r="A34" s="15" t="s">
        <v>436</v>
      </c>
      <c r="B34" s="21" t="s">
        <v>437</v>
      </c>
      <c r="C34" s="21" t="s">
        <v>316</v>
      </c>
      <c r="D34" s="14" t="s">
        <v>438</v>
      </c>
      <c r="E34" s="16" t="s">
        <v>50</v>
      </c>
      <c r="F34" s="14" t="s">
        <v>390</v>
      </c>
      <c r="G34" s="21" t="s">
        <v>418</v>
      </c>
      <c r="H34" s="17">
        <v>7045.2632223453566</v>
      </c>
      <c r="I34" s="14" t="s">
        <v>63</v>
      </c>
      <c r="J34" s="18">
        <v>35032</v>
      </c>
      <c r="K34" s="18">
        <v>22065</v>
      </c>
      <c r="L34" s="14" t="s">
        <v>439</v>
      </c>
      <c r="M34" s="14" t="s">
        <v>55</v>
      </c>
      <c r="N34" s="19">
        <v>128708</v>
      </c>
      <c r="O34" s="19" t="s">
        <v>440</v>
      </c>
      <c r="P34" s="20" t="s">
        <v>393</v>
      </c>
      <c r="Q34" s="14">
        <v>31</v>
      </c>
    </row>
    <row r="35" spans="1:17" ht="15" hidden="1" outlineLevel="2" x14ac:dyDescent="0.25">
      <c r="A35" s="15" t="s">
        <v>414</v>
      </c>
      <c r="B35" s="21" t="s">
        <v>415</v>
      </c>
      <c r="C35" s="21" t="s">
        <v>416</v>
      </c>
      <c r="D35" s="14" t="s">
        <v>417</v>
      </c>
      <c r="E35" s="16" t="s">
        <v>50</v>
      </c>
      <c r="F35" s="14" t="s">
        <v>390</v>
      </c>
      <c r="G35" s="21" t="s">
        <v>418</v>
      </c>
      <c r="H35" s="17">
        <v>7699.1781874603867</v>
      </c>
      <c r="I35" s="14" t="s">
        <v>63</v>
      </c>
      <c r="J35" s="18">
        <v>35442</v>
      </c>
      <c r="K35" s="18">
        <v>24134</v>
      </c>
      <c r="L35" s="14" t="s">
        <v>419</v>
      </c>
      <c r="M35" s="14" t="s">
        <v>55</v>
      </c>
      <c r="N35" s="19">
        <v>104255</v>
      </c>
      <c r="O35" s="19" t="s">
        <v>420</v>
      </c>
      <c r="P35" s="20" t="s">
        <v>393</v>
      </c>
      <c r="Q35" s="14">
        <v>31</v>
      </c>
    </row>
    <row r="36" spans="1:17" ht="15" hidden="1" outlineLevel="2" x14ac:dyDescent="0.25">
      <c r="A36" s="15" t="s">
        <v>426</v>
      </c>
      <c r="B36" s="14" t="s">
        <v>427</v>
      </c>
      <c r="C36" s="14" t="s">
        <v>428</v>
      </c>
      <c r="D36" s="14" t="s">
        <v>429</v>
      </c>
      <c r="E36" s="16" t="s">
        <v>50</v>
      </c>
      <c r="F36" s="14" t="s">
        <v>390</v>
      </c>
      <c r="G36" s="14" t="s">
        <v>169</v>
      </c>
      <c r="H36" s="17">
        <v>8334.4812476725183</v>
      </c>
      <c r="I36" s="14" t="s">
        <v>53</v>
      </c>
      <c r="J36" s="18">
        <v>35504</v>
      </c>
      <c r="K36" s="18">
        <v>26553</v>
      </c>
      <c r="L36" s="14" t="s">
        <v>430</v>
      </c>
      <c r="M36" s="14" t="s">
        <v>55</v>
      </c>
      <c r="N36" s="19">
        <v>123454</v>
      </c>
      <c r="O36" s="19" t="s">
        <v>74</v>
      </c>
      <c r="P36" s="20" t="s">
        <v>393</v>
      </c>
      <c r="Q36" s="14">
        <v>31</v>
      </c>
    </row>
    <row r="37" spans="1:17" ht="15" hidden="1" outlineLevel="2" x14ac:dyDescent="0.25">
      <c r="A37" s="15" t="s">
        <v>388</v>
      </c>
      <c r="B37" s="14" t="s">
        <v>389</v>
      </c>
      <c r="C37" s="14" t="s">
        <v>68</v>
      </c>
      <c r="D37" s="14" t="s">
        <v>69</v>
      </c>
      <c r="E37" s="16" t="s">
        <v>50</v>
      </c>
      <c r="F37" s="14" t="s">
        <v>390</v>
      </c>
      <c r="G37" s="14" t="s">
        <v>391</v>
      </c>
      <c r="H37" s="17">
        <v>9453.2607782707091</v>
      </c>
      <c r="I37" s="14" t="s">
        <v>63</v>
      </c>
      <c r="J37" s="18">
        <v>34714</v>
      </c>
      <c r="K37" s="18">
        <v>22250</v>
      </c>
      <c r="L37" s="14" t="s">
        <v>301</v>
      </c>
      <c r="M37" s="14" t="s">
        <v>55</v>
      </c>
      <c r="N37" s="19">
        <v>101888</v>
      </c>
      <c r="O37" s="19" t="s">
        <v>392</v>
      </c>
      <c r="P37" s="20" t="s">
        <v>393</v>
      </c>
      <c r="Q37" s="14">
        <v>31</v>
      </c>
    </row>
    <row r="38" spans="1:17" ht="15" hidden="1" outlineLevel="2" x14ac:dyDescent="0.25">
      <c r="A38" s="15" t="s">
        <v>406</v>
      </c>
      <c r="B38" s="14" t="s">
        <v>407</v>
      </c>
      <c r="C38" s="14" t="s">
        <v>316</v>
      </c>
      <c r="D38" s="14" t="s">
        <v>174</v>
      </c>
      <c r="E38" s="16" t="s">
        <v>50</v>
      </c>
      <c r="F38" s="14" t="s">
        <v>390</v>
      </c>
      <c r="G38" s="14" t="s">
        <v>391</v>
      </c>
      <c r="H38" s="17">
        <v>12616.153463888215</v>
      </c>
      <c r="I38" s="14" t="s">
        <v>63</v>
      </c>
      <c r="J38" s="18">
        <v>34759</v>
      </c>
      <c r="K38" s="18">
        <v>22927</v>
      </c>
      <c r="L38" s="14" t="s">
        <v>408</v>
      </c>
      <c r="M38" s="14" t="s">
        <v>55</v>
      </c>
      <c r="N38" s="19">
        <v>126765</v>
      </c>
      <c r="O38" s="19" t="s">
        <v>409</v>
      </c>
      <c r="P38" s="20" t="s">
        <v>393</v>
      </c>
      <c r="Q38" s="14">
        <v>31</v>
      </c>
    </row>
    <row r="39" spans="1:17" ht="15" hidden="1" outlineLevel="2" x14ac:dyDescent="0.25">
      <c r="A39" s="15" t="s">
        <v>400</v>
      </c>
      <c r="B39" s="21" t="s">
        <v>401</v>
      </c>
      <c r="C39" s="21" t="s">
        <v>402</v>
      </c>
      <c r="D39" s="14" t="s">
        <v>69</v>
      </c>
      <c r="E39" s="16" t="s">
        <v>50</v>
      </c>
      <c r="F39" s="14" t="s">
        <v>390</v>
      </c>
      <c r="G39" s="21" t="s">
        <v>403</v>
      </c>
      <c r="H39" s="17">
        <v>8415.0990823491975</v>
      </c>
      <c r="I39" s="14" t="s">
        <v>134</v>
      </c>
      <c r="J39" s="18">
        <v>34788</v>
      </c>
      <c r="K39" s="18">
        <v>22908</v>
      </c>
      <c r="L39" s="14" t="s">
        <v>404</v>
      </c>
      <c r="M39" s="14" t="s">
        <v>55</v>
      </c>
      <c r="N39" s="19">
        <v>129543</v>
      </c>
      <c r="O39" s="19" t="s">
        <v>405</v>
      </c>
      <c r="P39" s="20" t="s">
        <v>393</v>
      </c>
      <c r="Q39" s="14">
        <v>31</v>
      </c>
    </row>
    <row r="40" spans="1:17" ht="15" hidden="1" outlineLevel="2" x14ac:dyDescent="0.25">
      <c r="A40" s="15" t="s">
        <v>410</v>
      </c>
      <c r="B40" s="21" t="s">
        <v>411</v>
      </c>
      <c r="C40" s="21" t="s">
        <v>412</v>
      </c>
      <c r="D40" s="14" t="s">
        <v>326</v>
      </c>
      <c r="E40" s="16" t="s">
        <v>50</v>
      </c>
      <c r="F40" s="14" t="s">
        <v>390</v>
      </c>
      <c r="G40" s="21" t="s">
        <v>403</v>
      </c>
      <c r="H40" s="17">
        <v>5356.4388461651015</v>
      </c>
      <c r="I40" s="14" t="s">
        <v>63</v>
      </c>
      <c r="J40" s="18">
        <v>35258</v>
      </c>
      <c r="K40" s="18">
        <v>21600</v>
      </c>
      <c r="L40" s="14" t="s">
        <v>413</v>
      </c>
      <c r="M40" s="14" t="s">
        <v>55</v>
      </c>
      <c r="N40" s="19">
        <v>121644</v>
      </c>
      <c r="O40" s="19" t="s">
        <v>74</v>
      </c>
      <c r="P40" s="20" t="s">
        <v>393</v>
      </c>
      <c r="Q40" s="14">
        <v>31</v>
      </c>
    </row>
    <row r="41" spans="1:17" ht="15" hidden="1" outlineLevel="2" x14ac:dyDescent="0.25">
      <c r="A41" s="15" t="s">
        <v>249</v>
      </c>
      <c r="B41" s="14" t="s">
        <v>250</v>
      </c>
      <c r="C41" s="14" t="s">
        <v>251</v>
      </c>
      <c r="D41" s="14" t="s">
        <v>252</v>
      </c>
      <c r="E41" s="16" t="s">
        <v>87</v>
      </c>
      <c r="F41" s="14" t="s">
        <v>143</v>
      </c>
      <c r="G41" s="14" t="s">
        <v>253</v>
      </c>
      <c r="H41" s="17">
        <v>12924.048181149799</v>
      </c>
      <c r="I41" s="14" t="s">
        <v>63</v>
      </c>
      <c r="J41" s="18">
        <v>35032</v>
      </c>
      <c r="K41" s="18">
        <v>22893</v>
      </c>
      <c r="L41" s="14" t="s">
        <v>254</v>
      </c>
      <c r="M41" s="14" t="s">
        <v>55</v>
      </c>
      <c r="N41" s="19">
        <v>117740</v>
      </c>
      <c r="O41" s="19" t="s">
        <v>255</v>
      </c>
      <c r="P41" s="20" t="s">
        <v>248</v>
      </c>
      <c r="Q41" s="14">
        <v>15</v>
      </c>
    </row>
    <row r="42" spans="1:17" ht="15" hidden="1" outlineLevel="2" x14ac:dyDescent="0.25">
      <c r="A42" s="15" t="s">
        <v>139</v>
      </c>
      <c r="B42" s="14" t="s">
        <v>140</v>
      </c>
      <c r="C42" s="14" t="s">
        <v>141</v>
      </c>
      <c r="D42" s="14" t="s">
        <v>142</v>
      </c>
      <c r="E42" s="16" t="s">
        <v>87</v>
      </c>
      <c r="F42" s="14" t="s">
        <v>143</v>
      </c>
      <c r="G42" s="14" t="s">
        <v>144</v>
      </c>
      <c r="H42" s="17">
        <v>11744.058764424301</v>
      </c>
      <c r="I42" s="14" t="s">
        <v>134</v>
      </c>
      <c r="J42" s="18">
        <v>35122</v>
      </c>
      <c r="K42" s="18">
        <v>24085</v>
      </c>
      <c r="L42" s="14" t="s">
        <v>145</v>
      </c>
      <c r="M42" s="14" t="s">
        <v>55</v>
      </c>
      <c r="N42" s="19" t="s">
        <v>146</v>
      </c>
      <c r="O42" s="19" t="s">
        <v>147</v>
      </c>
      <c r="P42" s="20" t="s">
        <v>148</v>
      </c>
      <c r="Q42" s="14">
        <v>12</v>
      </c>
    </row>
    <row r="43" spans="1:17" ht="15" hidden="1" outlineLevel="2" x14ac:dyDescent="0.25">
      <c r="A43" s="15" t="s">
        <v>243</v>
      </c>
      <c r="B43" s="14" t="s">
        <v>244</v>
      </c>
      <c r="C43" s="14" t="s">
        <v>108</v>
      </c>
      <c r="D43" s="14" t="s">
        <v>238</v>
      </c>
      <c r="E43" s="16" t="s">
        <v>87</v>
      </c>
      <c r="F43" s="14" t="s">
        <v>143</v>
      </c>
      <c r="G43" s="14" t="s">
        <v>245</v>
      </c>
      <c r="H43" s="17">
        <v>6741.1748858595456</v>
      </c>
      <c r="I43" s="14" t="s">
        <v>53</v>
      </c>
      <c r="J43" s="18">
        <v>34955</v>
      </c>
      <c r="K43" s="18">
        <v>23891</v>
      </c>
      <c r="L43" s="14" t="s">
        <v>246</v>
      </c>
      <c r="M43" s="14" t="s">
        <v>55</v>
      </c>
      <c r="N43" s="19">
        <v>125026</v>
      </c>
      <c r="O43" s="19" t="s">
        <v>247</v>
      </c>
      <c r="P43" s="20" t="s">
        <v>248</v>
      </c>
      <c r="Q43" s="14">
        <v>15</v>
      </c>
    </row>
    <row r="44" spans="1:17" ht="15" hidden="1" outlineLevel="2" x14ac:dyDescent="0.25">
      <c r="A44" s="15" t="s">
        <v>343</v>
      </c>
      <c r="B44" s="14" t="s">
        <v>344</v>
      </c>
      <c r="C44" s="14" t="s">
        <v>345</v>
      </c>
      <c r="D44" s="14" t="s">
        <v>346</v>
      </c>
      <c r="E44" s="16" t="s">
        <v>87</v>
      </c>
      <c r="F44" s="14" t="s">
        <v>338</v>
      </c>
      <c r="G44" s="14" t="s">
        <v>347</v>
      </c>
      <c r="H44" s="17">
        <v>11472.290380362065</v>
      </c>
      <c r="I44" s="14" t="s">
        <v>180</v>
      </c>
      <c r="J44" s="18">
        <v>35442</v>
      </c>
      <c r="K44" s="18">
        <v>22927</v>
      </c>
      <c r="L44" s="14" t="s">
        <v>348</v>
      </c>
      <c r="M44" s="14" t="s">
        <v>55</v>
      </c>
      <c r="N44" s="19">
        <v>193005</v>
      </c>
      <c r="O44" s="19" t="s">
        <v>349</v>
      </c>
      <c r="P44" s="20" t="s">
        <v>342</v>
      </c>
      <c r="Q44" s="14">
        <v>23</v>
      </c>
    </row>
    <row r="45" spans="1:17" ht="15" hidden="1" outlineLevel="2" x14ac:dyDescent="0.25">
      <c r="A45" s="15" t="s">
        <v>350</v>
      </c>
      <c r="B45" s="14" t="s">
        <v>351</v>
      </c>
      <c r="C45" s="14" t="s">
        <v>331</v>
      </c>
      <c r="D45" s="14" t="s">
        <v>352</v>
      </c>
      <c r="E45" s="16" t="s">
        <v>87</v>
      </c>
      <c r="F45" s="14" t="s">
        <v>338</v>
      </c>
      <c r="G45" s="14" t="s">
        <v>347</v>
      </c>
      <c r="H45" s="17">
        <v>6545.2883217567833</v>
      </c>
      <c r="I45" s="14" t="s">
        <v>180</v>
      </c>
      <c r="J45" s="18">
        <v>35445</v>
      </c>
      <c r="K45" s="18">
        <v>22250</v>
      </c>
      <c r="L45" s="14" t="s">
        <v>353</v>
      </c>
      <c r="M45" s="14" t="s">
        <v>55</v>
      </c>
      <c r="N45" s="19" t="s">
        <v>354</v>
      </c>
      <c r="O45" s="19" t="s">
        <v>355</v>
      </c>
      <c r="P45" s="20" t="s">
        <v>342</v>
      </c>
      <c r="Q45" s="14">
        <v>23</v>
      </c>
    </row>
    <row r="46" spans="1:17" ht="15" hidden="1" outlineLevel="2" x14ac:dyDescent="0.25">
      <c r="A46" s="15" t="s">
        <v>366</v>
      </c>
      <c r="B46" s="14" t="s">
        <v>367</v>
      </c>
      <c r="C46" s="14" t="s">
        <v>368</v>
      </c>
      <c r="D46" s="14" t="s">
        <v>369</v>
      </c>
      <c r="E46" s="16" t="s">
        <v>87</v>
      </c>
      <c r="F46" s="14" t="s">
        <v>338</v>
      </c>
      <c r="G46" s="14" t="s">
        <v>347</v>
      </c>
      <c r="H46" s="17">
        <v>11069.850875497006</v>
      </c>
      <c r="I46" s="14" t="s">
        <v>134</v>
      </c>
      <c r="J46" s="18">
        <v>35460</v>
      </c>
      <c r="K46" s="18">
        <v>26553</v>
      </c>
      <c r="L46" s="14" t="s">
        <v>370</v>
      </c>
      <c r="M46" s="14" t="s">
        <v>55</v>
      </c>
      <c r="N46" s="19" t="s">
        <v>371</v>
      </c>
      <c r="O46" s="19" t="s">
        <v>372</v>
      </c>
      <c r="P46" s="20" t="s">
        <v>342</v>
      </c>
      <c r="Q46" s="14">
        <v>23</v>
      </c>
    </row>
    <row r="47" spans="1:17" ht="15" hidden="1" outlineLevel="2" x14ac:dyDescent="0.25">
      <c r="A47" s="15" t="s">
        <v>335</v>
      </c>
      <c r="B47" s="14" t="s">
        <v>336</v>
      </c>
      <c r="C47" s="14" t="s">
        <v>337</v>
      </c>
      <c r="D47" s="14" t="s">
        <v>225</v>
      </c>
      <c r="E47" s="16" t="s">
        <v>50</v>
      </c>
      <c r="F47" s="14" t="s">
        <v>338</v>
      </c>
      <c r="G47" s="14" t="s">
        <v>339</v>
      </c>
      <c r="H47" s="17">
        <v>8668.5274506055521</v>
      </c>
      <c r="I47" s="14" t="s">
        <v>180</v>
      </c>
      <c r="J47" s="18">
        <v>34955</v>
      </c>
      <c r="K47" s="18">
        <v>24134</v>
      </c>
      <c r="L47" s="14" t="s">
        <v>340</v>
      </c>
      <c r="M47" s="14" t="s">
        <v>55</v>
      </c>
      <c r="N47" s="19" t="s">
        <v>341</v>
      </c>
      <c r="O47" s="19" t="s">
        <v>74</v>
      </c>
      <c r="P47" s="20" t="s">
        <v>342</v>
      </c>
      <c r="Q47" s="14">
        <v>23</v>
      </c>
    </row>
    <row r="48" spans="1:17" ht="15" hidden="1" outlineLevel="2" x14ac:dyDescent="0.25">
      <c r="A48" s="15" t="s">
        <v>356</v>
      </c>
      <c r="B48" s="14" t="s">
        <v>357</v>
      </c>
      <c r="C48" s="14" t="s">
        <v>237</v>
      </c>
      <c r="D48" s="14" t="s">
        <v>282</v>
      </c>
      <c r="E48" s="16" t="s">
        <v>87</v>
      </c>
      <c r="F48" s="14" t="s">
        <v>338</v>
      </c>
      <c r="G48" s="14" t="s">
        <v>358</v>
      </c>
      <c r="H48" s="17">
        <v>13514.395410585492</v>
      </c>
      <c r="I48" s="14" t="s">
        <v>134</v>
      </c>
      <c r="J48" s="18">
        <v>34788</v>
      </c>
      <c r="K48" s="18">
        <v>21186</v>
      </c>
      <c r="L48" s="14" t="s">
        <v>359</v>
      </c>
      <c r="M48" s="14" t="s">
        <v>55</v>
      </c>
      <c r="N48" s="19">
        <v>193003</v>
      </c>
      <c r="O48" s="19" t="s">
        <v>360</v>
      </c>
      <c r="P48" s="20" t="s">
        <v>342</v>
      </c>
      <c r="Q48" s="14">
        <v>23</v>
      </c>
    </row>
    <row r="49" spans="1:17" ht="15" hidden="1" outlineLevel="2" x14ac:dyDescent="0.25">
      <c r="A49" s="15" t="s">
        <v>190</v>
      </c>
      <c r="B49" s="14" t="s">
        <v>191</v>
      </c>
      <c r="C49" s="14" t="s">
        <v>192</v>
      </c>
      <c r="D49" s="14" t="s">
        <v>49</v>
      </c>
      <c r="E49" s="16" t="s">
        <v>50</v>
      </c>
      <c r="F49" s="14" t="s">
        <v>161</v>
      </c>
      <c r="G49" s="14" t="s">
        <v>193</v>
      </c>
      <c r="H49" s="17">
        <v>11788.046787464711</v>
      </c>
      <c r="I49" s="14" t="s">
        <v>63</v>
      </c>
      <c r="J49" s="18">
        <v>34436</v>
      </c>
      <c r="K49" s="18">
        <v>21115</v>
      </c>
      <c r="L49" s="14" t="s">
        <v>194</v>
      </c>
      <c r="M49" s="14" t="s">
        <v>55</v>
      </c>
      <c r="N49" s="19">
        <v>112192</v>
      </c>
      <c r="O49" s="19" t="s">
        <v>195</v>
      </c>
      <c r="P49" s="20" t="s">
        <v>165</v>
      </c>
      <c r="Q49" s="14">
        <v>14</v>
      </c>
    </row>
    <row r="50" spans="1:17" ht="15" hidden="1" outlineLevel="2" x14ac:dyDescent="0.25">
      <c r="A50" s="15" t="s">
        <v>183</v>
      </c>
      <c r="B50" s="14" t="s">
        <v>184</v>
      </c>
      <c r="C50" s="14" t="s">
        <v>185</v>
      </c>
      <c r="D50" s="14" t="s">
        <v>186</v>
      </c>
      <c r="E50" s="16" t="s">
        <v>50</v>
      </c>
      <c r="F50" s="14" t="s">
        <v>161</v>
      </c>
      <c r="G50" s="14" t="s">
        <v>187</v>
      </c>
      <c r="H50" s="17">
        <v>9729.7852775936954</v>
      </c>
      <c r="I50" s="14" t="s">
        <v>53</v>
      </c>
      <c r="J50" s="18">
        <v>35208</v>
      </c>
      <c r="K50" s="18">
        <v>21989</v>
      </c>
      <c r="L50" s="14" t="s">
        <v>188</v>
      </c>
      <c r="M50" s="14" t="s">
        <v>55</v>
      </c>
      <c r="N50" s="19">
        <v>100012</v>
      </c>
      <c r="O50" s="19" t="s">
        <v>189</v>
      </c>
      <c r="P50" s="20" t="s">
        <v>165</v>
      </c>
      <c r="Q50" s="14">
        <v>14</v>
      </c>
    </row>
    <row r="51" spans="1:17" ht="15" hidden="1" outlineLevel="2" x14ac:dyDescent="0.25">
      <c r="A51" s="15" t="s">
        <v>223</v>
      </c>
      <c r="B51" s="14" t="s">
        <v>224</v>
      </c>
      <c r="C51" s="14" t="s">
        <v>132</v>
      </c>
      <c r="D51" s="14" t="s">
        <v>225</v>
      </c>
      <c r="E51" s="16" t="s">
        <v>50</v>
      </c>
      <c r="F51" s="14" t="s">
        <v>161</v>
      </c>
      <c r="G51" s="14" t="s">
        <v>187</v>
      </c>
      <c r="H51" s="17">
        <v>9186.8043650826003</v>
      </c>
      <c r="I51" s="14" t="s">
        <v>180</v>
      </c>
      <c r="J51" s="18">
        <v>35290</v>
      </c>
      <c r="K51" s="18">
        <v>22065</v>
      </c>
      <c r="L51" s="14" t="s">
        <v>226</v>
      </c>
      <c r="M51" s="14" t="s">
        <v>55</v>
      </c>
      <c r="N51" s="19" t="s">
        <v>227</v>
      </c>
      <c r="O51" s="19" t="s">
        <v>228</v>
      </c>
      <c r="P51" s="20" t="s">
        <v>165</v>
      </c>
      <c r="Q51" s="14">
        <v>14</v>
      </c>
    </row>
    <row r="52" spans="1:17" ht="15" hidden="1" outlineLevel="2" x14ac:dyDescent="0.25">
      <c r="A52" s="15" t="s">
        <v>157</v>
      </c>
      <c r="B52" s="14" t="s">
        <v>158</v>
      </c>
      <c r="C52" s="14" t="s">
        <v>159</v>
      </c>
      <c r="D52" s="14" t="s">
        <v>160</v>
      </c>
      <c r="E52" s="16" t="s">
        <v>50</v>
      </c>
      <c r="F52" s="14" t="s">
        <v>161</v>
      </c>
      <c r="G52" s="14" t="s">
        <v>162</v>
      </c>
      <c r="H52" s="17">
        <v>10721.362397126901</v>
      </c>
      <c r="I52" s="14" t="s">
        <v>63</v>
      </c>
      <c r="J52" s="18">
        <v>35321</v>
      </c>
      <c r="K52" s="18">
        <v>24300</v>
      </c>
      <c r="L52" s="14" t="s">
        <v>163</v>
      </c>
      <c r="M52" s="14" t="s">
        <v>55</v>
      </c>
      <c r="N52" s="19">
        <v>108110</v>
      </c>
      <c r="O52" s="19" t="s">
        <v>164</v>
      </c>
      <c r="P52" s="20" t="s">
        <v>165</v>
      </c>
      <c r="Q52" s="14">
        <v>14</v>
      </c>
    </row>
    <row r="53" spans="1:17" ht="15" hidden="1" outlineLevel="2" x14ac:dyDescent="0.25">
      <c r="A53" s="15" t="s">
        <v>166</v>
      </c>
      <c r="B53" s="14" t="s">
        <v>167</v>
      </c>
      <c r="C53" s="14" t="s">
        <v>168</v>
      </c>
      <c r="D53" s="14" t="s">
        <v>69</v>
      </c>
      <c r="E53" s="16" t="s">
        <v>50</v>
      </c>
      <c r="F53" s="14" t="s">
        <v>161</v>
      </c>
      <c r="G53" s="14" t="s">
        <v>169</v>
      </c>
      <c r="H53" s="17">
        <v>6801.3577514660437</v>
      </c>
      <c r="I53" s="14" t="s">
        <v>53</v>
      </c>
      <c r="J53" s="18">
        <v>35096</v>
      </c>
      <c r="K53" s="18">
        <v>26553</v>
      </c>
      <c r="L53" s="14" t="s">
        <v>170</v>
      </c>
      <c r="M53" s="14" t="s">
        <v>55</v>
      </c>
      <c r="N53" s="19">
        <v>110000</v>
      </c>
      <c r="O53" s="19" t="s">
        <v>74</v>
      </c>
      <c r="P53" s="20" t="s">
        <v>165</v>
      </c>
      <c r="Q53" s="14">
        <v>14</v>
      </c>
    </row>
    <row r="54" spans="1:17" ht="15" hidden="1" outlineLevel="2" x14ac:dyDescent="0.25">
      <c r="A54" s="15" t="s">
        <v>202</v>
      </c>
      <c r="B54" s="14" t="s">
        <v>203</v>
      </c>
      <c r="C54" s="14" t="s">
        <v>68</v>
      </c>
      <c r="D54" s="14" t="s">
        <v>78</v>
      </c>
      <c r="E54" s="16" t="s">
        <v>50</v>
      </c>
      <c r="F54" s="14" t="s">
        <v>161</v>
      </c>
      <c r="G54" s="14" t="s">
        <v>199</v>
      </c>
      <c r="H54" s="17">
        <v>6318.3004549578254</v>
      </c>
      <c r="I54" s="14" t="s">
        <v>53</v>
      </c>
      <c r="J54" s="18">
        <v>35096</v>
      </c>
      <c r="K54" s="18">
        <v>20433</v>
      </c>
      <c r="L54" s="14" t="s">
        <v>204</v>
      </c>
      <c r="M54" s="14" t="s">
        <v>55</v>
      </c>
      <c r="N54" s="19">
        <v>107114</v>
      </c>
      <c r="O54" s="19" t="s">
        <v>205</v>
      </c>
      <c r="P54" s="20" t="s">
        <v>165</v>
      </c>
      <c r="Q54" s="14">
        <v>14</v>
      </c>
    </row>
    <row r="55" spans="1:17" ht="15" hidden="1" outlineLevel="2" x14ac:dyDescent="0.25">
      <c r="A55" s="15" t="s">
        <v>196</v>
      </c>
      <c r="B55" s="14" t="s">
        <v>197</v>
      </c>
      <c r="C55" s="14" t="s">
        <v>132</v>
      </c>
      <c r="D55" s="14" t="s">
        <v>198</v>
      </c>
      <c r="E55" s="16" t="s">
        <v>50</v>
      </c>
      <c r="F55" s="14" t="s">
        <v>161</v>
      </c>
      <c r="G55" s="14" t="s">
        <v>199</v>
      </c>
      <c r="H55" s="17">
        <v>8592.4044860840258</v>
      </c>
      <c r="I55" s="14" t="s">
        <v>53</v>
      </c>
      <c r="J55" s="18">
        <v>35442</v>
      </c>
      <c r="K55" s="18">
        <v>24134</v>
      </c>
      <c r="L55" s="14" t="s">
        <v>200</v>
      </c>
      <c r="M55" s="14" t="s">
        <v>55</v>
      </c>
      <c r="N55" s="19">
        <v>120219</v>
      </c>
      <c r="O55" s="19" t="s">
        <v>201</v>
      </c>
      <c r="P55" s="20" t="s">
        <v>165</v>
      </c>
      <c r="Q55" s="14">
        <v>14</v>
      </c>
    </row>
    <row r="56" spans="1:17" ht="15" hidden="1" outlineLevel="2" x14ac:dyDescent="0.25">
      <c r="A56" s="15" t="s">
        <v>206</v>
      </c>
      <c r="B56" s="14" t="s">
        <v>207</v>
      </c>
      <c r="C56" s="14" t="s">
        <v>208</v>
      </c>
      <c r="D56" s="14" t="s">
        <v>124</v>
      </c>
      <c r="E56" s="16" t="s">
        <v>50</v>
      </c>
      <c r="F56" s="14" t="s">
        <v>161</v>
      </c>
      <c r="G56" s="14" t="s">
        <v>209</v>
      </c>
      <c r="H56" s="17">
        <v>9118.718256106542</v>
      </c>
      <c r="I56" s="14" t="s">
        <v>53</v>
      </c>
      <c r="J56" s="18">
        <v>35332</v>
      </c>
      <c r="K56" s="18">
        <v>21194</v>
      </c>
      <c r="L56" s="14" t="s">
        <v>210</v>
      </c>
      <c r="M56" s="14" t="s">
        <v>55</v>
      </c>
      <c r="N56" s="19">
        <v>157800</v>
      </c>
      <c r="O56" s="19" t="s">
        <v>211</v>
      </c>
      <c r="P56" s="20" t="s">
        <v>165</v>
      </c>
      <c r="Q56" s="14">
        <v>14</v>
      </c>
    </row>
    <row r="57" spans="1:17" ht="15" hidden="1" outlineLevel="2" x14ac:dyDescent="0.25">
      <c r="A57" s="15" t="s">
        <v>171</v>
      </c>
      <c r="B57" s="14" t="s">
        <v>172</v>
      </c>
      <c r="C57" s="14" t="s">
        <v>173</v>
      </c>
      <c r="D57" s="14" t="s">
        <v>174</v>
      </c>
      <c r="E57" s="16" t="s">
        <v>50</v>
      </c>
      <c r="F57" s="14" t="s">
        <v>161</v>
      </c>
      <c r="G57" s="14" t="s">
        <v>175</v>
      </c>
      <c r="H57" s="17">
        <v>12416.518764765749</v>
      </c>
      <c r="I57" s="14" t="s">
        <v>53</v>
      </c>
      <c r="J57" s="18">
        <v>35292</v>
      </c>
      <c r="K57" s="18">
        <v>25810</v>
      </c>
      <c r="L57" s="14" t="s">
        <v>176</v>
      </c>
      <c r="M57" s="14" t="s">
        <v>55</v>
      </c>
      <c r="N57" s="19">
        <v>115116</v>
      </c>
      <c r="O57" s="19" t="s">
        <v>177</v>
      </c>
      <c r="P57" s="20" t="s">
        <v>165</v>
      </c>
      <c r="Q57" s="14">
        <v>14</v>
      </c>
    </row>
    <row r="58" spans="1:17" ht="15" hidden="1" outlineLevel="2" x14ac:dyDescent="0.25">
      <c r="A58" s="15" t="s">
        <v>218</v>
      </c>
      <c r="B58" s="14" t="s">
        <v>219</v>
      </c>
      <c r="C58" s="14" t="s">
        <v>220</v>
      </c>
      <c r="D58" s="14" t="s">
        <v>124</v>
      </c>
      <c r="E58" s="16" t="s">
        <v>50</v>
      </c>
      <c r="F58" s="14" t="s">
        <v>161</v>
      </c>
      <c r="G58" s="14" t="s">
        <v>175</v>
      </c>
      <c r="H58" s="17">
        <v>9575.1729492277009</v>
      </c>
      <c r="I58" s="14" t="s">
        <v>180</v>
      </c>
      <c r="J58" s="18">
        <v>35451</v>
      </c>
      <c r="K58" s="18">
        <v>27551</v>
      </c>
      <c r="L58" s="14" t="s">
        <v>221</v>
      </c>
      <c r="M58" s="14" t="s">
        <v>55</v>
      </c>
      <c r="N58" s="19">
        <v>113654</v>
      </c>
      <c r="O58" s="19" t="s">
        <v>222</v>
      </c>
      <c r="P58" s="20" t="s">
        <v>165</v>
      </c>
      <c r="Q58" s="14">
        <v>14</v>
      </c>
    </row>
    <row r="59" spans="1:17" ht="15" hidden="1" outlineLevel="2" x14ac:dyDescent="0.25">
      <c r="A59" s="15" t="s">
        <v>445</v>
      </c>
      <c r="B59" s="14" t="s">
        <v>446</v>
      </c>
      <c r="C59" s="14" t="s">
        <v>447</v>
      </c>
      <c r="D59" s="14" t="s">
        <v>282</v>
      </c>
      <c r="E59" s="16" t="s">
        <v>87</v>
      </c>
      <c r="F59" s="14" t="s">
        <v>376</v>
      </c>
      <c r="G59" s="14" t="s">
        <v>383</v>
      </c>
      <c r="H59" s="17">
        <v>7810.6406505531404</v>
      </c>
      <c r="I59" s="14" t="s">
        <v>53</v>
      </c>
      <c r="J59" s="18">
        <v>31108</v>
      </c>
      <c r="K59" s="18">
        <v>23891</v>
      </c>
      <c r="L59" s="14" t="s">
        <v>448</v>
      </c>
      <c r="M59" s="14" t="s">
        <v>55</v>
      </c>
      <c r="N59" s="19">
        <v>193007</v>
      </c>
      <c r="O59" s="19" t="s">
        <v>449</v>
      </c>
      <c r="P59" s="20" t="s">
        <v>393</v>
      </c>
      <c r="Q59" s="14">
        <v>31</v>
      </c>
    </row>
    <row r="60" spans="1:17" ht="15" hidden="1" outlineLevel="2" x14ac:dyDescent="0.25">
      <c r="A60" s="15" t="s">
        <v>450</v>
      </c>
      <c r="B60" s="14" t="s">
        <v>451</v>
      </c>
      <c r="C60" s="14" t="s">
        <v>141</v>
      </c>
      <c r="D60" s="14" t="s">
        <v>452</v>
      </c>
      <c r="E60" s="16" t="s">
        <v>87</v>
      </c>
      <c r="F60" s="14" t="s">
        <v>376</v>
      </c>
      <c r="G60" s="14" t="s">
        <v>383</v>
      </c>
      <c r="H60" s="17">
        <v>8520.7696909160004</v>
      </c>
      <c r="I60" s="14" t="s">
        <v>53</v>
      </c>
      <c r="J60" s="18">
        <v>32023</v>
      </c>
      <c r="K60" s="18">
        <v>22893</v>
      </c>
      <c r="L60" s="14" t="s">
        <v>453</v>
      </c>
      <c r="M60" s="14" t="s">
        <v>55</v>
      </c>
      <c r="N60" s="19" t="s">
        <v>454</v>
      </c>
      <c r="O60" s="19" t="s">
        <v>455</v>
      </c>
      <c r="P60" s="20" t="s">
        <v>393</v>
      </c>
      <c r="Q60" s="14">
        <v>31</v>
      </c>
    </row>
    <row r="61" spans="1:17" ht="15" hidden="1" outlineLevel="2" x14ac:dyDescent="0.25">
      <c r="A61" s="15" t="s">
        <v>380</v>
      </c>
      <c r="B61" s="14" t="s">
        <v>381</v>
      </c>
      <c r="C61" s="14" t="s">
        <v>382</v>
      </c>
      <c r="D61" s="14" t="s">
        <v>238</v>
      </c>
      <c r="E61" s="16" t="s">
        <v>87</v>
      </c>
      <c r="F61" s="14" t="s">
        <v>376</v>
      </c>
      <c r="G61" s="14" t="s">
        <v>383</v>
      </c>
      <c r="H61" s="17">
        <v>10643.3766537518</v>
      </c>
      <c r="I61" s="14" t="s">
        <v>134</v>
      </c>
      <c r="J61" s="18">
        <v>34759</v>
      </c>
      <c r="K61" s="18">
        <v>25186</v>
      </c>
      <c r="L61" s="14" t="s">
        <v>384</v>
      </c>
      <c r="M61" s="14" t="s">
        <v>55</v>
      </c>
      <c r="N61" s="19" t="s">
        <v>385</v>
      </c>
      <c r="O61" s="19" t="s">
        <v>386</v>
      </c>
      <c r="P61" s="20" t="s">
        <v>387</v>
      </c>
      <c r="Q61" s="14">
        <v>30</v>
      </c>
    </row>
    <row r="62" spans="1:17" ht="15" hidden="1" outlineLevel="2" x14ac:dyDescent="0.25">
      <c r="A62" s="15" t="s">
        <v>462</v>
      </c>
      <c r="B62" s="14" t="s">
        <v>463</v>
      </c>
      <c r="C62" s="14" t="s">
        <v>464</v>
      </c>
      <c r="D62" s="14" t="s">
        <v>288</v>
      </c>
      <c r="E62" s="16" t="s">
        <v>50</v>
      </c>
      <c r="F62" s="14" t="s">
        <v>376</v>
      </c>
      <c r="G62" s="14" t="s">
        <v>465</v>
      </c>
      <c r="H62" s="17">
        <v>5715.3864960983001</v>
      </c>
      <c r="I62" s="14" t="s">
        <v>180</v>
      </c>
      <c r="J62" s="18">
        <v>33211</v>
      </c>
      <c r="K62" s="18">
        <v>20104</v>
      </c>
      <c r="L62" s="14" t="s">
        <v>466</v>
      </c>
      <c r="M62" s="14" t="s">
        <v>55</v>
      </c>
      <c r="N62" s="19">
        <v>193008</v>
      </c>
      <c r="O62" s="19" t="s">
        <v>467</v>
      </c>
      <c r="P62" s="20" t="s">
        <v>468</v>
      </c>
      <c r="Q62" s="14">
        <v>33</v>
      </c>
    </row>
    <row r="63" spans="1:17" ht="15" hidden="1" outlineLevel="2" x14ac:dyDescent="0.25">
      <c r="A63" s="15" t="s">
        <v>373</v>
      </c>
      <c r="B63" s="14" t="s">
        <v>374</v>
      </c>
      <c r="C63" s="14" t="s">
        <v>375</v>
      </c>
      <c r="D63" s="14" t="s">
        <v>142</v>
      </c>
      <c r="E63" s="16" t="s">
        <v>87</v>
      </c>
      <c r="F63" s="14" t="s">
        <v>376</v>
      </c>
      <c r="G63" s="14" t="s">
        <v>144</v>
      </c>
      <c r="H63" s="17">
        <v>12592.183135589101</v>
      </c>
      <c r="I63" s="14" t="s">
        <v>63</v>
      </c>
      <c r="J63" s="18">
        <v>35504</v>
      </c>
      <c r="K63" s="18">
        <v>24085</v>
      </c>
      <c r="L63" s="14" t="s">
        <v>377</v>
      </c>
      <c r="M63" s="14" t="s">
        <v>55</v>
      </c>
      <c r="N63" s="19">
        <v>193006</v>
      </c>
      <c r="O63" s="19" t="s">
        <v>378</v>
      </c>
      <c r="P63" s="20" t="s">
        <v>379</v>
      </c>
      <c r="Q63" s="14">
        <v>29</v>
      </c>
    </row>
    <row r="64" spans="1:17" ht="15" hidden="1" outlineLevel="2" x14ac:dyDescent="0.25">
      <c r="A64" s="15" t="s">
        <v>114</v>
      </c>
      <c r="B64" s="14" t="s">
        <v>115</v>
      </c>
      <c r="C64" s="14" t="s">
        <v>85</v>
      </c>
      <c r="D64" s="14" t="s">
        <v>116</v>
      </c>
      <c r="E64" s="16" t="s">
        <v>87</v>
      </c>
      <c r="F64" s="14" t="s">
        <v>103</v>
      </c>
      <c r="G64" s="14" t="s">
        <v>117</v>
      </c>
      <c r="H64" s="17">
        <v>13587.3733966329</v>
      </c>
      <c r="I64" s="14" t="s">
        <v>63</v>
      </c>
      <c r="J64" s="18">
        <v>35451</v>
      </c>
      <c r="K64" s="18">
        <v>24134</v>
      </c>
      <c r="L64" s="14" t="s">
        <v>118</v>
      </c>
      <c r="M64" s="14" t="s">
        <v>55</v>
      </c>
      <c r="N64" s="19">
        <v>154041</v>
      </c>
      <c r="O64" s="19" t="s">
        <v>119</v>
      </c>
      <c r="P64" s="20" t="s">
        <v>120</v>
      </c>
      <c r="Q64" s="14">
        <v>3</v>
      </c>
    </row>
    <row r="65" spans="1:17" ht="15" hidden="1" outlineLevel="2" x14ac:dyDescent="0.25">
      <c r="A65" s="15" t="s">
        <v>99</v>
      </c>
      <c r="B65" s="14" t="s">
        <v>100</v>
      </c>
      <c r="C65" s="14" t="s">
        <v>101</v>
      </c>
      <c r="D65" s="14" t="s">
        <v>102</v>
      </c>
      <c r="E65" s="16" t="s">
        <v>50</v>
      </c>
      <c r="F65" s="14" t="s">
        <v>103</v>
      </c>
      <c r="G65" s="14" t="s">
        <v>104</v>
      </c>
      <c r="H65" s="17">
        <v>6209.8910488522833</v>
      </c>
      <c r="I65" s="14" t="s">
        <v>53</v>
      </c>
      <c r="J65" s="18">
        <v>35208</v>
      </c>
      <c r="K65" s="18">
        <v>22949</v>
      </c>
      <c r="L65" s="14" t="s">
        <v>105</v>
      </c>
      <c r="M65" s="14" t="s">
        <v>55</v>
      </c>
      <c r="N65" s="19">
        <v>110002</v>
      </c>
      <c r="O65" s="19" t="s">
        <v>74</v>
      </c>
      <c r="P65" s="20" t="s">
        <v>106</v>
      </c>
      <c r="Q65" s="14">
        <v>2</v>
      </c>
    </row>
    <row r="66" spans="1:17" ht="15" outlineLevel="1" collapsed="1" x14ac:dyDescent="0.25">
      <c r="A66" s="15"/>
      <c r="B66" s="14">
        <f>SUBTOTAL(3,B22:B65)</f>
        <v>44</v>
      </c>
      <c r="H66" s="17"/>
      <c r="J66" s="18"/>
      <c r="K66" s="18"/>
      <c r="M66" s="28" t="s">
        <v>621</v>
      </c>
      <c r="N66" s="19"/>
      <c r="O66" s="19"/>
      <c r="P66" s="20"/>
    </row>
    <row r="67" spans="1:17" ht="15" hidden="1" outlineLevel="2" x14ac:dyDescent="0.25">
      <c r="A67" s="15" t="s">
        <v>149</v>
      </c>
      <c r="B67" s="14" t="s">
        <v>150</v>
      </c>
      <c r="C67" s="14" t="s">
        <v>132</v>
      </c>
      <c r="D67" s="14" t="s">
        <v>151</v>
      </c>
      <c r="E67" s="16" t="s">
        <v>50</v>
      </c>
      <c r="F67" s="14" t="s">
        <v>143</v>
      </c>
      <c r="G67" s="14" t="s">
        <v>152</v>
      </c>
      <c r="H67" s="17">
        <v>10687.814774165099</v>
      </c>
      <c r="I67" s="14" t="s">
        <v>63</v>
      </c>
      <c r="J67" s="18">
        <v>34788</v>
      </c>
      <c r="K67" s="18">
        <v>25186</v>
      </c>
      <c r="L67" s="14" t="s">
        <v>153</v>
      </c>
      <c r="M67" s="14" t="s">
        <v>154</v>
      </c>
      <c r="N67" s="19">
        <v>145037</v>
      </c>
      <c r="O67" s="19" t="s">
        <v>155</v>
      </c>
      <c r="P67" s="20" t="s">
        <v>156</v>
      </c>
      <c r="Q67" s="14">
        <v>13</v>
      </c>
    </row>
    <row r="68" spans="1:17" ht="15" hidden="1" outlineLevel="2" x14ac:dyDescent="0.25">
      <c r="A68" s="15" t="s">
        <v>361</v>
      </c>
      <c r="B68" s="14" t="s">
        <v>362</v>
      </c>
      <c r="C68" s="14" t="s">
        <v>231</v>
      </c>
      <c r="D68" s="14" t="s">
        <v>363</v>
      </c>
      <c r="E68" s="16" t="s">
        <v>87</v>
      </c>
      <c r="F68" s="14" t="s">
        <v>338</v>
      </c>
      <c r="G68" s="14" t="s">
        <v>339</v>
      </c>
      <c r="H68" s="17">
        <v>5053.6033918022285</v>
      </c>
      <c r="I68" s="14" t="s">
        <v>180</v>
      </c>
      <c r="J68" s="18">
        <v>35032</v>
      </c>
      <c r="K68" s="18">
        <v>26821</v>
      </c>
      <c r="L68" s="14" t="s">
        <v>364</v>
      </c>
      <c r="M68" s="14" t="s">
        <v>154</v>
      </c>
      <c r="N68" s="19">
        <v>193004</v>
      </c>
      <c r="O68" s="19" t="s">
        <v>365</v>
      </c>
      <c r="P68" s="20" t="s">
        <v>342</v>
      </c>
      <c r="Q68" s="14">
        <v>23</v>
      </c>
    </row>
    <row r="69" spans="1:17" ht="15" outlineLevel="1" collapsed="1" x14ac:dyDescent="0.25">
      <c r="A69" s="15"/>
      <c r="B69" s="14">
        <f>SUBTOTAL(3,B67:B68)</f>
        <v>2</v>
      </c>
      <c r="H69" s="17"/>
      <c r="J69" s="18"/>
      <c r="K69" s="18"/>
      <c r="M69" s="28" t="s">
        <v>622</v>
      </c>
      <c r="N69" s="19"/>
      <c r="O69" s="19"/>
      <c r="P69" s="20"/>
    </row>
    <row r="70" spans="1:17" ht="15" hidden="1" outlineLevel="2" x14ac:dyDescent="0.25">
      <c r="A70" s="15" t="s">
        <v>212</v>
      </c>
      <c r="B70" s="14" t="s">
        <v>213</v>
      </c>
      <c r="C70" s="14" t="s">
        <v>185</v>
      </c>
      <c r="D70" s="14" t="s">
        <v>151</v>
      </c>
      <c r="E70" s="16" t="s">
        <v>50</v>
      </c>
      <c r="F70" s="14" t="s">
        <v>161</v>
      </c>
      <c r="G70" s="14" t="s">
        <v>187</v>
      </c>
      <c r="H70" s="17">
        <v>12649.177735950938</v>
      </c>
      <c r="I70" s="14" t="s">
        <v>63</v>
      </c>
      <c r="J70" s="18">
        <v>35290</v>
      </c>
      <c r="K70" s="18">
        <v>22280</v>
      </c>
      <c r="L70" s="14" t="s">
        <v>214</v>
      </c>
      <c r="M70" s="14" t="s">
        <v>215</v>
      </c>
      <c r="N70" s="19" t="s">
        <v>216</v>
      </c>
      <c r="O70" s="19" t="s">
        <v>217</v>
      </c>
      <c r="P70" s="20" t="s">
        <v>165</v>
      </c>
      <c r="Q70" s="14">
        <v>14</v>
      </c>
    </row>
    <row r="71" spans="1:17" ht="15" outlineLevel="1" collapsed="1" x14ac:dyDescent="0.25">
      <c r="A71" s="15"/>
      <c r="B71" s="14">
        <f>SUBTOTAL(3,B70:B70)</f>
        <v>1</v>
      </c>
      <c r="H71" s="17"/>
      <c r="J71" s="18"/>
      <c r="K71" s="18"/>
      <c r="M71" s="28" t="s">
        <v>623</v>
      </c>
      <c r="N71" s="19"/>
      <c r="O71" s="19"/>
      <c r="P71" s="20"/>
    </row>
    <row r="72" spans="1:17" ht="15" hidden="1" outlineLevel="2" x14ac:dyDescent="0.25">
      <c r="A72" s="15" t="s">
        <v>83</v>
      </c>
      <c r="B72" s="14" t="s">
        <v>84</v>
      </c>
      <c r="C72" s="14" t="s">
        <v>85</v>
      </c>
      <c r="D72" s="14" t="s">
        <v>86</v>
      </c>
      <c r="E72" s="16" t="s">
        <v>87</v>
      </c>
      <c r="F72" s="14" t="s">
        <v>51</v>
      </c>
      <c r="G72" s="14" t="s">
        <v>88</v>
      </c>
      <c r="H72" s="17">
        <v>9510.0582876089993</v>
      </c>
      <c r="I72" s="14" t="s">
        <v>53</v>
      </c>
      <c r="J72" s="18">
        <v>35321</v>
      </c>
      <c r="K72" s="18">
        <v>23891</v>
      </c>
      <c r="L72" s="14" t="s">
        <v>89</v>
      </c>
      <c r="M72" s="14" t="s">
        <v>90</v>
      </c>
      <c r="N72" s="19">
        <v>100034</v>
      </c>
      <c r="O72" s="19" t="s">
        <v>91</v>
      </c>
      <c r="P72" s="20" t="s">
        <v>57</v>
      </c>
      <c r="Q72" s="14">
        <v>1</v>
      </c>
    </row>
    <row r="73" spans="1:17" ht="15" hidden="1" outlineLevel="2" x14ac:dyDescent="0.25">
      <c r="A73" s="15" t="s">
        <v>178</v>
      </c>
      <c r="B73" s="14" t="s">
        <v>179</v>
      </c>
      <c r="C73" s="14" t="s">
        <v>60</v>
      </c>
      <c r="D73" s="14" t="s">
        <v>102</v>
      </c>
      <c r="E73" s="16" t="s">
        <v>50</v>
      </c>
      <c r="F73" s="14" t="s">
        <v>161</v>
      </c>
      <c r="G73" s="14" t="s">
        <v>169</v>
      </c>
      <c r="H73" s="17">
        <v>6990.5973601102469</v>
      </c>
      <c r="I73" s="14" t="s">
        <v>180</v>
      </c>
      <c r="J73" s="18">
        <v>35445</v>
      </c>
      <c r="K73" s="18">
        <v>26821</v>
      </c>
      <c r="L73" s="14" t="s">
        <v>181</v>
      </c>
      <c r="M73" s="14" t="s">
        <v>90</v>
      </c>
      <c r="N73" s="19">
        <v>123400</v>
      </c>
      <c r="O73" s="19" t="s">
        <v>182</v>
      </c>
      <c r="P73" s="20" t="s">
        <v>165</v>
      </c>
      <c r="Q73" s="14">
        <v>14</v>
      </c>
    </row>
    <row r="74" spans="1:17" ht="15" outlineLevel="1" collapsed="1" x14ac:dyDescent="0.25">
      <c r="A74" s="15"/>
      <c r="B74" s="14">
        <f>SUBTOTAL(3,B72:B73)</f>
        <v>2</v>
      </c>
      <c r="H74" s="17"/>
      <c r="J74" s="18"/>
      <c r="K74" s="18"/>
      <c r="M74" s="28" t="s">
        <v>624</v>
      </c>
      <c r="N74" s="19"/>
      <c r="O74" s="19"/>
      <c r="P74" s="20"/>
    </row>
    <row r="75" spans="1:17" ht="15" hidden="1" outlineLevel="2" x14ac:dyDescent="0.25">
      <c r="A75" s="15" t="s">
        <v>256</v>
      </c>
      <c r="B75" s="14" t="s">
        <v>257</v>
      </c>
      <c r="C75" s="14" t="s">
        <v>258</v>
      </c>
      <c r="D75" s="14" t="s">
        <v>259</v>
      </c>
      <c r="E75" s="16" t="s">
        <v>50</v>
      </c>
      <c r="F75" s="14" t="s">
        <v>143</v>
      </c>
      <c r="G75" s="14" t="s">
        <v>104</v>
      </c>
      <c r="H75" s="17">
        <v>11395.712607802161</v>
      </c>
      <c r="I75" s="14" t="s">
        <v>134</v>
      </c>
      <c r="J75" s="18">
        <v>35460</v>
      </c>
      <c r="K75" s="18">
        <v>20104</v>
      </c>
      <c r="L75" s="14" t="s">
        <v>260</v>
      </c>
      <c r="M75" s="14" t="s">
        <v>261</v>
      </c>
      <c r="N75" s="19" t="s">
        <v>262</v>
      </c>
      <c r="O75" s="19" t="s">
        <v>74</v>
      </c>
      <c r="P75" s="20" t="s">
        <v>263</v>
      </c>
      <c r="Q75" s="14">
        <v>16</v>
      </c>
    </row>
    <row r="76" spans="1:17" ht="15" outlineLevel="1" collapsed="1" x14ac:dyDescent="0.25">
      <c r="A76" s="15"/>
      <c r="B76" s="14">
        <f>SUBTOTAL(3,B75:B75)</f>
        <v>1</v>
      </c>
      <c r="H76" s="17"/>
      <c r="J76" s="18"/>
      <c r="K76" s="18"/>
      <c r="M76" s="28" t="s">
        <v>625</v>
      </c>
      <c r="N76" s="19"/>
      <c r="O76" s="19"/>
      <c r="P76" s="20"/>
    </row>
    <row r="77" spans="1:17" ht="15" hidden="1" outlineLevel="2" x14ac:dyDescent="0.25">
      <c r="A77" s="15" t="s">
        <v>229</v>
      </c>
      <c r="B77" s="14" t="s">
        <v>230</v>
      </c>
      <c r="C77" s="14" t="s">
        <v>231</v>
      </c>
      <c r="D77" s="14" t="s">
        <v>142</v>
      </c>
      <c r="E77" s="16" t="s">
        <v>87</v>
      </c>
      <c r="F77" s="14" t="s">
        <v>161</v>
      </c>
      <c r="G77" s="14" t="s">
        <v>144</v>
      </c>
      <c r="H77" s="17">
        <v>13552.180889683978</v>
      </c>
      <c r="I77" s="14" t="s">
        <v>63</v>
      </c>
      <c r="J77" s="18">
        <v>35208</v>
      </c>
      <c r="K77" s="18">
        <v>22927</v>
      </c>
      <c r="L77" s="14" t="s">
        <v>232</v>
      </c>
      <c r="M77" s="14" t="s">
        <v>233</v>
      </c>
      <c r="N77" s="19">
        <v>113020</v>
      </c>
      <c r="O77" s="19" t="s">
        <v>234</v>
      </c>
      <c r="P77" s="20" t="s">
        <v>165</v>
      </c>
      <c r="Q77" s="14">
        <v>14</v>
      </c>
    </row>
    <row r="78" spans="1:17" ht="15" outlineLevel="1" collapsed="1" x14ac:dyDescent="0.25">
      <c r="A78" s="15"/>
      <c r="B78" s="14">
        <f>SUBTOTAL(3,B77:B77)</f>
        <v>1</v>
      </c>
      <c r="H78" s="17"/>
      <c r="J78" s="18"/>
      <c r="K78" s="18"/>
      <c r="M78" s="28" t="s">
        <v>626</v>
      </c>
      <c r="N78" s="19"/>
      <c r="O78" s="19"/>
      <c r="P78" s="20"/>
    </row>
    <row r="79" spans="1:17" ht="15" x14ac:dyDescent="0.25">
      <c r="A79" s="15"/>
      <c r="B79" s="14">
        <f>SUBTOTAL(3,B2:B77)</f>
        <v>64</v>
      </c>
      <c r="H79" s="17"/>
      <c r="J79" s="18"/>
      <c r="K79" s="18"/>
      <c r="M79" s="28" t="s">
        <v>581</v>
      </c>
      <c r="N79" s="19"/>
      <c r="O79" s="19"/>
      <c r="P79" s="20"/>
    </row>
  </sheetData>
  <sortState ref="A2:Q77">
    <sortCondition ref="M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7"/>
  <sheetViews>
    <sheetView workbookViewId="0">
      <selection activeCell="D90" sqref="D90"/>
    </sheetView>
  </sheetViews>
  <sheetFormatPr defaultRowHeight="15" outlineLevelRow="2" x14ac:dyDescent="0.25"/>
  <cols>
    <col min="1" max="1" width="17" bestFit="1" customWidth="1"/>
    <col min="2" max="2" width="19.7109375" bestFit="1" customWidth="1"/>
    <col min="3" max="3" width="15.42578125" style="24" bestFit="1" customWidth="1"/>
    <col min="4" max="4" width="15.42578125" bestFit="1" customWidth="1"/>
    <col min="5" max="5" width="13.5703125" bestFit="1" customWidth="1"/>
    <col min="6" max="6" width="13.5703125" customWidth="1"/>
    <col min="7" max="8" width="15.28515625" customWidth="1"/>
    <col min="9" max="9" width="16.42578125" bestFit="1" customWidth="1"/>
    <col min="10" max="10" width="10.42578125" bestFit="1" customWidth="1"/>
  </cols>
  <sheetData>
    <row r="1" spans="1:10" ht="45" x14ac:dyDescent="0.25">
      <c r="A1" s="25" t="s">
        <v>573</v>
      </c>
      <c r="B1" s="25" t="s">
        <v>572</v>
      </c>
      <c r="C1" s="25" t="s">
        <v>571</v>
      </c>
      <c r="D1" s="25" t="s">
        <v>31</v>
      </c>
      <c r="E1" s="25" t="s">
        <v>32</v>
      </c>
      <c r="F1" s="25" t="s">
        <v>34</v>
      </c>
      <c r="G1" s="26" t="s">
        <v>570</v>
      </c>
      <c r="H1" s="26" t="s">
        <v>569</v>
      </c>
      <c r="I1" s="25" t="s">
        <v>568</v>
      </c>
      <c r="J1" s="25" t="s">
        <v>574</v>
      </c>
    </row>
    <row r="2" spans="1:10" hidden="1" outlineLevel="2" x14ac:dyDescent="0.25">
      <c r="A2" s="23">
        <v>43390.563194444447</v>
      </c>
      <c r="B2" s="22">
        <v>7.4884259259259262E-3</v>
      </c>
      <c r="C2" s="24" t="s">
        <v>543</v>
      </c>
      <c r="D2" t="s">
        <v>567</v>
      </c>
      <c r="E2" t="s">
        <v>566</v>
      </c>
      <c r="F2" t="s">
        <v>50</v>
      </c>
      <c r="G2">
        <v>17</v>
      </c>
      <c r="H2">
        <v>56.67</v>
      </c>
      <c r="I2">
        <v>0</v>
      </c>
      <c r="J2" t="s">
        <v>575</v>
      </c>
    </row>
    <row r="3" spans="1:10" hidden="1" outlineLevel="2" x14ac:dyDescent="0.25">
      <c r="A3" s="23">
        <v>43397.347222222219</v>
      </c>
      <c r="B3" s="22">
        <v>1.0416666666666666E-2</v>
      </c>
      <c r="C3" s="24" t="s">
        <v>543</v>
      </c>
      <c r="D3" t="s">
        <v>559</v>
      </c>
      <c r="E3" t="s">
        <v>478</v>
      </c>
      <c r="F3" t="s">
        <v>50</v>
      </c>
      <c r="G3">
        <v>14</v>
      </c>
      <c r="H3">
        <v>46.67</v>
      </c>
      <c r="I3">
        <v>0</v>
      </c>
      <c r="J3" t="s">
        <v>575</v>
      </c>
    </row>
    <row r="4" spans="1:10" hidden="1" outlineLevel="2" x14ac:dyDescent="0.25">
      <c r="A4" s="23">
        <v>43397.354166666664</v>
      </c>
      <c r="B4" s="22">
        <v>1.0416666666666666E-2</v>
      </c>
      <c r="C4" s="24" t="s">
        <v>543</v>
      </c>
      <c r="D4" t="s">
        <v>556</v>
      </c>
      <c r="E4" t="s">
        <v>299</v>
      </c>
      <c r="F4" t="s">
        <v>50</v>
      </c>
      <c r="G4">
        <v>15</v>
      </c>
      <c r="H4">
        <v>50</v>
      </c>
      <c r="I4">
        <v>0</v>
      </c>
      <c r="J4" t="s">
        <v>575</v>
      </c>
    </row>
    <row r="5" spans="1:10" hidden="1" outlineLevel="2" x14ac:dyDescent="0.25">
      <c r="A5" s="23">
        <v>43397.34375</v>
      </c>
      <c r="B5" s="22">
        <v>9.2476851851851852E-3</v>
      </c>
      <c r="C5" s="24" t="s">
        <v>543</v>
      </c>
      <c r="D5" t="s">
        <v>554</v>
      </c>
      <c r="E5" t="s">
        <v>478</v>
      </c>
      <c r="F5" t="s">
        <v>50</v>
      </c>
      <c r="G5">
        <v>21</v>
      </c>
      <c r="H5">
        <v>70</v>
      </c>
      <c r="I5">
        <v>2</v>
      </c>
      <c r="J5" t="s">
        <v>576</v>
      </c>
    </row>
    <row r="6" spans="1:10" hidden="1" outlineLevel="2" x14ac:dyDescent="0.25">
      <c r="A6" s="23">
        <v>43390.586111111108</v>
      </c>
      <c r="B6" s="22">
        <v>7.858796296296296E-3</v>
      </c>
      <c r="C6" s="24" t="s">
        <v>543</v>
      </c>
      <c r="D6" t="s">
        <v>528</v>
      </c>
      <c r="E6" t="s">
        <v>529</v>
      </c>
      <c r="F6" t="s">
        <v>50</v>
      </c>
      <c r="G6">
        <v>19</v>
      </c>
      <c r="H6">
        <v>63.33</v>
      </c>
      <c r="I6">
        <v>1</v>
      </c>
      <c r="J6" t="s">
        <v>576</v>
      </c>
    </row>
    <row r="7" spans="1:10" hidden="1" outlineLevel="2" x14ac:dyDescent="0.25">
      <c r="A7" s="23">
        <v>43397.347222222219</v>
      </c>
      <c r="B7" s="22">
        <v>8.1018518518518514E-3</v>
      </c>
      <c r="C7" s="24" t="s">
        <v>543</v>
      </c>
      <c r="D7" t="s">
        <v>551</v>
      </c>
      <c r="E7" t="s">
        <v>168</v>
      </c>
      <c r="F7" t="s">
        <v>50</v>
      </c>
      <c r="G7">
        <v>21</v>
      </c>
      <c r="H7">
        <v>70</v>
      </c>
      <c r="I7">
        <v>2</v>
      </c>
      <c r="J7" t="s">
        <v>576</v>
      </c>
    </row>
    <row r="8" spans="1:10" hidden="1" outlineLevel="2" x14ac:dyDescent="0.25">
      <c r="A8" s="23">
        <v>43397.357638888891</v>
      </c>
      <c r="B8" s="22">
        <v>9.6412037037037039E-3</v>
      </c>
      <c r="C8" s="24" t="s">
        <v>543</v>
      </c>
      <c r="D8" t="s">
        <v>550</v>
      </c>
      <c r="E8" t="s">
        <v>192</v>
      </c>
      <c r="F8" t="s">
        <v>50</v>
      </c>
      <c r="G8">
        <v>14</v>
      </c>
      <c r="H8">
        <v>46.67</v>
      </c>
      <c r="I8">
        <v>0</v>
      </c>
      <c r="J8" t="s">
        <v>575</v>
      </c>
    </row>
    <row r="9" spans="1:10" hidden="1" outlineLevel="2" x14ac:dyDescent="0.25">
      <c r="A9" s="23">
        <v>43390.570833333331</v>
      </c>
      <c r="B9" s="22">
        <v>9.7106481481481471E-3</v>
      </c>
      <c r="C9" s="24" t="s">
        <v>543</v>
      </c>
      <c r="D9" t="s">
        <v>549</v>
      </c>
      <c r="E9" t="s">
        <v>507</v>
      </c>
      <c r="F9" t="s">
        <v>50</v>
      </c>
      <c r="G9">
        <v>22</v>
      </c>
      <c r="H9">
        <v>73.33</v>
      </c>
      <c r="I9">
        <v>2</v>
      </c>
      <c r="J9" t="s">
        <v>576</v>
      </c>
    </row>
    <row r="10" spans="1:10" hidden="1" outlineLevel="2" x14ac:dyDescent="0.25">
      <c r="A10" s="23">
        <v>43397.340277777781</v>
      </c>
      <c r="B10" s="22">
        <v>9.4675925925925917E-3</v>
      </c>
      <c r="C10" s="24" t="s">
        <v>543</v>
      </c>
      <c r="D10" t="s">
        <v>546</v>
      </c>
      <c r="E10" t="s">
        <v>472</v>
      </c>
      <c r="F10" t="s">
        <v>50</v>
      </c>
      <c r="G10">
        <v>19</v>
      </c>
      <c r="H10">
        <v>63.33</v>
      </c>
      <c r="I10">
        <v>1</v>
      </c>
      <c r="J10" t="s">
        <v>576</v>
      </c>
    </row>
    <row r="11" spans="1:10" hidden="1" outlineLevel="2" x14ac:dyDescent="0.25">
      <c r="A11" s="23">
        <v>43390.564583333333</v>
      </c>
      <c r="B11" s="22">
        <v>8.9699074074074073E-3</v>
      </c>
      <c r="C11" s="24" t="s">
        <v>543</v>
      </c>
      <c r="D11" t="s">
        <v>525</v>
      </c>
      <c r="E11" t="s">
        <v>443</v>
      </c>
      <c r="F11" t="s">
        <v>50</v>
      </c>
      <c r="G11">
        <v>26</v>
      </c>
      <c r="H11">
        <v>86.67</v>
      </c>
      <c r="I11">
        <v>3</v>
      </c>
      <c r="J11" t="s">
        <v>576</v>
      </c>
    </row>
    <row r="12" spans="1:10" hidden="1" outlineLevel="2" x14ac:dyDescent="0.25">
      <c r="A12" s="23">
        <v>43397.347222222219</v>
      </c>
      <c r="B12" s="22">
        <v>1.0393518518518519E-2</v>
      </c>
      <c r="C12" s="24" t="s">
        <v>543</v>
      </c>
      <c r="D12" t="s">
        <v>542</v>
      </c>
      <c r="E12" t="s">
        <v>443</v>
      </c>
      <c r="F12" t="s">
        <v>50</v>
      </c>
      <c r="G12">
        <v>20</v>
      </c>
      <c r="H12">
        <v>66.67</v>
      </c>
      <c r="I12">
        <v>1</v>
      </c>
      <c r="J12" t="s">
        <v>576</v>
      </c>
    </row>
    <row r="13" spans="1:10" hidden="1" outlineLevel="2" x14ac:dyDescent="0.25">
      <c r="A13" s="23">
        <v>43397.407638888886</v>
      </c>
      <c r="B13" s="22">
        <v>1.037037037037037E-2</v>
      </c>
      <c r="C13" s="24" t="s">
        <v>543</v>
      </c>
      <c r="D13" t="s">
        <v>565</v>
      </c>
      <c r="E13" t="s">
        <v>564</v>
      </c>
      <c r="F13" t="s">
        <v>87</v>
      </c>
      <c r="G13">
        <v>16</v>
      </c>
      <c r="H13">
        <v>53.33</v>
      </c>
      <c r="I13">
        <v>0</v>
      </c>
      <c r="J13" t="s">
        <v>575</v>
      </c>
    </row>
    <row r="14" spans="1:10" hidden="1" outlineLevel="2" x14ac:dyDescent="0.25">
      <c r="A14" s="23">
        <v>43397.339583333334</v>
      </c>
      <c r="B14" s="22">
        <v>1.0324074074074074E-2</v>
      </c>
      <c r="C14" s="24" t="s">
        <v>543</v>
      </c>
      <c r="D14" t="s">
        <v>563</v>
      </c>
      <c r="E14" t="s">
        <v>562</v>
      </c>
      <c r="F14" t="s">
        <v>87</v>
      </c>
      <c r="G14">
        <v>18</v>
      </c>
      <c r="H14">
        <v>60</v>
      </c>
      <c r="I14">
        <v>1</v>
      </c>
      <c r="J14" t="s">
        <v>576</v>
      </c>
    </row>
    <row r="15" spans="1:10" hidden="1" outlineLevel="2" x14ac:dyDescent="0.25">
      <c r="A15" s="23">
        <v>43390.536111111112</v>
      </c>
      <c r="B15" s="22">
        <v>7.789351851851852E-3</v>
      </c>
      <c r="C15" s="24" t="s">
        <v>543</v>
      </c>
      <c r="D15" t="s">
        <v>561</v>
      </c>
      <c r="E15" t="s">
        <v>560</v>
      </c>
      <c r="F15" t="s">
        <v>87</v>
      </c>
      <c r="G15">
        <v>24</v>
      </c>
      <c r="H15">
        <v>80</v>
      </c>
      <c r="I15">
        <v>3</v>
      </c>
      <c r="J15" t="s">
        <v>576</v>
      </c>
    </row>
    <row r="16" spans="1:10" hidden="1" outlineLevel="2" x14ac:dyDescent="0.25">
      <c r="A16" s="23">
        <v>43390.583333333336</v>
      </c>
      <c r="B16" s="22">
        <v>1.0231481481481482E-2</v>
      </c>
      <c r="C16" s="24" t="s">
        <v>543</v>
      </c>
      <c r="D16" t="s">
        <v>558</v>
      </c>
      <c r="E16" t="s">
        <v>557</v>
      </c>
      <c r="F16" t="s">
        <v>87</v>
      </c>
      <c r="G16">
        <v>21</v>
      </c>
      <c r="H16">
        <v>70</v>
      </c>
      <c r="I16">
        <v>2</v>
      </c>
      <c r="J16" t="s">
        <v>576</v>
      </c>
    </row>
    <row r="17" spans="1:10" hidden="1" outlineLevel="2" x14ac:dyDescent="0.25">
      <c r="A17" s="23">
        <v>43390.574305555558</v>
      </c>
      <c r="B17" s="22">
        <v>8.8657407407407417E-3</v>
      </c>
      <c r="C17" s="24" t="s">
        <v>543</v>
      </c>
      <c r="D17" t="s">
        <v>555</v>
      </c>
      <c r="E17" t="s">
        <v>552</v>
      </c>
      <c r="F17" t="s">
        <v>87</v>
      </c>
      <c r="G17">
        <v>10</v>
      </c>
      <c r="H17">
        <v>33.33</v>
      </c>
      <c r="I17">
        <v>0</v>
      </c>
      <c r="J17" t="s">
        <v>575</v>
      </c>
    </row>
    <row r="18" spans="1:10" hidden="1" outlineLevel="2" x14ac:dyDescent="0.25">
      <c r="A18" s="23">
        <v>43397.345833333333</v>
      </c>
      <c r="B18" s="22">
        <v>8.564814814814815E-3</v>
      </c>
      <c r="C18" s="24" t="s">
        <v>543</v>
      </c>
      <c r="D18" t="s">
        <v>553</v>
      </c>
      <c r="E18" t="s">
        <v>552</v>
      </c>
      <c r="F18" t="s">
        <v>87</v>
      </c>
      <c r="G18">
        <v>21</v>
      </c>
      <c r="H18">
        <v>70</v>
      </c>
      <c r="I18">
        <v>2</v>
      </c>
      <c r="J18" t="s">
        <v>576</v>
      </c>
    </row>
    <row r="19" spans="1:10" hidden="1" outlineLevel="2" x14ac:dyDescent="0.25">
      <c r="A19" s="23">
        <v>43397.338888888888</v>
      </c>
      <c r="B19" s="22">
        <v>9.7916666666666655E-3</v>
      </c>
      <c r="C19" s="24" t="s">
        <v>543</v>
      </c>
      <c r="D19" t="s">
        <v>548</v>
      </c>
      <c r="E19" t="s">
        <v>547</v>
      </c>
      <c r="F19" t="s">
        <v>87</v>
      </c>
      <c r="G19">
        <v>17</v>
      </c>
      <c r="H19">
        <v>56.67</v>
      </c>
      <c r="I19">
        <v>0</v>
      </c>
      <c r="J19" t="s">
        <v>575</v>
      </c>
    </row>
    <row r="20" spans="1:10" hidden="1" outlineLevel="2" x14ac:dyDescent="0.25">
      <c r="A20" s="23">
        <v>43390.584027777775</v>
      </c>
      <c r="B20" s="22">
        <v>1.0243055555555556E-2</v>
      </c>
      <c r="C20" s="24" t="s">
        <v>543</v>
      </c>
      <c r="D20" t="s">
        <v>545</v>
      </c>
      <c r="E20" t="s">
        <v>544</v>
      </c>
      <c r="F20" t="s">
        <v>87</v>
      </c>
      <c r="G20">
        <v>16</v>
      </c>
      <c r="H20">
        <v>53.33</v>
      </c>
      <c r="I20">
        <v>0</v>
      </c>
      <c r="J20" t="s">
        <v>575</v>
      </c>
    </row>
    <row r="21" spans="1:10" outlineLevel="1" collapsed="1" x14ac:dyDescent="0.25">
      <c r="A21" s="23"/>
      <c r="B21" s="22"/>
      <c r="C21" s="27" t="s">
        <v>577</v>
      </c>
      <c r="D21">
        <f>SUBTOTAL(3,D2:D20)</f>
        <v>19</v>
      </c>
    </row>
    <row r="22" spans="1:10" hidden="1" outlineLevel="2" x14ac:dyDescent="0.25">
      <c r="A22" s="23">
        <v>43392.255555555559</v>
      </c>
      <c r="B22" s="22">
        <v>8.5995370370370357E-3</v>
      </c>
      <c r="C22" s="24" t="s">
        <v>517</v>
      </c>
      <c r="D22" t="s">
        <v>539</v>
      </c>
      <c r="E22" t="s">
        <v>472</v>
      </c>
      <c r="F22" t="s">
        <v>50</v>
      </c>
      <c r="G22">
        <v>19</v>
      </c>
      <c r="H22">
        <v>63.33</v>
      </c>
      <c r="I22">
        <v>1</v>
      </c>
      <c r="J22" t="s">
        <v>576</v>
      </c>
    </row>
    <row r="23" spans="1:10" hidden="1" outlineLevel="2" x14ac:dyDescent="0.25">
      <c r="A23" s="23">
        <v>43397.496527777781</v>
      </c>
      <c r="B23" s="22">
        <v>9.6412037037037039E-3</v>
      </c>
      <c r="C23" s="24" t="s">
        <v>517</v>
      </c>
      <c r="D23" t="s">
        <v>538</v>
      </c>
      <c r="E23" t="s">
        <v>132</v>
      </c>
      <c r="F23" t="s">
        <v>50</v>
      </c>
      <c r="G23">
        <v>20</v>
      </c>
      <c r="H23">
        <v>66.67</v>
      </c>
      <c r="I23">
        <v>1</v>
      </c>
      <c r="J23" t="s">
        <v>576</v>
      </c>
    </row>
    <row r="24" spans="1:10" hidden="1" outlineLevel="2" x14ac:dyDescent="0.25">
      <c r="A24" s="23">
        <v>43397.505555555559</v>
      </c>
      <c r="B24" s="22">
        <v>5.4976851851851853E-3</v>
      </c>
      <c r="C24" s="24" t="s">
        <v>517</v>
      </c>
      <c r="D24" t="s">
        <v>537</v>
      </c>
      <c r="E24" t="s">
        <v>443</v>
      </c>
      <c r="F24" t="s">
        <v>50</v>
      </c>
      <c r="G24">
        <v>25</v>
      </c>
      <c r="H24">
        <v>83.33</v>
      </c>
      <c r="I24">
        <v>3</v>
      </c>
      <c r="J24" t="s">
        <v>576</v>
      </c>
    </row>
    <row r="25" spans="1:10" hidden="1" outlineLevel="2" x14ac:dyDescent="0.25">
      <c r="A25" s="23">
        <v>43392.265277777777</v>
      </c>
      <c r="B25" s="22">
        <v>9.3518518518518525E-3</v>
      </c>
      <c r="C25" s="24" t="s">
        <v>517</v>
      </c>
      <c r="D25" t="s">
        <v>536</v>
      </c>
      <c r="E25" t="s">
        <v>524</v>
      </c>
      <c r="F25" t="s">
        <v>50</v>
      </c>
      <c r="G25">
        <v>22</v>
      </c>
      <c r="H25">
        <v>73.33</v>
      </c>
      <c r="I25">
        <v>2</v>
      </c>
      <c r="J25" t="s">
        <v>576</v>
      </c>
    </row>
    <row r="26" spans="1:10" hidden="1" outlineLevel="2" x14ac:dyDescent="0.25">
      <c r="A26" s="23">
        <v>43392.290277777778</v>
      </c>
      <c r="B26" s="22">
        <v>8.7962962962962968E-3</v>
      </c>
      <c r="C26" s="24" t="s">
        <v>517</v>
      </c>
      <c r="D26" t="s">
        <v>535</v>
      </c>
      <c r="E26" t="s">
        <v>101</v>
      </c>
      <c r="F26" t="s">
        <v>50</v>
      </c>
      <c r="G26">
        <v>17</v>
      </c>
      <c r="H26">
        <v>56.67</v>
      </c>
      <c r="I26">
        <v>0</v>
      </c>
      <c r="J26" t="s">
        <v>575</v>
      </c>
    </row>
    <row r="27" spans="1:10" hidden="1" outlineLevel="2" x14ac:dyDescent="0.25">
      <c r="A27" s="23">
        <v>43392.253472222219</v>
      </c>
      <c r="B27" s="22">
        <v>7.69675925925926E-3</v>
      </c>
      <c r="C27" s="24" t="s">
        <v>517</v>
      </c>
      <c r="D27" t="s">
        <v>534</v>
      </c>
      <c r="E27" t="s">
        <v>532</v>
      </c>
      <c r="F27" t="s">
        <v>50</v>
      </c>
      <c r="G27">
        <v>19</v>
      </c>
      <c r="H27">
        <v>63.33</v>
      </c>
      <c r="I27">
        <v>1</v>
      </c>
      <c r="J27" t="s">
        <v>576</v>
      </c>
    </row>
    <row r="28" spans="1:10" hidden="1" outlineLevel="2" x14ac:dyDescent="0.25">
      <c r="A28" s="23">
        <v>43392.277083333334</v>
      </c>
      <c r="B28" s="22">
        <v>6.6203703703703702E-3</v>
      </c>
      <c r="C28" s="24" t="s">
        <v>517</v>
      </c>
      <c r="D28" t="s">
        <v>533</v>
      </c>
      <c r="E28" t="s">
        <v>532</v>
      </c>
      <c r="F28" t="s">
        <v>50</v>
      </c>
      <c r="G28">
        <v>21</v>
      </c>
      <c r="H28">
        <v>70</v>
      </c>
      <c r="I28">
        <v>2</v>
      </c>
      <c r="J28" t="s">
        <v>576</v>
      </c>
    </row>
    <row r="29" spans="1:10" hidden="1" outlineLevel="2" x14ac:dyDescent="0.25">
      <c r="A29" s="23">
        <v>43397.495138888888</v>
      </c>
      <c r="B29" s="22">
        <v>8.8310185185185176E-3</v>
      </c>
      <c r="C29" s="24" t="s">
        <v>517</v>
      </c>
      <c r="D29" t="s">
        <v>531</v>
      </c>
      <c r="E29" t="s">
        <v>168</v>
      </c>
      <c r="F29" t="s">
        <v>50</v>
      </c>
      <c r="G29">
        <v>24</v>
      </c>
      <c r="H29">
        <v>80</v>
      </c>
      <c r="I29">
        <v>3</v>
      </c>
      <c r="J29" t="s">
        <v>576</v>
      </c>
    </row>
    <row r="30" spans="1:10" hidden="1" outlineLevel="2" x14ac:dyDescent="0.25">
      <c r="A30" s="23">
        <v>43392.261111111111</v>
      </c>
      <c r="B30" s="22">
        <v>8.2638888888888883E-3</v>
      </c>
      <c r="C30" s="24" t="s">
        <v>517</v>
      </c>
      <c r="D30" t="s">
        <v>530</v>
      </c>
      <c r="E30" t="s">
        <v>529</v>
      </c>
      <c r="F30" t="s">
        <v>50</v>
      </c>
      <c r="G30">
        <v>21</v>
      </c>
      <c r="H30">
        <v>70</v>
      </c>
      <c r="I30">
        <v>2</v>
      </c>
      <c r="J30" t="s">
        <v>576</v>
      </c>
    </row>
    <row r="31" spans="1:10" hidden="1" outlineLevel="2" x14ac:dyDescent="0.25">
      <c r="A31" s="23">
        <v>43397.51458333333</v>
      </c>
      <c r="B31" s="22">
        <v>9.1087962962962971E-3</v>
      </c>
      <c r="C31" s="24" t="s">
        <v>517</v>
      </c>
      <c r="D31" t="s">
        <v>528</v>
      </c>
      <c r="E31" t="s">
        <v>101</v>
      </c>
      <c r="F31" t="s">
        <v>50</v>
      </c>
      <c r="G31">
        <v>14</v>
      </c>
      <c r="H31">
        <v>46.67</v>
      </c>
      <c r="I31">
        <v>0</v>
      </c>
      <c r="J31" t="s">
        <v>575</v>
      </c>
    </row>
    <row r="32" spans="1:10" hidden="1" outlineLevel="2" x14ac:dyDescent="0.25">
      <c r="A32" s="23">
        <v>43392.25277777778</v>
      </c>
      <c r="B32" s="22">
        <v>7.0601851851851841E-3</v>
      </c>
      <c r="C32" s="24" t="s">
        <v>517</v>
      </c>
      <c r="D32" t="s">
        <v>527</v>
      </c>
      <c r="E32" t="s">
        <v>287</v>
      </c>
      <c r="F32" t="s">
        <v>50</v>
      </c>
      <c r="G32">
        <v>24</v>
      </c>
      <c r="H32">
        <v>80</v>
      </c>
      <c r="I32">
        <v>3</v>
      </c>
      <c r="J32" t="s">
        <v>576</v>
      </c>
    </row>
    <row r="33" spans="1:10" hidden="1" outlineLevel="2" x14ac:dyDescent="0.25">
      <c r="A33" s="23">
        <v>43397.495138888888</v>
      </c>
      <c r="B33" s="22">
        <v>9.4444444444444445E-3</v>
      </c>
      <c r="C33" s="24" t="s">
        <v>517</v>
      </c>
      <c r="D33" t="s">
        <v>526</v>
      </c>
      <c r="E33" t="s">
        <v>316</v>
      </c>
      <c r="F33" t="s">
        <v>50</v>
      </c>
      <c r="G33">
        <v>24</v>
      </c>
      <c r="H33">
        <v>80</v>
      </c>
      <c r="I33">
        <v>3</v>
      </c>
      <c r="J33" t="s">
        <v>576</v>
      </c>
    </row>
    <row r="34" spans="1:10" hidden="1" outlineLevel="2" x14ac:dyDescent="0.25">
      <c r="A34" s="23">
        <v>43397.493055555555</v>
      </c>
      <c r="B34" s="22">
        <v>8.1828703703703699E-3</v>
      </c>
      <c r="C34" s="24" t="s">
        <v>517</v>
      </c>
      <c r="D34" t="s">
        <v>525</v>
      </c>
      <c r="E34" t="s">
        <v>524</v>
      </c>
      <c r="F34" t="s">
        <v>50</v>
      </c>
      <c r="G34">
        <v>26</v>
      </c>
      <c r="H34">
        <v>86.67</v>
      </c>
      <c r="I34">
        <v>3</v>
      </c>
      <c r="J34" t="s">
        <v>576</v>
      </c>
    </row>
    <row r="35" spans="1:10" hidden="1" outlineLevel="2" x14ac:dyDescent="0.25">
      <c r="A35" s="23">
        <v>43397.508333333331</v>
      </c>
      <c r="B35" s="22">
        <v>1.0416666666666666E-2</v>
      </c>
      <c r="C35" s="24" t="s">
        <v>517</v>
      </c>
      <c r="D35" t="s">
        <v>523</v>
      </c>
      <c r="E35" t="s">
        <v>522</v>
      </c>
      <c r="F35" t="s">
        <v>50</v>
      </c>
      <c r="G35">
        <v>15</v>
      </c>
      <c r="H35">
        <v>50</v>
      </c>
      <c r="I35">
        <v>0</v>
      </c>
      <c r="J35" t="s">
        <v>575</v>
      </c>
    </row>
    <row r="36" spans="1:10" hidden="1" outlineLevel="2" x14ac:dyDescent="0.25">
      <c r="A36" s="23">
        <v>43392.263888888891</v>
      </c>
      <c r="B36" s="22">
        <v>6.6782407407407415E-3</v>
      </c>
      <c r="C36" s="24" t="s">
        <v>517</v>
      </c>
      <c r="D36" t="s">
        <v>521</v>
      </c>
      <c r="E36" t="s">
        <v>60</v>
      </c>
      <c r="F36" t="s">
        <v>50</v>
      </c>
      <c r="G36">
        <v>27</v>
      </c>
      <c r="H36">
        <v>90</v>
      </c>
      <c r="I36">
        <v>3</v>
      </c>
      <c r="J36" t="s">
        <v>576</v>
      </c>
    </row>
    <row r="37" spans="1:10" hidden="1" outlineLevel="2" x14ac:dyDescent="0.25">
      <c r="A37" s="23">
        <v>43397.498611111114</v>
      </c>
      <c r="B37" s="22">
        <v>9.4444444444444445E-3</v>
      </c>
      <c r="C37" s="24" t="s">
        <v>517</v>
      </c>
      <c r="D37" t="s">
        <v>520</v>
      </c>
      <c r="E37" t="s">
        <v>491</v>
      </c>
      <c r="F37" t="s">
        <v>50</v>
      </c>
      <c r="G37">
        <v>21</v>
      </c>
      <c r="H37">
        <v>70</v>
      </c>
      <c r="I37">
        <v>2</v>
      </c>
      <c r="J37" t="s">
        <v>576</v>
      </c>
    </row>
    <row r="38" spans="1:10" hidden="1" outlineLevel="2" x14ac:dyDescent="0.25">
      <c r="A38" s="23">
        <v>43397.496527777781</v>
      </c>
      <c r="B38" s="22">
        <v>9.618055555555555E-3</v>
      </c>
      <c r="C38" s="24" t="s">
        <v>517</v>
      </c>
      <c r="D38" t="s">
        <v>519</v>
      </c>
      <c r="E38" t="s">
        <v>482</v>
      </c>
      <c r="F38" t="s">
        <v>50</v>
      </c>
      <c r="G38">
        <v>22</v>
      </c>
      <c r="H38">
        <v>73.33</v>
      </c>
      <c r="I38">
        <v>2</v>
      </c>
      <c r="J38" t="s">
        <v>576</v>
      </c>
    </row>
    <row r="39" spans="1:10" hidden="1" outlineLevel="2" x14ac:dyDescent="0.25">
      <c r="A39" s="23">
        <v>43397.493750000001</v>
      </c>
      <c r="B39" s="22">
        <v>9.1550925925925931E-3</v>
      </c>
      <c r="C39" s="24" t="s">
        <v>517</v>
      </c>
      <c r="D39" t="s">
        <v>475</v>
      </c>
      <c r="E39" t="s">
        <v>518</v>
      </c>
      <c r="F39" t="s">
        <v>50</v>
      </c>
      <c r="G39">
        <v>23</v>
      </c>
      <c r="H39">
        <v>76.67</v>
      </c>
      <c r="I39">
        <v>2</v>
      </c>
      <c r="J39" t="s">
        <v>576</v>
      </c>
    </row>
    <row r="40" spans="1:10" hidden="1" outlineLevel="2" x14ac:dyDescent="0.25">
      <c r="A40" s="23">
        <v>43397.505555555559</v>
      </c>
      <c r="B40" s="22">
        <v>8.8657407407407417E-3</v>
      </c>
      <c r="C40" s="24" t="s">
        <v>517</v>
      </c>
      <c r="D40" t="s">
        <v>516</v>
      </c>
      <c r="E40" t="s">
        <v>299</v>
      </c>
      <c r="F40" t="s">
        <v>50</v>
      </c>
      <c r="G40">
        <v>27</v>
      </c>
      <c r="H40">
        <v>90</v>
      </c>
      <c r="I40">
        <v>3</v>
      </c>
      <c r="J40" t="s">
        <v>576</v>
      </c>
    </row>
    <row r="41" spans="1:10" hidden="1" outlineLevel="2" x14ac:dyDescent="0.25">
      <c r="A41" s="23">
        <v>43392.254861111112</v>
      </c>
      <c r="B41" s="22">
        <v>8.1249999999999985E-3</v>
      </c>
      <c r="C41" s="24" t="s">
        <v>517</v>
      </c>
      <c r="D41" t="s">
        <v>541</v>
      </c>
      <c r="E41" t="s">
        <v>540</v>
      </c>
      <c r="F41" t="s">
        <v>87</v>
      </c>
      <c r="G41">
        <v>21</v>
      </c>
      <c r="H41">
        <v>70</v>
      </c>
      <c r="I41">
        <v>2</v>
      </c>
      <c r="J41" t="s">
        <v>576</v>
      </c>
    </row>
    <row r="42" spans="1:10" outlineLevel="1" collapsed="1" x14ac:dyDescent="0.25">
      <c r="A42" s="23"/>
      <c r="B42" s="22"/>
      <c r="C42" s="27" t="s">
        <v>578</v>
      </c>
      <c r="D42">
        <f>SUBTOTAL(3,D22:D41)</f>
        <v>20</v>
      </c>
    </row>
    <row r="43" spans="1:10" hidden="1" outlineLevel="2" x14ac:dyDescent="0.25">
      <c r="A43" s="23">
        <v>43391.338194444441</v>
      </c>
      <c r="B43" s="22">
        <v>7.8125E-3</v>
      </c>
      <c r="C43" s="24" t="s">
        <v>493</v>
      </c>
      <c r="D43" t="s">
        <v>515</v>
      </c>
      <c r="E43" t="s">
        <v>482</v>
      </c>
      <c r="F43" t="s">
        <v>50</v>
      </c>
      <c r="G43">
        <v>22</v>
      </c>
      <c r="H43">
        <v>73.33</v>
      </c>
      <c r="I43">
        <v>2</v>
      </c>
      <c r="J43" t="s">
        <v>576</v>
      </c>
    </row>
    <row r="44" spans="1:10" hidden="1" outlineLevel="2" x14ac:dyDescent="0.25">
      <c r="A44" s="23">
        <v>43398.331944444442</v>
      </c>
      <c r="B44" s="22">
        <v>8.4722222222222213E-3</v>
      </c>
      <c r="C44" s="24" t="s">
        <v>493</v>
      </c>
      <c r="D44" t="s">
        <v>514</v>
      </c>
      <c r="E44" t="s">
        <v>496</v>
      </c>
      <c r="F44" t="s">
        <v>50</v>
      </c>
      <c r="G44">
        <v>24</v>
      </c>
      <c r="H44">
        <v>80</v>
      </c>
      <c r="I44">
        <v>3</v>
      </c>
      <c r="J44" t="s">
        <v>576</v>
      </c>
    </row>
    <row r="45" spans="1:10" hidden="1" outlineLevel="2" x14ac:dyDescent="0.25">
      <c r="A45" s="23">
        <v>43391.363194444442</v>
      </c>
      <c r="B45" s="22">
        <v>9.3287037037037036E-3</v>
      </c>
      <c r="C45" s="24" t="s">
        <v>493</v>
      </c>
      <c r="D45" t="s">
        <v>513</v>
      </c>
      <c r="E45" t="s">
        <v>101</v>
      </c>
      <c r="F45" t="s">
        <v>50</v>
      </c>
      <c r="G45">
        <v>20</v>
      </c>
      <c r="H45">
        <v>66.67</v>
      </c>
      <c r="I45">
        <v>1</v>
      </c>
      <c r="J45" t="s">
        <v>576</v>
      </c>
    </row>
    <row r="46" spans="1:10" hidden="1" outlineLevel="2" x14ac:dyDescent="0.25">
      <c r="A46" s="23">
        <v>43391.378472222219</v>
      </c>
      <c r="B46" s="22">
        <v>1.0405092592592593E-2</v>
      </c>
      <c r="C46" s="24" t="s">
        <v>493</v>
      </c>
      <c r="D46" t="s">
        <v>512</v>
      </c>
      <c r="E46" t="s">
        <v>511</v>
      </c>
      <c r="F46" t="s">
        <v>50</v>
      </c>
      <c r="G46">
        <v>13</v>
      </c>
      <c r="H46">
        <v>43.33</v>
      </c>
      <c r="I46">
        <v>0</v>
      </c>
      <c r="J46" t="s">
        <v>575</v>
      </c>
    </row>
    <row r="47" spans="1:10" hidden="1" outlineLevel="2" x14ac:dyDescent="0.25">
      <c r="A47" s="23">
        <v>43398.338194444441</v>
      </c>
      <c r="B47" s="22">
        <v>6.5740740740740733E-3</v>
      </c>
      <c r="C47" s="24" t="s">
        <v>493</v>
      </c>
      <c r="D47" t="s">
        <v>510</v>
      </c>
      <c r="E47" t="s">
        <v>509</v>
      </c>
      <c r="F47" t="s">
        <v>50</v>
      </c>
      <c r="G47">
        <v>16</v>
      </c>
      <c r="H47">
        <v>53.33</v>
      </c>
      <c r="I47">
        <v>0</v>
      </c>
      <c r="J47" t="s">
        <v>575</v>
      </c>
    </row>
    <row r="48" spans="1:10" hidden="1" outlineLevel="2" x14ac:dyDescent="0.25">
      <c r="A48" s="23">
        <v>43398.340277777781</v>
      </c>
      <c r="B48" s="22">
        <v>8.2291666666666659E-3</v>
      </c>
      <c r="C48" s="24" t="s">
        <v>493</v>
      </c>
      <c r="D48" t="s">
        <v>508</v>
      </c>
      <c r="E48" t="s">
        <v>507</v>
      </c>
      <c r="F48" t="s">
        <v>50</v>
      </c>
      <c r="G48">
        <v>22</v>
      </c>
      <c r="H48">
        <v>73.33</v>
      </c>
      <c r="I48">
        <v>2</v>
      </c>
      <c r="J48" t="s">
        <v>576</v>
      </c>
    </row>
    <row r="49" spans="1:10" hidden="1" outlineLevel="2" x14ac:dyDescent="0.25">
      <c r="A49" s="23">
        <v>43398.345138888886</v>
      </c>
      <c r="B49" s="22">
        <v>9.0624999999999994E-3</v>
      </c>
      <c r="C49" s="24" t="s">
        <v>493</v>
      </c>
      <c r="D49" t="s">
        <v>506</v>
      </c>
      <c r="E49" t="s">
        <v>185</v>
      </c>
      <c r="F49" t="s">
        <v>50</v>
      </c>
      <c r="G49">
        <v>19</v>
      </c>
      <c r="H49">
        <v>63.33</v>
      </c>
      <c r="I49">
        <v>1</v>
      </c>
      <c r="J49" t="s">
        <v>576</v>
      </c>
    </row>
    <row r="50" spans="1:10" hidden="1" outlineLevel="2" x14ac:dyDescent="0.25">
      <c r="A50" s="23">
        <v>43398.333333333336</v>
      </c>
      <c r="B50" s="22">
        <v>9.7106481481481471E-3</v>
      </c>
      <c r="C50" s="24" t="s">
        <v>493</v>
      </c>
      <c r="D50" t="s">
        <v>505</v>
      </c>
      <c r="E50" t="s">
        <v>60</v>
      </c>
      <c r="F50" t="s">
        <v>50</v>
      </c>
      <c r="G50">
        <v>16</v>
      </c>
      <c r="H50">
        <v>53.33</v>
      </c>
      <c r="I50">
        <v>0</v>
      </c>
      <c r="J50" t="s">
        <v>575</v>
      </c>
    </row>
    <row r="51" spans="1:10" hidden="1" outlineLevel="2" x14ac:dyDescent="0.25">
      <c r="A51" s="23">
        <v>43391.34375</v>
      </c>
      <c r="B51" s="22">
        <v>8.9583333333333338E-3</v>
      </c>
      <c r="C51" s="24" t="s">
        <v>493</v>
      </c>
      <c r="D51" t="s">
        <v>504</v>
      </c>
      <c r="E51" t="s">
        <v>472</v>
      </c>
      <c r="F51" t="s">
        <v>50</v>
      </c>
      <c r="G51">
        <v>26</v>
      </c>
      <c r="H51">
        <v>86.67</v>
      </c>
      <c r="I51">
        <v>3</v>
      </c>
      <c r="J51" t="s">
        <v>576</v>
      </c>
    </row>
    <row r="52" spans="1:10" hidden="1" outlineLevel="2" x14ac:dyDescent="0.25">
      <c r="A52" s="23">
        <v>43398.336805555555</v>
      </c>
      <c r="B52" s="22">
        <v>1.0405092592592593E-2</v>
      </c>
      <c r="C52" s="24" t="s">
        <v>493</v>
      </c>
      <c r="D52" t="s">
        <v>503</v>
      </c>
      <c r="E52" t="s">
        <v>443</v>
      </c>
      <c r="F52" t="s">
        <v>50</v>
      </c>
      <c r="G52">
        <v>25</v>
      </c>
      <c r="H52">
        <v>83.33</v>
      </c>
      <c r="I52">
        <v>3</v>
      </c>
      <c r="J52" t="s">
        <v>576</v>
      </c>
    </row>
    <row r="53" spans="1:10" hidden="1" outlineLevel="2" x14ac:dyDescent="0.25">
      <c r="A53" s="23">
        <v>43391.35</v>
      </c>
      <c r="B53" s="22">
        <v>9.432870370370371E-3</v>
      </c>
      <c r="C53" s="24" t="s">
        <v>493</v>
      </c>
      <c r="D53" t="s">
        <v>502</v>
      </c>
      <c r="E53" t="s">
        <v>443</v>
      </c>
      <c r="F53" t="s">
        <v>50</v>
      </c>
      <c r="G53">
        <v>21</v>
      </c>
      <c r="H53">
        <v>70</v>
      </c>
      <c r="I53">
        <v>2</v>
      </c>
      <c r="J53" t="s">
        <v>576</v>
      </c>
    </row>
    <row r="54" spans="1:10" hidden="1" outlineLevel="2" x14ac:dyDescent="0.25">
      <c r="A54" s="23">
        <v>43398.34375</v>
      </c>
      <c r="B54" s="22">
        <v>1.0023148148148147E-2</v>
      </c>
      <c r="C54" s="24" t="s">
        <v>493</v>
      </c>
      <c r="D54" t="s">
        <v>501</v>
      </c>
      <c r="E54" t="s">
        <v>500</v>
      </c>
      <c r="F54" t="s">
        <v>50</v>
      </c>
      <c r="G54">
        <v>16</v>
      </c>
      <c r="H54">
        <v>53.33</v>
      </c>
      <c r="I54">
        <v>0</v>
      </c>
      <c r="J54" t="s">
        <v>575</v>
      </c>
    </row>
    <row r="55" spans="1:10" hidden="1" outlineLevel="2" x14ac:dyDescent="0.25">
      <c r="A55" s="23">
        <v>43398.340277777781</v>
      </c>
      <c r="B55" s="22">
        <v>8.8657407407407417E-3</v>
      </c>
      <c r="C55" s="24" t="s">
        <v>493</v>
      </c>
      <c r="D55" t="s">
        <v>499</v>
      </c>
      <c r="E55" t="s">
        <v>472</v>
      </c>
      <c r="F55" t="s">
        <v>50</v>
      </c>
      <c r="G55">
        <v>22</v>
      </c>
      <c r="H55">
        <v>73.33</v>
      </c>
      <c r="I55">
        <v>2</v>
      </c>
      <c r="J55" t="s">
        <v>576</v>
      </c>
    </row>
    <row r="56" spans="1:10" hidden="1" outlineLevel="2" x14ac:dyDescent="0.25">
      <c r="A56" s="23">
        <v>43398.336805555555</v>
      </c>
      <c r="B56" s="22">
        <v>9.7453703703703713E-3</v>
      </c>
      <c r="C56" s="24" t="s">
        <v>493</v>
      </c>
      <c r="D56" t="s">
        <v>498</v>
      </c>
      <c r="E56" t="s">
        <v>416</v>
      </c>
      <c r="F56" t="s">
        <v>50</v>
      </c>
      <c r="G56">
        <v>22</v>
      </c>
      <c r="H56">
        <v>73.33</v>
      </c>
      <c r="I56">
        <v>2</v>
      </c>
      <c r="J56" t="s">
        <v>576</v>
      </c>
    </row>
    <row r="57" spans="1:10" hidden="1" outlineLevel="2" x14ac:dyDescent="0.25">
      <c r="A57" s="23">
        <v>43391.340277777781</v>
      </c>
      <c r="B57" s="22">
        <v>1.005787037037037E-2</v>
      </c>
      <c r="C57" s="24" t="s">
        <v>493</v>
      </c>
      <c r="D57" t="s">
        <v>497</v>
      </c>
      <c r="E57" t="s">
        <v>496</v>
      </c>
      <c r="F57" t="s">
        <v>50</v>
      </c>
      <c r="G57">
        <v>21</v>
      </c>
      <c r="H57">
        <v>70</v>
      </c>
      <c r="I57">
        <v>2</v>
      </c>
      <c r="J57" t="s">
        <v>576</v>
      </c>
    </row>
    <row r="58" spans="1:10" hidden="1" outlineLevel="2" x14ac:dyDescent="0.25">
      <c r="A58" s="23">
        <v>43398.338888888888</v>
      </c>
      <c r="B58" s="22">
        <v>7.4537037037037028E-3</v>
      </c>
      <c r="C58" s="24" t="s">
        <v>493</v>
      </c>
      <c r="D58" t="s">
        <v>495</v>
      </c>
      <c r="E58" t="s">
        <v>185</v>
      </c>
      <c r="F58" t="s">
        <v>50</v>
      </c>
      <c r="G58">
        <v>17</v>
      </c>
      <c r="H58">
        <v>56.67</v>
      </c>
      <c r="I58">
        <v>0</v>
      </c>
      <c r="J58" t="s">
        <v>575</v>
      </c>
    </row>
    <row r="59" spans="1:10" hidden="1" outlineLevel="2" x14ac:dyDescent="0.25">
      <c r="A59" s="23">
        <v>43398.336111111108</v>
      </c>
      <c r="B59" s="22">
        <v>1.0011574074074074E-2</v>
      </c>
      <c r="C59" s="24" t="s">
        <v>493</v>
      </c>
      <c r="D59" t="s">
        <v>494</v>
      </c>
      <c r="E59" t="s">
        <v>472</v>
      </c>
      <c r="F59" t="s">
        <v>50</v>
      </c>
      <c r="G59">
        <v>25</v>
      </c>
      <c r="H59">
        <v>83.33</v>
      </c>
      <c r="I59">
        <v>3</v>
      </c>
      <c r="J59" t="s">
        <v>576</v>
      </c>
    </row>
    <row r="60" spans="1:10" hidden="1" outlineLevel="2" x14ac:dyDescent="0.25">
      <c r="A60" s="23">
        <v>43398.390277777777</v>
      </c>
      <c r="B60" s="22">
        <v>8.7615740740740744E-3</v>
      </c>
      <c r="C60" s="24" t="s">
        <v>493</v>
      </c>
      <c r="D60" t="s">
        <v>492</v>
      </c>
      <c r="E60" t="s">
        <v>491</v>
      </c>
      <c r="F60" t="s">
        <v>50</v>
      </c>
      <c r="G60">
        <v>23</v>
      </c>
      <c r="H60">
        <v>76.67</v>
      </c>
      <c r="I60">
        <v>2</v>
      </c>
      <c r="J60" t="s">
        <v>576</v>
      </c>
    </row>
    <row r="61" spans="1:10" outlineLevel="1" collapsed="1" x14ac:dyDescent="0.25">
      <c r="A61" s="23"/>
      <c r="B61" s="22"/>
      <c r="C61" s="27" t="s">
        <v>579</v>
      </c>
      <c r="D61">
        <f>SUBTOTAL(3,D43:D60)</f>
        <v>18</v>
      </c>
    </row>
    <row r="62" spans="1:10" hidden="1" outlineLevel="2" x14ac:dyDescent="0.25">
      <c r="A62" s="23">
        <v>43399.272222222222</v>
      </c>
      <c r="B62" s="22">
        <v>9.8263888888888897E-3</v>
      </c>
      <c r="C62" s="24" t="s">
        <v>471</v>
      </c>
      <c r="D62" t="s">
        <v>490</v>
      </c>
      <c r="E62" t="s">
        <v>489</v>
      </c>
      <c r="F62" t="s">
        <v>50</v>
      </c>
      <c r="G62">
        <v>13</v>
      </c>
      <c r="H62">
        <v>43.33</v>
      </c>
      <c r="I62">
        <v>0</v>
      </c>
      <c r="J62" t="s">
        <v>575</v>
      </c>
    </row>
    <row r="63" spans="1:10" hidden="1" outlineLevel="2" x14ac:dyDescent="0.25">
      <c r="A63" s="23">
        <v>43399.277777777781</v>
      </c>
      <c r="B63" s="22">
        <v>9.1203703703703707E-3</v>
      </c>
      <c r="C63" s="24" t="s">
        <v>471</v>
      </c>
      <c r="D63" t="s">
        <v>488</v>
      </c>
      <c r="E63" t="s">
        <v>443</v>
      </c>
      <c r="F63" t="s">
        <v>50</v>
      </c>
      <c r="G63">
        <v>19</v>
      </c>
      <c r="H63">
        <v>63.33</v>
      </c>
      <c r="I63">
        <v>1</v>
      </c>
      <c r="J63" t="s">
        <v>576</v>
      </c>
    </row>
    <row r="64" spans="1:10" hidden="1" outlineLevel="2" x14ac:dyDescent="0.25">
      <c r="A64" s="23">
        <v>43399.257638888892</v>
      </c>
      <c r="B64" s="22">
        <v>6.3773148148148148E-3</v>
      </c>
      <c r="C64" s="24" t="s">
        <v>471</v>
      </c>
      <c r="D64" t="s">
        <v>487</v>
      </c>
      <c r="E64" t="s">
        <v>258</v>
      </c>
      <c r="F64" t="s">
        <v>50</v>
      </c>
      <c r="G64">
        <v>22</v>
      </c>
      <c r="H64">
        <v>73.33</v>
      </c>
      <c r="I64">
        <v>2</v>
      </c>
      <c r="J64" t="s">
        <v>576</v>
      </c>
    </row>
    <row r="65" spans="1:10" hidden="1" outlineLevel="2" x14ac:dyDescent="0.25">
      <c r="A65" s="23">
        <v>43399.268055555556</v>
      </c>
      <c r="B65" s="22">
        <v>1.0416666666666666E-2</v>
      </c>
      <c r="C65" s="24" t="s">
        <v>471</v>
      </c>
      <c r="D65" t="s">
        <v>486</v>
      </c>
      <c r="E65" t="s">
        <v>316</v>
      </c>
      <c r="F65" t="s">
        <v>50</v>
      </c>
      <c r="G65">
        <v>23</v>
      </c>
      <c r="H65">
        <v>76.67</v>
      </c>
      <c r="I65">
        <v>2</v>
      </c>
      <c r="J65" t="s">
        <v>576</v>
      </c>
    </row>
    <row r="66" spans="1:10" hidden="1" outlineLevel="2" x14ac:dyDescent="0.25">
      <c r="A66" s="23">
        <v>43399.261805555558</v>
      </c>
      <c r="B66" s="22">
        <v>7.3958333333333341E-3</v>
      </c>
      <c r="C66" s="24" t="s">
        <v>471</v>
      </c>
      <c r="D66" t="s">
        <v>485</v>
      </c>
      <c r="E66" t="s">
        <v>101</v>
      </c>
      <c r="F66" t="s">
        <v>50</v>
      </c>
      <c r="G66">
        <v>19</v>
      </c>
      <c r="H66">
        <v>63.33</v>
      </c>
      <c r="I66">
        <v>1</v>
      </c>
      <c r="J66" t="s">
        <v>576</v>
      </c>
    </row>
    <row r="67" spans="1:10" hidden="1" outlineLevel="2" x14ac:dyDescent="0.25">
      <c r="A67" s="23">
        <v>43399.302083333336</v>
      </c>
      <c r="B67" s="22">
        <v>9.2361111111111116E-3</v>
      </c>
      <c r="C67" s="24" t="s">
        <v>471</v>
      </c>
      <c r="D67" t="s">
        <v>484</v>
      </c>
      <c r="E67" t="s">
        <v>299</v>
      </c>
      <c r="F67" t="s">
        <v>50</v>
      </c>
      <c r="G67">
        <v>14</v>
      </c>
      <c r="H67">
        <v>46.67</v>
      </c>
      <c r="I67">
        <v>0</v>
      </c>
      <c r="J67" t="s">
        <v>575</v>
      </c>
    </row>
    <row r="68" spans="1:10" hidden="1" outlineLevel="2" x14ac:dyDescent="0.25">
      <c r="A68" s="23">
        <v>43399.271527777775</v>
      </c>
      <c r="B68" s="22">
        <v>9.3171296296296283E-3</v>
      </c>
      <c r="C68" s="24" t="s">
        <v>471</v>
      </c>
      <c r="D68" t="s">
        <v>483</v>
      </c>
      <c r="E68" t="s">
        <v>482</v>
      </c>
      <c r="F68" t="s">
        <v>50</v>
      </c>
      <c r="G68">
        <v>23</v>
      </c>
      <c r="H68">
        <v>76.67</v>
      </c>
      <c r="I68">
        <v>2</v>
      </c>
      <c r="J68" t="s">
        <v>576</v>
      </c>
    </row>
    <row r="69" spans="1:10" hidden="1" outlineLevel="2" x14ac:dyDescent="0.25">
      <c r="A69" s="23">
        <v>43399.302083333336</v>
      </c>
      <c r="B69" s="22">
        <v>4.6180555555555558E-3</v>
      </c>
      <c r="C69" s="24" t="s">
        <v>471</v>
      </c>
      <c r="D69" t="s">
        <v>481</v>
      </c>
      <c r="E69" t="s">
        <v>480</v>
      </c>
      <c r="F69" t="s">
        <v>50</v>
      </c>
      <c r="G69">
        <v>18</v>
      </c>
      <c r="H69">
        <v>60</v>
      </c>
      <c r="I69">
        <v>1</v>
      </c>
      <c r="J69" t="s">
        <v>576</v>
      </c>
    </row>
    <row r="70" spans="1:10" hidden="1" outlineLevel="2" x14ac:dyDescent="0.25">
      <c r="A70" s="23">
        <v>43399.279166666667</v>
      </c>
      <c r="B70" s="22">
        <v>9.9074074074074082E-3</v>
      </c>
      <c r="C70" s="24" t="s">
        <v>471</v>
      </c>
      <c r="D70" t="s">
        <v>479</v>
      </c>
      <c r="E70" t="s">
        <v>478</v>
      </c>
      <c r="F70" t="s">
        <v>50</v>
      </c>
      <c r="G70">
        <v>22</v>
      </c>
      <c r="H70">
        <v>73.33</v>
      </c>
      <c r="I70">
        <v>2</v>
      </c>
      <c r="J70" t="s">
        <v>576</v>
      </c>
    </row>
    <row r="71" spans="1:10" hidden="1" outlineLevel="2" x14ac:dyDescent="0.25">
      <c r="A71" s="23">
        <v>43399.268750000003</v>
      </c>
      <c r="B71" s="22">
        <v>8.113425925925925E-3</v>
      </c>
      <c r="C71" s="24" t="s">
        <v>471</v>
      </c>
      <c r="D71" t="s">
        <v>477</v>
      </c>
      <c r="E71" t="s">
        <v>192</v>
      </c>
      <c r="F71" t="s">
        <v>50</v>
      </c>
      <c r="G71">
        <v>23</v>
      </c>
      <c r="H71">
        <v>76.67</v>
      </c>
      <c r="I71">
        <v>2</v>
      </c>
      <c r="J71" t="s">
        <v>576</v>
      </c>
    </row>
    <row r="72" spans="1:10" hidden="1" outlineLevel="2" x14ac:dyDescent="0.25">
      <c r="A72" s="23">
        <v>43399.267361111109</v>
      </c>
      <c r="B72" s="22">
        <v>5.9143518518518521E-3</v>
      </c>
      <c r="C72" s="24" t="s">
        <v>471</v>
      </c>
      <c r="D72" t="s">
        <v>476</v>
      </c>
      <c r="E72" t="s">
        <v>325</v>
      </c>
      <c r="F72" t="s">
        <v>50</v>
      </c>
      <c r="G72">
        <v>17</v>
      </c>
      <c r="H72">
        <v>56.67</v>
      </c>
      <c r="I72">
        <v>0</v>
      </c>
      <c r="J72" t="s">
        <v>575</v>
      </c>
    </row>
    <row r="73" spans="1:10" hidden="1" outlineLevel="2" x14ac:dyDescent="0.25">
      <c r="A73" s="23">
        <v>43399.269444444442</v>
      </c>
      <c r="B73" s="22">
        <v>7.5810185185185182E-3</v>
      </c>
      <c r="C73" s="24" t="s">
        <v>471</v>
      </c>
      <c r="D73" t="s">
        <v>475</v>
      </c>
      <c r="E73" t="s">
        <v>474</v>
      </c>
      <c r="F73" t="s">
        <v>50</v>
      </c>
      <c r="G73">
        <v>25</v>
      </c>
      <c r="H73">
        <v>83.33</v>
      </c>
      <c r="I73">
        <v>3</v>
      </c>
      <c r="J73" t="s">
        <v>576</v>
      </c>
    </row>
    <row r="74" spans="1:10" hidden="1" outlineLevel="2" x14ac:dyDescent="0.25">
      <c r="A74" s="23">
        <v>43399.267361111109</v>
      </c>
      <c r="B74" s="22">
        <v>8.6805555555555559E-3</v>
      </c>
      <c r="C74" s="24" t="s">
        <v>471</v>
      </c>
      <c r="D74" t="s">
        <v>473</v>
      </c>
      <c r="E74" t="s">
        <v>472</v>
      </c>
      <c r="F74" t="s">
        <v>50</v>
      </c>
      <c r="G74">
        <v>22</v>
      </c>
      <c r="H74">
        <v>73.33</v>
      </c>
      <c r="I74">
        <v>2</v>
      </c>
      <c r="J74" t="s">
        <v>576</v>
      </c>
    </row>
    <row r="75" spans="1:10" hidden="1" outlineLevel="2" x14ac:dyDescent="0.25">
      <c r="A75" s="23">
        <v>43397.405555555553</v>
      </c>
      <c r="B75" s="22">
        <v>7.6620370370370366E-3</v>
      </c>
      <c r="C75" s="24" t="s">
        <v>471</v>
      </c>
      <c r="D75" t="s">
        <v>470</v>
      </c>
      <c r="E75" t="s">
        <v>469</v>
      </c>
      <c r="F75" t="s">
        <v>50</v>
      </c>
      <c r="G75">
        <v>18</v>
      </c>
      <c r="H75">
        <v>60</v>
      </c>
      <c r="I75">
        <v>1</v>
      </c>
      <c r="J75" t="s">
        <v>576</v>
      </c>
    </row>
    <row r="76" spans="1:10" outlineLevel="1" collapsed="1" x14ac:dyDescent="0.25">
      <c r="A76" s="23"/>
      <c r="B76" s="22"/>
      <c r="C76" s="27" t="s">
        <v>580</v>
      </c>
      <c r="D76">
        <f>SUBTOTAL(3,D62:D75)</f>
        <v>14</v>
      </c>
    </row>
    <row r="77" spans="1:10" x14ac:dyDescent="0.25">
      <c r="A77" s="23"/>
      <c r="B77" s="22"/>
      <c r="C77" s="27" t="s">
        <v>581</v>
      </c>
      <c r="D77">
        <f>SUBTOTAL(3,D2:D75)</f>
        <v>71</v>
      </c>
    </row>
  </sheetData>
  <sortState ref="A2:J72">
    <sortCondition ref="C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77C7-CBD6-4D17-89F6-0985E7ADDDB0}">
  <dimension ref="A1:J77"/>
  <sheetViews>
    <sheetView topLeftCell="C1" workbookViewId="0"/>
  </sheetViews>
  <sheetFormatPr defaultRowHeight="15" outlineLevelRow="2" x14ac:dyDescent="0.25"/>
  <cols>
    <col min="1" max="1" width="17" bestFit="1" customWidth="1"/>
    <col min="2" max="2" width="19.7109375" bestFit="1" customWidth="1"/>
    <col min="3" max="3" width="15.42578125" style="24" bestFit="1" customWidth="1"/>
    <col min="4" max="4" width="15.42578125" bestFit="1" customWidth="1"/>
    <col min="5" max="5" width="13.5703125" bestFit="1" customWidth="1"/>
    <col min="6" max="6" width="13.5703125" customWidth="1"/>
    <col min="7" max="8" width="15.28515625" customWidth="1"/>
    <col min="9" max="9" width="16.42578125" bestFit="1" customWidth="1"/>
    <col min="10" max="10" width="10.42578125" bestFit="1" customWidth="1"/>
  </cols>
  <sheetData>
    <row r="1" spans="1:10" ht="45" x14ac:dyDescent="0.25">
      <c r="A1" s="25" t="s">
        <v>573</v>
      </c>
      <c r="B1" s="25" t="s">
        <v>572</v>
      </c>
      <c r="C1" s="25" t="s">
        <v>571</v>
      </c>
      <c r="D1" s="25" t="s">
        <v>31</v>
      </c>
      <c r="E1" s="25" t="s">
        <v>32</v>
      </c>
      <c r="F1" s="25" t="s">
        <v>34</v>
      </c>
      <c r="G1" s="26" t="s">
        <v>570</v>
      </c>
      <c r="H1" s="26" t="s">
        <v>569</v>
      </c>
      <c r="I1" s="25" t="s">
        <v>568</v>
      </c>
      <c r="J1" s="25" t="s">
        <v>574</v>
      </c>
    </row>
    <row r="2" spans="1:10" hidden="1" outlineLevel="2" x14ac:dyDescent="0.25">
      <c r="A2" s="23">
        <v>43390.563194444447</v>
      </c>
      <c r="B2" s="22">
        <v>7.4884259259259262E-3</v>
      </c>
      <c r="C2" s="24" t="s">
        <v>543</v>
      </c>
      <c r="D2" t="s">
        <v>567</v>
      </c>
      <c r="E2" t="s">
        <v>566</v>
      </c>
      <c r="F2" t="s">
        <v>50</v>
      </c>
      <c r="G2">
        <v>17</v>
      </c>
      <c r="H2">
        <v>56.67</v>
      </c>
      <c r="I2">
        <v>0</v>
      </c>
      <c r="J2" t="s">
        <v>575</v>
      </c>
    </row>
    <row r="3" spans="1:10" hidden="1" outlineLevel="2" x14ac:dyDescent="0.25">
      <c r="A3" s="23">
        <v>43397.347222222219</v>
      </c>
      <c r="B3" s="22">
        <v>1.0416666666666666E-2</v>
      </c>
      <c r="C3" s="24" t="s">
        <v>543</v>
      </c>
      <c r="D3" t="s">
        <v>559</v>
      </c>
      <c r="E3" t="s">
        <v>478</v>
      </c>
      <c r="F3" t="s">
        <v>50</v>
      </c>
      <c r="G3">
        <v>14</v>
      </c>
      <c r="H3">
        <v>46.67</v>
      </c>
      <c r="I3">
        <v>0</v>
      </c>
      <c r="J3" t="s">
        <v>575</v>
      </c>
    </row>
    <row r="4" spans="1:10" hidden="1" outlineLevel="2" x14ac:dyDescent="0.25">
      <c r="A4" s="23">
        <v>43397.354166666664</v>
      </c>
      <c r="B4" s="22">
        <v>1.0416666666666666E-2</v>
      </c>
      <c r="C4" s="24" t="s">
        <v>543</v>
      </c>
      <c r="D4" t="s">
        <v>556</v>
      </c>
      <c r="E4" t="s">
        <v>299</v>
      </c>
      <c r="F4" t="s">
        <v>50</v>
      </c>
      <c r="G4">
        <v>15</v>
      </c>
      <c r="H4">
        <v>50</v>
      </c>
      <c r="I4">
        <v>0</v>
      </c>
      <c r="J4" t="s">
        <v>575</v>
      </c>
    </row>
    <row r="5" spans="1:10" hidden="1" outlineLevel="2" x14ac:dyDescent="0.25">
      <c r="A5" s="23">
        <v>43397.34375</v>
      </c>
      <c r="B5" s="22">
        <v>9.2476851851851852E-3</v>
      </c>
      <c r="C5" s="24" t="s">
        <v>543</v>
      </c>
      <c r="D5" t="s">
        <v>554</v>
      </c>
      <c r="E5" t="s">
        <v>478</v>
      </c>
      <c r="F5" t="s">
        <v>50</v>
      </c>
      <c r="G5">
        <v>21</v>
      </c>
      <c r="H5">
        <v>70</v>
      </c>
      <c r="I5">
        <v>2</v>
      </c>
      <c r="J5" t="s">
        <v>576</v>
      </c>
    </row>
    <row r="6" spans="1:10" hidden="1" outlineLevel="2" x14ac:dyDescent="0.25">
      <c r="A6" s="23">
        <v>43390.586111111108</v>
      </c>
      <c r="B6" s="22">
        <v>7.858796296296296E-3</v>
      </c>
      <c r="C6" s="24" t="s">
        <v>543</v>
      </c>
      <c r="D6" t="s">
        <v>528</v>
      </c>
      <c r="E6" t="s">
        <v>529</v>
      </c>
      <c r="F6" t="s">
        <v>50</v>
      </c>
      <c r="G6">
        <v>19</v>
      </c>
      <c r="H6">
        <v>63.33</v>
      </c>
      <c r="I6">
        <v>1</v>
      </c>
      <c r="J6" t="s">
        <v>576</v>
      </c>
    </row>
    <row r="7" spans="1:10" hidden="1" outlineLevel="2" x14ac:dyDescent="0.25">
      <c r="A7" s="23">
        <v>43397.347222222219</v>
      </c>
      <c r="B7" s="22">
        <v>8.1018518518518514E-3</v>
      </c>
      <c r="C7" s="24" t="s">
        <v>543</v>
      </c>
      <c r="D7" t="s">
        <v>551</v>
      </c>
      <c r="E7" t="s">
        <v>168</v>
      </c>
      <c r="F7" t="s">
        <v>50</v>
      </c>
      <c r="G7">
        <v>21</v>
      </c>
      <c r="H7">
        <v>70</v>
      </c>
      <c r="I7">
        <v>2</v>
      </c>
      <c r="J7" t="s">
        <v>576</v>
      </c>
    </row>
    <row r="8" spans="1:10" hidden="1" outlineLevel="2" x14ac:dyDescent="0.25">
      <c r="A8" s="23">
        <v>43397.357638888891</v>
      </c>
      <c r="B8" s="22">
        <v>9.6412037037037039E-3</v>
      </c>
      <c r="C8" s="24" t="s">
        <v>543</v>
      </c>
      <c r="D8" t="s">
        <v>550</v>
      </c>
      <c r="E8" t="s">
        <v>192</v>
      </c>
      <c r="F8" t="s">
        <v>50</v>
      </c>
      <c r="G8">
        <v>14</v>
      </c>
      <c r="H8">
        <v>46.67</v>
      </c>
      <c r="I8">
        <v>0</v>
      </c>
      <c r="J8" t="s">
        <v>575</v>
      </c>
    </row>
    <row r="9" spans="1:10" hidden="1" outlineLevel="2" x14ac:dyDescent="0.25">
      <c r="A9" s="23">
        <v>43390.570833333331</v>
      </c>
      <c r="B9" s="22">
        <v>9.7106481481481471E-3</v>
      </c>
      <c r="C9" s="24" t="s">
        <v>543</v>
      </c>
      <c r="D9" t="s">
        <v>549</v>
      </c>
      <c r="E9" t="s">
        <v>507</v>
      </c>
      <c r="F9" t="s">
        <v>50</v>
      </c>
      <c r="G9">
        <v>22</v>
      </c>
      <c r="H9">
        <v>73.33</v>
      </c>
      <c r="I9">
        <v>2</v>
      </c>
      <c r="J9" t="s">
        <v>576</v>
      </c>
    </row>
    <row r="10" spans="1:10" hidden="1" outlineLevel="2" x14ac:dyDescent="0.25">
      <c r="A10" s="23">
        <v>43397.340277777781</v>
      </c>
      <c r="B10" s="22">
        <v>9.4675925925925917E-3</v>
      </c>
      <c r="C10" s="24" t="s">
        <v>543</v>
      </c>
      <c r="D10" t="s">
        <v>546</v>
      </c>
      <c r="E10" t="s">
        <v>472</v>
      </c>
      <c r="F10" t="s">
        <v>50</v>
      </c>
      <c r="G10">
        <v>19</v>
      </c>
      <c r="H10">
        <v>63.33</v>
      </c>
      <c r="I10">
        <v>1</v>
      </c>
      <c r="J10" t="s">
        <v>576</v>
      </c>
    </row>
    <row r="11" spans="1:10" hidden="1" outlineLevel="2" x14ac:dyDescent="0.25">
      <c r="A11" s="23">
        <v>43390.564583333333</v>
      </c>
      <c r="B11" s="22">
        <v>8.9699074074074073E-3</v>
      </c>
      <c r="C11" s="24" t="s">
        <v>543</v>
      </c>
      <c r="D11" t="s">
        <v>525</v>
      </c>
      <c r="E11" t="s">
        <v>443</v>
      </c>
      <c r="F11" t="s">
        <v>50</v>
      </c>
      <c r="G11">
        <v>26</v>
      </c>
      <c r="H11">
        <v>86.67</v>
      </c>
      <c r="I11">
        <v>3</v>
      </c>
      <c r="J11" t="s">
        <v>576</v>
      </c>
    </row>
    <row r="12" spans="1:10" hidden="1" outlineLevel="2" x14ac:dyDescent="0.25">
      <c r="A12" s="23">
        <v>43397.347222222219</v>
      </c>
      <c r="B12" s="22">
        <v>1.0393518518518519E-2</v>
      </c>
      <c r="C12" s="24" t="s">
        <v>543</v>
      </c>
      <c r="D12" t="s">
        <v>542</v>
      </c>
      <c r="E12" t="s">
        <v>443</v>
      </c>
      <c r="F12" t="s">
        <v>50</v>
      </c>
      <c r="G12">
        <v>20</v>
      </c>
      <c r="H12">
        <v>66.67</v>
      </c>
      <c r="I12">
        <v>1</v>
      </c>
      <c r="J12" t="s">
        <v>576</v>
      </c>
    </row>
    <row r="13" spans="1:10" hidden="1" outlineLevel="2" x14ac:dyDescent="0.25">
      <c r="A13" s="23">
        <v>43397.407638888886</v>
      </c>
      <c r="B13" s="22">
        <v>1.037037037037037E-2</v>
      </c>
      <c r="C13" s="24" t="s">
        <v>543</v>
      </c>
      <c r="D13" t="s">
        <v>565</v>
      </c>
      <c r="E13" t="s">
        <v>564</v>
      </c>
      <c r="F13" t="s">
        <v>87</v>
      </c>
      <c r="G13">
        <v>16</v>
      </c>
      <c r="H13">
        <v>53.33</v>
      </c>
      <c r="I13">
        <v>0</v>
      </c>
      <c r="J13" t="s">
        <v>575</v>
      </c>
    </row>
    <row r="14" spans="1:10" hidden="1" outlineLevel="2" x14ac:dyDescent="0.25">
      <c r="A14" s="23">
        <v>43397.339583333334</v>
      </c>
      <c r="B14" s="22">
        <v>1.0324074074074074E-2</v>
      </c>
      <c r="C14" s="24" t="s">
        <v>543</v>
      </c>
      <c r="D14" t="s">
        <v>563</v>
      </c>
      <c r="E14" t="s">
        <v>562</v>
      </c>
      <c r="F14" t="s">
        <v>87</v>
      </c>
      <c r="G14">
        <v>18</v>
      </c>
      <c r="H14">
        <v>60</v>
      </c>
      <c r="I14">
        <v>1</v>
      </c>
      <c r="J14" t="s">
        <v>576</v>
      </c>
    </row>
    <row r="15" spans="1:10" hidden="1" outlineLevel="2" x14ac:dyDescent="0.25">
      <c r="A15" s="23">
        <v>43390.536111111112</v>
      </c>
      <c r="B15" s="22">
        <v>7.789351851851852E-3</v>
      </c>
      <c r="C15" s="24" t="s">
        <v>543</v>
      </c>
      <c r="D15" t="s">
        <v>561</v>
      </c>
      <c r="E15" t="s">
        <v>560</v>
      </c>
      <c r="F15" t="s">
        <v>87</v>
      </c>
      <c r="G15">
        <v>24</v>
      </c>
      <c r="H15">
        <v>80</v>
      </c>
      <c r="I15">
        <v>3</v>
      </c>
      <c r="J15" t="s">
        <v>576</v>
      </c>
    </row>
    <row r="16" spans="1:10" hidden="1" outlineLevel="2" x14ac:dyDescent="0.25">
      <c r="A16" s="23">
        <v>43390.583333333336</v>
      </c>
      <c r="B16" s="22">
        <v>1.0231481481481482E-2</v>
      </c>
      <c r="C16" s="24" t="s">
        <v>543</v>
      </c>
      <c r="D16" t="s">
        <v>558</v>
      </c>
      <c r="E16" t="s">
        <v>557</v>
      </c>
      <c r="F16" t="s">
        <v>87</v>
      </c>
      <c r="G16">
        <v>21</v>
      </c>
      <c r="H16">
        <v>70</v>
      </c>
      <c r="I16">
        <v>2</v>
      </c>
      <c r="J16" t="s">
        <v>576</v>
      </c>
    </row>
    <row r="17" spans="1:10" hidden="1" outlineLevel="2" x14ac:dyDescent="0.25">
      <c r="A17" s="23">
        <v>43390.574305555558</v>
      </c>
      <c r="B17" s="22">
        <v>8.8657407407407417E-3</v>
      </c>
      <c r="C17" s="24" t="s">
        <v>543</v>
      </c>
      <c r="D17" t="s">
        <v>555</v>
      </c>
      <c r="E17" t="s">
        <v>552</v>
      </c>
      <c r="F17" t="s">
        <v>87</v>
      </c>
      <c r="G17">
        <v>10</v>
      </c>
      <c r="H17">
        <v>33.33</v>
      </c>
      <c r="I17">
        <v>0</v>
      </c>
      <c r="J17" t="s">
        <v>575</v>
      </c>
    </row>
    <row r="18" spans="1:10" hidden="1" outlineLevel="2" x14ac:dyDescent="0.25">
      <c r="A18" s="23">
        <v>43397.345833333333</v>
      </c>
      <c r="B18" s="22">
        <v>8.564814814814815E-3</v>
      </c>
      <c r="C18" s="24" t="s">
        <v>543</v>
      </c>
      <c r="D18" t="s">
        <v>553</v>
      </c>
      <c r="E18" t="s">
        <v>552</v>
      </c>
      <c r="F18" t="s">
        <v>87</v>
      </c>
      <c r="G18">
        <v>21</v>
      </c>
      <c r="H18">
        <v>70</v>
      </c>
      <c r="I18">
        <v>2</v>
      </c>
      <c r="J18" t="s">
        <v>576</v>
      </c>
    </row>
    <row r="19" spans="1:10" hidden="1" outlineLevel="2" x14ac:dyDescent="0.25">
      <c r="A19" s="23">
        <v>43397.338888888888</v>
      </c>
      <c r="B19" s="22">
        <v>9.7916666666666655E-3</v>
      </c>
      <c r="C19" s="24" t="s">
        <v>543</v>
      </c>
      <c r="D19" t="s">
        <v>548</v>
      </c>
      <c r="E19" t="s">
        <v>547</v>
      </c>
      <c r="F19" t="s">
        <v>87</v>
      </c>
      <c r="G19">
        <v>17</v>
      </c>
      <c r="H19">
        <v>56.67</v>
      </c>
      <c r="I19">
        <v>0</v>
      </c>
      <c r="J19" t="s">
        <v>575</v>
      </c>
    </row>
    <row r="20" spans="1:10" hidden="1" outlineLevel="2" x14ac:dyDescent="0.25">
      <c r="A20" s="23">
        <v>43390.584027777775</v>
      </c>
      <c r="B20" s="22">
        <v>1.0243055555555556E-2</v>
      </c>
      <c r="C20" s="24" t="s">
        <v>543</v>
      </c>
      <c r="D20" t="s">
        <v>545</v>
      </c>
      <c r="E20" t="s">
        <v>544</v>
      </c>
      <c r="F20" t="s">
        <v>87</v>
      </c>
      <c r="G20">
        <v>16</v>
      </c>
      <c r="H20">
        <v>53.33</v>
      </c>
      <c r="I20">
        <v>0</v>
      </c>
      <c r="J20" t="s">
        <v>575</v>
      </c>
    </row>
    <row r="21" spans="1:10" outlineLevel="1" collapsed="1" x14ac:dyDescent="0.25">
      <c r="A21" s="23"/>
      <c r="B21" s="22"/>
      <c r="C21" s="27" t="s">
        <v>590</v>
      </c>
      <c r="H21">
        <f>SUBTOTAL(1,H2:H20)</f>
        <v>61.578947368421055</v>
      </c>
    </row>
    <row r="22" spans="1:10" hidden="1" outlineLevel="2" x14ac:dyDescent="0.25">
      <c r="A22" s="23">
        <v>43392.255555555559</v>
      </c>
      <c r="B22" s="22">
        <v>8.5995370370370357E-3</v>
      </c>
      <c r="C22" s="24" t="s">
        <v>517</v>
      </c>
      <c r="D22" t="s">
        <v>539</v>
      </c>
      <c r="E22" t="s">
        <v>472</v>
      </c>
      <c r="F22" t="s">
        <v>50</v>
      </c>
      <c r="G22">
        <v>19</v>
      </c>
      <c r="H22">
        <v>63.33</v>
      </c>
      <c r="I22">
        <v>1</v>
      </c>
      <c r="J22" t="s">
        <v>576</v>
      </c>
    </row>
    <row r="23" spans="1:10" hidden="1" outlineLevel="2" x14ac:dyDescent="0.25">
      <c r="A23" s="23">
        <v>43397.496527777781</v>
      </c>
      <c r="B23" s="22">
        <v>9.6412037037037039E-3</v>
      </c>
      <c r="C23" s="24" t="s">
        <v>517</v>
      </c>
      <c r="D23" t="s">
        <v>538</v>
      </c>
      <c r="E23" t="s">
        <v>132</v>
      </c>
      <c r="F23" t="s">
        <v>50</v>
      </c>
      <c r="G23">
        <v>20</v>
      </c>
      <c r="H23">
        <v>66.67</v>
      </c>
      <c r="I23">
        <v>1</v>
      </c>
      <c r="J23" t="s">
        <v>576</v>
      </c>
    </row>
    <row r="24" spans="1:10" hidden="1" outlineLevel="2" x14ac:dyDescent="0.25">
      <c r="A24" s="23">
        <v>43397.505555555559</v>
      </c>
      <c r="B24" s="22">
        <v>5.4976851851851853E-3</v>
      </c>
      <c r="C24" s="24" t="s">
        <v>517</v>
      </c>
      <c r="D24" t="s">
        <v>537</v>
      </c>
      <c r="E24" t="s">
        <v>443</v>
      </c>
      <c r="F24" t="s">
        <v>50</v>
      </c>
      <c r="G24">
        <v>25</v>
      </c>
      <c r="H24">
        <v>83.33</v>
      </c>
      <c r="I24">
        <v>3</v>
      </c>
      <c r="J24" t="s">
        <v>576</v>
      </c>
    </row>
    <row r="25" spans="1:10" hidden="1" outlineLevel="2" x14ac:dyDescent="0.25">
      <c r="A25" s="23">
        <v>43392.265277777777</v>
      </c>
      <c r="B25" s="22">
        <v>9.3518518518518525E-3</v>
      </c>
      <c r="C25" s="24" t="s">
        <v>517</v>
      </c>
      <c r="D25" t="s">
        <v>536</v>
      </c>
      <c r="E25" t="s">
        <v>524</v>
      </c>
      <c r="F25" t="s">
        <v>50</v>
      </c>
      <c r="G25">
        <v>22</v>
      </c>
      <c r="H25">
        <v>73.33</v>
      </c>
      <c r="I25">
        <v>2</v>
      </c>
      <c r="J25" t="s">
        <v>576</v>
      </c>
    </row>
    <row r="26" spans="1:10" hidden="1" outlineLevel="2" x14ac:dyDescent="0.25">
      <c r="A26" s="23">
        <v>43392.290277777778</v>
      </c>
      <c r="B26" s="22">
        <v>8.7962962962962968E-3</v>
      </c>
      <c r="C26" s="24" t="s">
        <v>517</v>
      </c>
      <c r="D26" t="s">
        <v>535</v>
      </c>
      <c r="E26" t="s">
        <v>101</v>
      </c>
      <c r="F26" t="s">
        <v>50</v>
      </c>
      <c r="G26">
        <v>17</v>
      </c>
      <c r="H26">
        <v>56.67</v>
      </c>
      <c r="I26">
        <v>0</v>
      </c>
      <c r="J26" t="s">
        <v>575</v>
      </c>
    </row>
    <row r="27" spans="1:10" hidden="1" outlineLevel="2" x14ac:dyDescent="0.25">
      <c r="A27" s="23">
        <v>43392.253472222219</v>
      </c>
      <c r="B27" s="22">
        <v>7.69675925925926E-3</v>
      </c>
      <c r="C27" s="24" t="s">
        <v>517</v>
      </c>
      <c r="D27" t="s">
        <v>534</v>
      </c>
      <c r="E27" t="s">
        <v>532</v>
      </c>
      <c r="F27" t="s">
        <v>50</v>
      </c>
      <c r="G27">
        <v>19</v>
      </c>
      <c r="H27">
        <v>63.33</v>
      </c>
      <c r="I27">
        <v>1</v>
      </c>
      <c r="J27" t="s">
        <v>576</v>
      </c>
    </row>
    <row r="28" spans="1:10" hidden="1" outlineLevel="2" x14ac:dyDescent="0.25">
      <c r="A28" s="23">
        <v>43392.277083333334</v>
      </c>
      <c r="B28" s="22">
        <v>6.6203703703703702E-3</v>
      </c>
      <c r="C28" s="24" t="s">
        <v>517</v>
      </c>
      <c r="D28" t="s">
        <v>533</v>
      </c>
      <c r="E28" t="s">
        <v>532</v>
      </c>
      <c r="F28" t="s">
        <v>50</v>
      </c>
      <c r="G28">
        <v>21</v>
      </c>
      <c r="H28">
        <v>70</v>
      </c>
      <c r="I28">
        <v>2</v>
      </c>
      <c r="J28" t="s">
        <v>576</v>
      </c>
    </row>
    <row r="29" spans="1:10" hidden="1" outlineLevel="2" x14ac:dyDescent="0.25">
      <c r="A29" s="23">
        <v>43397.495138888888</v>
      </c>
      <c r="B29" s="22">
        <v>8.8310185185185176E-3</v>
      </c>
      <c r="C29" s="24" t="s">
        <v>517</v>
      </c>
      <c r="D29" t="s">
        <v>531</v>
      </c>
      <c r="E29" t="s">
        <v>168</v>
      </c>
      <c r="F29" t="s">
        <v>50</v>
      </c>
      <c r="G29">
        <v>24</v>
      </c>
      <c r="H29">
        <v>80</v>
      </c>
      <c r="I29">
        <v>3</v>
      </c>
      <c r="J29" t="s">
        <v>576</v>
      </c>
    </row>
    <row r="30" spans="1:10" hidden="1" outlineLevel="2" x14ac:dyDescent="0.25">
      <c r="A30" s="23">
        <v>43392.261111111111</v>
      </c>
      <c r="B30" s="22">
        <v>8.2638888888888883E-3</v>
      </c>
      <c r="C30" s="24" t="s">
        <v>517</v>
      </c>
      <c r="D30" t="s">
        <v>530</v>
      </c>
      <c r="E30" t="s">
        <v>529</v>
      </c>
      <c r="F30" t="s">
        <v>50</v>
      </c>
      <c r="G30">
        <v>21</v>
      </c>
      <c r="H30">
        <v>70</v>
      </c>
      <c r="I30">
        <v>2</v>
      </c>
      <c r="J30" t="s">
        <v>576</v>
      </c>
    </row>
    <row r="31" spans="1:10" hidden="1" outlineLevel="2" x14ac:dyDescent="0.25">
      <c r="A31" s="23">
        <v>43397.51458333333</v>
      </c>
      <c r="B31" s="22">
        <v>9.1087962962962971E-3</v>
      </c>
      <c r="C31" s="24" t="s">
        <v>517</v>
      </c>
      <c r="D31" t="s">
        <v>528</v>
      </c>
      <c r="E31" t="s">
        <v>101</v>
      </c>
      <c r="F31" t="s">
        <v>50</v>
      </c>
      <c r="G31">
        <v>14</v>
      </c>
      <c r="H31">
        <v>46.67</v>
      </c>
      <c r="I31">
        <v>0</v>
      </c>
      <c r="J31" t="s">
        <v>575</v>
      </c>
    </row>
    <row r="32" spans="1:10" hidden="1" outlineLevel="2" x14ac:dyDescent="0.25">
      <c r="A32" s="23">
        <v>43392.25277777778</v>
      </c>
      <c r="B32" s="22">
        <v>7.0601851851851841E-3</v>
      </c>
      <c r="C32" s="24" t="s">
        <v>517</v>
      </c>
      <c r="D32" t="s">
        <v>527</v>
      </c>
      <c r="E32" t="s">
        <v>287</v>
      </c>
      <c r="F32" t="s">
        <v>50</v>
      </c>
      <c r="G32">
        <v>24</v>
      </c>
      <c r="H32">
        <v>80</v>
      </c>
      <c r="I32">
        <v>3</v>
      </c>
      <c r="J32" t="s">
        <v>576</v>
      </c>
    </row>
    <row r="33" spans="1:10" hidden="1" outlineLevel="2" x14ac:dyDescent="0.25">
      <c r="A33" s="23">
        <v>43397.495138888888</v>
      </c>
      <c r="B33" s="22">
        <v>9.4444444444444445E-3</v>
      </c>
      <c r="C33" s="24" t="s">
        <v>517</v>
      </c>
      <c r="D33" t="s">
        <v>526</v>
      </c>
      <c r="E33" t="s">
        <v>316</v>
      </c>
      <c r="F33" t="s">
        <v>50</v>
      </c>
      <c r="G33">
        <v>24</v>
      </c>
      <c r="H33">
        <v>80</v>
      </c>
      <c r="I33">
        <v>3</v>
      </c>
      <c r="J33" t="s">
        <v>576</v>
      </c>
    </row>
    <row r="34" spans="1:10" hidden="1" outlineLevel="2" x14ac:dyDescent="0.25">
      <c r="A34" s="23">
        <v>43397.493055555555</v>
      </c>
      <c r="B34" s="22">
        <v>8.1828703703703699E-3</v>
      </c>
      <c r="C34" s="24" t="s">
        <v>517</v>
      </c>
      <c r="D34" t="s">
        <v>525</v>
      </c>
      <c r="E34" t="s">
        <v>524</v>
      </c>
      <c r="F34" t="s">
        <v>50</v>
      </c>
      <c r="G34">
        <v>26</v>
      </c>
      <c r="H34">
        <v>86.67</v>
      </c>
      <c r="I34">
        <v>3</v>
      </c>
      <c r="J34" t="s">
        <v>576</v>
      </c>
    </row>
    <row r="35" spans="1:10" hidden="1" outlineLevel="2" x14ac:dyDescent="0.25">
      <c r="A35" s="23">
        <v>43397.508333333331</v>
      </c>
      <c r="B35" s="22">
        <v>1.0416666666666666E-2</v>
      </c>
      <c r="C35" s="24" t="s">
        <v>517</v>
      </c>
      <c r="D35" t="s">
        <v>523</v>
      </c>
      <c r="E35" t="s">
        <v>522</v>
      </c>
      <c r="F35" t="s">
        <v>50</v>
      </c>
      <c r="G35">
        <v>15</v>
      </c>
      <c r="H35">
        <v>50</v>
      </c>
      <c r="I35">
        <v>0</v>
      </c>
      <c r="J35" t="s">
        <v>575</v>
      </c>
    </row>
    <row r="36" spans="1:10" hidden="1" outlineLevel="2" x14ac:dyDescent="0.25">
      <c r="A36" s="23">
        <v>43392.263888888891</v>
      </c>
      <c r="B36" s="22">
        <v>6.6782407407407415E-3</v>
      </c>
      <c r="C36" s="24" t="s">
        <v>517</v>
      </c>
      <c r="D36" t="s">
        <v>521</v>
      </c>
      <c r="E36" t="s">
        <v>60</v>
      </c>
      <c r="F36" t="s">
        <v>50</v>
      </c>
      <c r="G36">
        <v>27</v>
      </c>
      <c r="H36">
        <v>90</v>
      </c>
      <c r="I36">
        <v>3</v>
      </c>
      <c r="J36" t="s">
        <v>576</v>
      </c>
    </row>
    <row r="37" spans="1:10" hidden="1" outlineLevel="2" x14ac:dyDescent="0.25">
      <c r="A37" s="23">
        <v>43397.498611111114</v>
      </c>
      <c r="B37" s="22">
        <v>9.4444444444444445E-3</v>
      </c>
      <c r="C37" s="24" t="s">
        <v>517</v>
      </c>
      <c r="D37" t="s">
        <v>520</v>
      </c>
      <c r="E37" t="s">
        <v>491</v>
      </c>
      <c r="F37" t="s">
        <v>50</v>
      </c>
      <c r="G37">
        <v>21</v>
      </c>
      <c r="H37">
        <v>70</v>
      </c>
      <c r="I37">
        <v>2</v>
      </c>
      <c r="J37" t="s">
        <v>576</v>
      </c>
    </row>
    <row r="38" spans="1:10" hidden="1" outlineLevel="2" x14ac:dyDescent="0.25">
      <c r="A38" s="23">
        <v>43397.496527777781</v>
      </c>
      <c r="B38" s="22">
        <v>9.618055555555555E-3</v>
      </c>
      <c r="C38" s="24" t="s">
        <v>517</v>
      </c>
      <c r="D38" t="s">
        <v>519</v>
      </c>
      <c r="E38" t="s">
        <v>482</v>
      </c>
      <c r="F38" t="s">
        <v>50</v>
      </c>
      <c r="G38">
        <v>22</v>
      </c>
      <c r="H38">
        <v>73.33</v>
      </c>
      <c r="I38">
        <v>2</v>
      </c>
      <c r="J38" t="s">
        <v>576</v>
      </c>
    </row>
    <row r="39" spans="1:10" hidden="1" outlineLevel="2" x14ac:dyDescent="0.25">
      <c r="A39" s="23">
        <v>43397.493750000001</v>
      </c>
      <c r="B39" s="22">
        <v>9.1550925925925931E-3</v>
      </c>
      <c r="C39" s="24" t="s">
        <v>517</v>
      </c>
      <c r="D39" t="s">
        <v>475</v>
      </c>
      <c r="E39" t="s">
        <v>518</v>
      </c>
      <c r="F39" t="s">
        <v>50</v>
      </c>
      <c r="G39">
        <v>23</v>
      </c>
      <c r="H39">
        <v>76.67</v>
      </c>
      <c r="I39">
        <v>2</v>
      </c>
      <c r="J39" t="s">
        <v>576</v>
      </c>
    </row>
    <row r="40" spans="1:10" hidden="1" outlineLevel="2" x14ac:dyDescent="0.25">
      <c r="A40" s="23">
        <v>43397.505555555559</v>
      </c>
      <c r="B40" s="22">
        <v>8.8657407407407417E-3</v>
      </c>
      <c r="C40" s="24" t="s">
        <v>517</v>
      </c>
      <c r="D40" t="s">
        <v>516</v>
      </c>
      <c r="E40" t="s">
        <v>299</v>
      </c>
      <c r="F40" t="s">
        <v>50</v>
      </c>
      <c r="G40">
        <v>27</v>
      </c>
      <c r="H40">
        <v>90</v>
      </c>
      <c r="I40">
        <v>3</v>
      </c>
      <c r="J40" t="s">
        <v>576</v>
      </c>
    </row>
    <row r="41" spans="1:10" hidden="1" outlineLevel="2" x14ac:dyDescent="0.25">
      <c r="A41" s="23">
        <v>43392.254861111112</v>
      </c>
      <c r="B41" s="22">
        <v>8.1249999999999985E-3</v>
      </c>
      <c r="C41" s="24" t="s">
        <v>517</v>
      </c>
      <c r="D41" t="s">
        <v>541</v>
      </c>
      <c r="E41" t="s">
        <v>540</v>
      </c>
      <c r="F41" t="s">
        <v>87</v>
      </c>
      <c r="G41">
        <v>21</v>
      </c>
      <c r="H41">
        <v>70</v>
      </c>
      <c r="I41">
        <v>2</v>
      </c>
      <c r="J41" t="s">
        <v>576</v>
      </c>
    </row>
    <row r="42" spans="1:10" outlineLevel="1" collapsed="1" x14ac:dyDescent="0.25">
      <c r="A42" s="23"/>
      <c r="B42" s="22"/>
      <c r="C42" s="27" t="s">
        <v>591</v>
      </c>
      <c r="H42">
        <f>SUBTOTAL(1,H22:H41)</f>
        <v>72</v>
      </c>
    </row>
    <row r="43" spans="1:10" hidden="1" outlineLevel="2" x14ac:dyDescent="0.25">
      <c r="A43" s="23">
        <v>43391.338194444441</v>
      </c>
      <c r="B43" s="22">
        <v>7.8125E-3</v>
      </c>
      <c r="C43" s="24" t="s">
        <v>493</v>
      </c>
      <c r="D43" t="s">
        <v>515</v>
      </c>
      <c r="E43" t="s">
        <v>482</v>
      </c>
      <c r="F43" t="s">
        <v>50</v>
      </c>
      <c r="G43">
        <v>22</v>
      </c>
      <c r="H43">
        <v>73.33</v>
      </c>
      <c r="I43">
        <v>2</v>
      </c>
      <c r="J43" t="s">
        <v>576</v>
      </c>
    </row>
    <row r="44" spans="1:10" hidden="1" outlineLevel="2" x14ac:dyDescent="0.25">
      <c r="A44" s="23">
        <v>43398.331944444442</v>
      </c>
      <c r="B44" s="22">
        <v>8.4722222222222213E-3</v>
      </c>
      <c r="C44" s="24" t="s">
        <v>493</v>
      </c>
      <c r="D44" t="s">
        <v>514</v>
      </c>
      <c r="E44" t="s">
        <v>496</v>
      </c>
      <c r="F44" t="s">
        <v>50</v>
      </c>
      <c r="G44">
        <v>24</v>
      </c>
      <c r="H44">
        <v>80</v>
      </c>
      <c r="I44">
        <v>3</v>
      </c>
      <c r="J44" t="s">
        <v>576</v>
      </c>
    </row>
    <row r="45" spans="1:10" hidden="1" outlineLevel="2" x14ac:dyDescent="0.25">
      <c r="A45" s="23">
        <v>43391.363194444442</v>
      </c>
      <c r="B45" s="22">
        <v>9.3287037037037036E-3</v>
      </c>
      <c r="C45" s="24" t="s">
        <v>493</v>
      </c>
      <c r="D45" t="s">
        <v>513</v>
      </c>
      <c r="E45" t="s">
        <v>101</v>
      </c>
      <c r="F45" t="s">
        <v>50</v>
      </c>
      <c r="G45">
        <v>20</v>
      </c>
      <c r="H45">
        <v>66.67</v>
      </c>
      <c r="I45">
        <v>1</v>
      </c>
      <c r="J45" t="s">
        <v>576</v>
      </c>
    </row>
    <row r="46" spans="1:10" hidden="1" outlineLevel="2" x14ac:dyDescent="0.25">
      <c r="A46" s="23">
        <v>43391.378472222219</v>
      </c>
      <c r="B46" s="22">
        <v>1.0405092592592593E-2</v>
      </c>
      <c r="C46" s="24" t="s">
        <v>493</v>
      </c>
      <c r="D46" t="s">
        <v>512</v>
      </c>
      <c r="E46" t="s">
        <v>511</v>
      </c>
      <c r="F46" t="s">
        <v>50</v>
      </c>
      <c r="G46">
        <v>13</v>
      </c>
      <c r="H46">
        <v>43.33</v>
      </c>
      <c r="I46">
        <v>0</v>
      </c>
      <c r="J46" t="s">
        <v>575</v>
      </c>
    </row>
    <row r="47" spans="1:10" hidden="1" outlineLevel="2" x14ac:dyDescent="0.25">
      <c r="A47" s="23">
        <v>43398.338194444441</v>
      </c>
      <c r="B47" s="22">
        <v>6.5740740740740733E-3</v>
      </c>
      <c r="C47" s="24" t="s">
        <v>493</v>
      </c>
      <c r="D47" t="s">
        <v>510</v>
      </c>
      <c r="E47" t="s">
        <v>509</v>
      </c>
      <c r="F47" t="s">
        <v>50</v>
      </c>
      <c r="G47">
        <v>16</v>
      </c>
      <c r="H47">
        <v>53.33</v>
      </c>
      <c r="I47">
        <v>0</v>
      </c>
      <c r="J47" t="s">
        <v>575</v>
      </c>
    </row>
    <row r="48" spans="1:10" hidden="1" outlineLevel="2" x14ac:dyDescent="0.25">
      <c r="A48" s="23">
        <v>43398.340277777781</v>
      </c>
      <c r="B48" s="22">
        <v>8.2291666666666659E-3</v>
      </c>
      <c r="C48" s="24" t="s">
        <v>493</v>
      </c>
      <c r="D48" t="s">
        <v>508</v>
      </c>
      <c r="E48" t="s">
        <v>507</v>
      </c>
      <c r="F48" t="s">
        <v>50</v>
      </c>
      <c r="G48">
        <v>22</v>
      </c>
      <c r="H48">
        <v>73.33</v>
      </c>
      <c r="I48">
        <v>2</v>
      </c>
      <c r="J48" t="s">
        <v>576</v>
      </c>
    </row>
    <row r="49" spans="1:10" hidden="1" outlineLevel="2" x14ac:dyDescent="0.25">
      <c r="A49" s="23">
        <v>43398.345138888886</v>
      </c>
      <c r="B49" s="22">
        <v>9.0624999999999994E-3</v>
      </c>
      <c r="C49" s="24" t="s">
        <v>493</v>
      </c>
      <c r="D49" t="s">
        <v>506</v>
      </c>
      <c r="E49" t="s">
        <v>185</v>
      </c>
      <c r="F49" t="s">
        <v>50</v>
      </c>
      <c r="G49">
        <v>19</v>
      </c>
      <c r="H49">
        <v>63.33</v>
      </c>
      <c r="I49">
        <v>1</v>
      </c>
      <c r="J49" t="s">
        <v>576</v>
      </c>
    </row>
    <row r="50" spans="1:10" hidden="1" outlineLevel="2" x14ac:dyDescent="0.25">
      <c r="A50" s="23">
        <v>43398.333333333336</v>
      </c>
      <c r="B50" s="22">
        <v>9.7106481481481471E-3</v>
      </c>
      <c r="C50" s="24" t="s">
        <v>493</v>
      </c>
      <c r="D50" t="s">
        <v>505</v>
      </c>
      <c r="E50" t="s">
        <v>60</v>
      </c>
      <c r="F50" t="s">
        <v>50</v>
      </c>
      <c r="G50">
        <v>16</v>
      </c>
      <c r="H50">
        <v>53.33</v>
      </c>
      <c r="I50">
        <v>0</v>
      </c>
      <c r="J50" t="s">
        <v>575</v>
      </c>
    </row>
    <row r="51" spans="1:10" hidden="1" outlineLevel="2" x14ac:dyDescent="0.25">
      <c r="A51" s="23">
        <v>43391.34375</v>
      </c>
      <c r="B51" s="22">
        <v>8.9583333333333338E-3</v>
      </c>
      <c r="C51" s="24" t="s">
        <v>493</v>
      </c>
      <c r="D51" t="s">
        <v>504</v>
      </c>
      <c r="E51" t="s">
        <v>472</v>
      </c>
      <c r="F51" t="s">
        <v>50</v>
      </c>
      <c r="G51">
        <v>26</v>
      </c>
      <c r="H51">
        <v>86.67</v>
      </c>
      <c r="I51">
        <v>3</v>
      </c>
      <c r="J51" t="s">
        <v>576</v>
      </c>
    </row>
    <row r="52" spans="1:10" hidden="1" outlineLevel="2" x14ac:dyDescent="0.25">
      <c r="A52" s="23">
        <v>43398.336805555555</v>
      </c>
      <c r="B52" s="22">
        <v>1.0405092592592593E-2</v>
      </c>
      <c r="C52" s="24" t="s">
        <v>493</v>
      </c>
      <c r="D52" t="s">
        <v>503</v>
      </c>
      <c r="E52" t="s">
        <v>443</v>
      </c>
      <c r="F52" t="s">
        <v>50</v>
      </c>
      <c r="G52">
        <v>25</v>
      </c>
      <c r="H52">
        <v>83.33</v>
      </c>
      <c r="I52">
        <v>3</v>
      </c>
      <c r="J52" t="s">
        <v>576</v>
      </c>
    </row>
    <row r="53" spans="1:10" hidden="1" outlineLevel="2" x14ac:dyDescent="0.25">
      <c r="A53" s="23">
        <v>43391.35</v>
      </c>
      <c r="B53" s="22">
        <v>9.432870370370371E-3</v>
      </c>
      <c r="C53" s="24" t="s">
        <v>493</v>
      </c>
      <c r="D53" t="s">
        <v>502</v>
      </c>
      <c r="E53" t="s">
        <v>443</v>
      </c>
      <c r="F53" t="s">
        <v>50</v>
      </c>
      <c r="G53">
        <v>21</v>
      </c>
      <c r="H53">
        <v>70</v>
      </c>
      <c r="I53">
        <v>2</v>
      </c>
      <c r="J53" t="s">
        <v>576</v>
      </c>
    </row>
    <row r="54" spans="1:10" hidden="1" outlineLevel="2" x14ac:dyDescent="0.25">
      <c r="A54" s="23">
        <v>43398.34375</v>
      </c>
      <c r="B54" s="22">
        <v>1.0023148148148147E-2</v>
      </c>
      <c r="C54" s="24" t="s">
        <v>493</v>
      </c>
      <c r="D54" t="s">
        <v>501</v>
      </c>
      <c r="E54" t="s">
        <v>500</v>
      </c>
      <c r="F54" t="s">
        <v>50</v>
      </c>
      <c r="G54">
        <v>16</v>
      </c>
      <c r="H54">
        <v>53.33</v>
      </c>
      <c r="I54">
        <v>0</v>
      </c>
      <c r="J54" t="s">
        <v>575</v>
      </c>
    </row>
    <row r="55" spans="1:10" hidden="1" outlineLevel="2" x14ac:dyDescent="0.25">
      <c r="A55" s="23">
        <v>43398.340277777781</v>
      </c>
      <c r="B55" s="22">
        <v>8.8657407407407417E-3</v>
      </c>
      <c r="C55" s="24" t="s">
        <v>493</v>
      </c>
      <c r="D55" t="s">
        <v>499</v>
      </c>
      <c r="E55" t="s">
        <v>472</v>
      </c>
      <c r="F55" t="s">
        <v>50</v>
      </c>
      <c r="G55">
        <v>22</v>
      </c>
      <c r="H55">
        <v>73.33</v>
      </c>
      <c r="I55">
        <v>2</v>
      </c>
      <c r="J55" t="s">
        <v>576</v>
      </c>
    </row>
    <row r="56" spans="1:10" hidden="1" outlineLevel="2" x14ac:dyDescent="0.25">
      <c r="A56" s="23">
        <v>43398.336805555555</v>
      </c>
      <c r="B56" s="22">
        <v>9.7453703703703713E-3</v>
      </c>
      <c r="C56" s="24" t="s">
        <v>493</v>
      </c>
      <c r="D56" t="s">
        <v>498</v>
      </c>
      <c r="E56" t="s">
        <v>416</v>
      </c>
      <c r="F56" t="s">
        <v>50</v>
      </c>
      <c r="G56">
        <v>22</v>
      </c>
      <c r="H56">
        <v>73.33</v>
      </c>
      <c r="I56">
        <v>2</v>
      </c>
      <c r="J56" t="s">
        <v>576</v>
      </c>
    </row>
    <row r="57" spans="1:10" hidden="1" outlineLevel="2" x14ac:dyDescent="0.25">
      <c r="A57" s="23">
        <v>43391.340277777781</v>
      </c>
      <c r="B57" s="22">
        <v>1.005787037037037E-2</v>
      </c>
      <c r="C57" s="24" t="s">
        <v>493</v>
      </c>
      <c r="D57" t="s">
        <v>497</v>
      </c>
      <c r="E57" t="s">
        <v>496</v>
      </c>
      <c r="F57" t="s">
        <v>50</v>
      </c>
      <c r="G57">
        <v>21</v>
      </c>
      <c r="H57">
        <v>70</v>
      </c>
      <c r="I57">
        <v>2</v>
      </c>
      <c r="J57" t="s">
        <v>576</v>
      </c>
    </row>
    <row r="58" spans="1:10" hidden="1" outlineLevel="2" x14ac:dyDescent="0.25">
      <c r="A58" s="23">
        <v>43398.338888888888</v>
      </c>
      <c r="B58" s="22">
        <v>7.4537037037037028E-3</v>
      </c>
      <c r="C58" s="24" t="s">
        <v>493</v>
      </c>
      <c r="D58" t="s">
        <v>495</v>
      </c>
      <c r="E58" t="s">
        <v>185</v>
      </c>
      <c r="F58" t="s">
        <v>50</v>
      </c>
      <c r="G58">
        <v>17</v>
      </c>
      <c r="H58">
        <v>56.67</v>
      </c>
      <c r="I58">
        <v>0</v>
      </c>
      <c r="J58" t="s">
        <v>575</v>
      </c>
    </row>
    <row r="59" spans="1:10" hidden="1" outlineLevel="2" x14ac:dyDescent="0.25">
      <c r="A59" s="23">
        <v>43398.336111111108</v>
      </c>
      <c r="B59" s="22">
        <v>1.0011574074074074E-2</v>
      </c>
      <c r="C59" s="24" t="s">
        <v>493</v>
      </c>
      <c r="D59" t="s">
        <v>494</v>
      </c>
      <c r="E59" t="s">
        <v>472</v>
      </c>
      <c r="F59" t="s">
        <v>50</v>
      </c>
      <c r="G59">
        <v>25</v>
      </c>
      <c r="H59">
        <v>83.33</v>
      </c>
      <c r="I59">
        <v>3</v>
      </c>
      <c r="J59" t="s">
        <v>576</v>
      </c>
    </row>
    <row r="60" spans="1:10" hidden="1" outlineLevel="2" x14ac:dyDescent="0.25">
      <c r="A60" s="23">
        <v>43398.390277777777</v>
      </c>
      <c r="B60" s="22">
        <v>8.7615740740740744E-3</v>
      </c>
      <c r="C60" s="24" t="s">
        <v>493</v>
      </c>
      <c r="D60" t="s">
        <v>492</v>
      </c>
      <c r="E60" t="s">
        <v>491</v>
      </c>
      <c r="F60" t="s">
        <v>50</v>
      </c>
      <c r="G60">
        <v>23</v>
      </c>
      <c r="H60">
        <v>76.67</v>
      </c>
      <c r="I60">
        <v>2</v>
      </c>
      <c r="J60" t="s">
        <v>576</v>
      </c>
    </row>
    <row r="61" spans="1:10" outlineLevel="1" collapsed="1" x14ac:dyDescent="0.25">
      <c r="A61" s="23"/>
      <c r="B61" s="22"/>
      <c r="C61" s="27" t="s">
        <v>592</v>
      </c>
      <c r="H61">
        <f>SUBTOTAL(1,H43:H60)</f>
        <v>68.51722222222223</v>
      </c>
    </row>
    <row r="62" spans="1:10" hidden="1" outlineLevel="2" x14ac:dyDescent="0.25">
      <c r="A62" s="23">
        <v>43399.272222222222</v>
      </c>
      <c r="B62" s="22">
        <v>9.8263888888888897E-3</v>
      </c>
      <c r="C62" s="24" t="s">
        <v>471</v>
      </c>
      <c r="D62" t="s">
        <v>490</v>
      </c>
      <c r="E62" t="s">
        <v>489</v>
      </c>
      <c r="F62" t="s">
        <v>50</v>
      </c>
      <c r="G62">
        <v>13</v>
      </c>
      <c r="H62">
        <v>43.33</v>
      </c>
      <c r="I62">
        <v>0</v>
      </c>
      <c r="J62" t="s">
        <v>575</v>
      </c>
    </row>
    <row r="63" spans="1:10" hidden="1" outlineLevel="2" x14ac:dyDescent="0.25">
      <c r="A63" s="23">
        <v>43399.277777777781</v>
      </c>
      <c r="B63" s="22">
        <v>9.1203703703703707E-3</v>
      </c>
      <c r="C63" s="24" t="s">
        <v>471</v>
      </c>
      <c r="D63" t="s">
        <v>488</v>
      </c>
      <c r="E63" t="s">
        <v>443</v>
      </c>
      <c r="F63" t="s">
        <v>50</v>
      </c>
      <c r="G63">
        <v>19</v>
      </c>
      <c r="H63">
        <v>63.33</v>
      </c>
      <c r="I63">
        <v>1</v>
      </c>
      <c r="J63" t="s">
        <v>576</v>
      </c>
    </row>
    <row r="64" spans="1:10" hidden="1" outlineLevel="2" x14ac:dyDescent="0.25">
      <c r="A64" s="23">
        <v>43399.257638888892</v>
      </c>
      <c r="B64" s="22">
        <v>6.3773148148148148E-3</v>
      </c>
      <c r="C64" s="24" t="s">
        <v>471</v>
      </c>
      <c r="D64" t="s">
        <v>487</v>
      </c>
      <c r="E64" t="s">
        <v>258</v>
      </c>
      <c r="F64" t="s">
        <v>50</v>
      </c>
      <c r="G64">
        <v>22</v>
      </c>
      <c r="H64">
        <v>73.33</v>
      </c>
      <c r="I64">
        <v>2</v>
      </c>
      <c r="J64" t="s">
        <v>576</v>
      </c>
    </row>
    <row r="65" spans="1:10" hidden="1" outlineLevel="2" x14ac:dyDescent="0.25">
      <c r="A65" s="23">
        <v>43399.268055555556</v>
      </c>
      <c r="B65" s="22">
        <v>1.0416666666666666E-2</v>
      </c>
      <c r="C65" s="24" t="s">
        <v>471</v>
      </c>
      <c r="D65" t="s">
        <v>486</v>
      </c>
      <c r="E65" t="s">
        <v>316</v>
      </c>
      <c r="F65" t="s">
        <v>50</v>
      </c>
      <c r="G65">
        <v>23</v>
      </c>
      <c r="H65">
        <v>76.67</v>
      </c>
      <c r="I65">
        <v>2</v>
      </c>
      <c r="J65" t="s">
        <v>576</v>
      </c>
    </row>
    <row r="66" spans="1:10" hidden="1" outlineLevel="2" x14ac:dyDescent="0.25">
      <c r="A66" s="23">
        <v>43399.261805555558</v>
      </c>
      <c r="B66" s="22">
        <v>7.3958333333333341E-3</v>
      </c>
      <c r="C66" s="24" t="s">
        <v>471</v>
      </c>
      <c r="D66" t="s">
        <v>485</v>
      </c>
      <c r="E66" t="s">
        <v>101</v>
      </c>
      <c r="F66" t="s">
        <v>50</v>
      </c>
      <c r="G66">
        <v>19</v>
      </c>
      <c r="H66">
        <v>63.33</v>
      </c>
      <c r="I66">
        <v>1</v>
      </c>
      <c r="J66" t="s">
        <v>576</v>
      </c>
    </row>
    <row r="67" spans="1:10" hidden="1" outlineLevel="2" x14ac:dyDescent="0.25">
      <c r="A67" s="23">
        <v>43399.302083333336</v>
      </c>
      <c r="B67" s="22">
        <v>9.2361111111111116E-3</v>
      </c>
      <c r="C67" s="24" t="s">
        <v>471</v>
      </c>
      <c r="D67" t="s">
        <v>484</v>
      </c>
      <c r="E67" t="s">
        <v>299</v>
      </c>
      <c r="F67" t="s">
        <v>50</v>
      </c>
      <c r="G67">
        <v>14</v>
      </c>
      <c r="H67">
        <v>46.67</v>
      </c>
      <c r="I67">
        <v>0</v>
      </c>
      <c r="J67" t="s">
        <v>575</v>
      </c>
    </row>
    <row r="68" spans="1:10" hidden="1" outlineLevel="2" x14ac:dyDescent="0.25">
      <c r="A68" s="23">
        <v>43399.271527777775</v>
      </c>
      <c r="B68" s="22">
        <v>9.3171296296296283E-3</v>
      </c>
      <c r="C68" s="24" t="s">
        <v>471</v>
      </c>
      <c r="D68" t="s">
        <v>483</v>
      </c>
      <c r="E68" t="s">
        <v>482</v>
      </c>
      <c r="F68" t="s">
        <v>50</v>
      </c>
      <c r="G68">
        <v>23</v>
      </c>
      <c r="H68">
        <v>76.67</v>
      </c>
      <c r="I68">
        <v>2</v>
      </c>
      <c r="J68" t="s">
        <v>576</v>
      </c>
    </row>
    <row r="69" spans="1:10" hidden="1" outlineLevel="2" x14ac:dyDescent="0.25">
      <c r="A69" s="23">
        <v>43399.302083333336</v>
      </c>
      <c r="B69" s="22">
        <v>4.6180555555555558E-3</v>
      </c>
      <c r="C69" s="24" t="s">
        <v>471</v>
      </c>
      <c r="D69" t="s">
        <v>481</v>
      </c>
      <c r="E69" t="s">
        <v>480</v>
      </c>
      <c r="F69" t="s">
        <v>50</v>
      </c>
      <c r="G69">
        <v>18</v>
      </c>
      <c r="H69">
        <v>60</v>
      </c>
      <c r="I69">
        <v>1</v>
      </c>
      <c r="J69" t="s">
        <v>576</v>
      </c>
    </row>
    <row r="70" spans="1:10" hidden="1" outlineLevel="2" x14ac:dyDescent="0.25">
      <c r="A70" s="23">
        <v>43399.279166666667</v>
      </c>
      <c r="B70" s="22">
        <v>9.9074074074074082E-3</v>
      </c>
      <c r="C70" s="24" t="s">
        <v>471</v>
      </c>
      <c r="D70" t="s">
        <v>479</v>
      </c>
      <c r="E70" t="s">
        <v>478</v>
      </c>
      <c r="F70" t="s">
        <v>50</v>
      </c>
      <c r="G70">
        <v>22</v>
      </c>
      <c r="H70">
        <v>73.33</v>
      </c>
      <c r="I70">
        <v>2</v>
      </c>
      <c r="J70" t="s">
        <v>576</v>
      </c>
    </row>
    <row r="71" spans="1:10" hidden="1" outlineLevel="2" x14ac:dyDescent="0.25">
      <c r="A71" s="23">
        <v>43399.268750000003</v>
      </c>
      <c r="B71" s="22">
        <v>8.113425925925925E-3</v>
      </c>
      <c r="C71" s="24" t="s">
        <v>471</v>
      </c>
      <c r="D71" t="s">
        <v>477</v>
      </c>
      <c r="E71" t="s">
        <v>192</v>
      </c>
      <c r="F71" t="s">
        <v>50</v>
      </c>
      <c r="G71">
        <v>23</v>
      </c>
      <c r="H71">
        <v>76.67</v>
      </c>
      <c r="I71">
        <v>2</v>
      </c>
      <c r="J71" t="s">
        <v>576</v>
      </c>
    </row>
    <row r="72" spans="1:10" hidden="1" outlineLevel="2" x14ac:dyDescent="0.25">
      <c r="A72" s="23">
        <v>43399.267361111109</v>
      </c>
      <c r="B72" s="22">
        <v>5.9143518518518521E-3</v>
      </c>
      <c r="C72" s="24" t="s">
        <v>471</v>
      </c>
      <c r="D72" t="s">
        <v>476</v>
      </c>
      <c r="E72" t="s">
        <v>325</v>
      </c>
      <c r="F72" t="s">
        <v>50</v>
      </c>
      <c r="G72">
        <v>17</v>
      </c>
      <c r="H72">
        <v>56.67</v>
      </c>
      <c r="I72">
        <v>0</v>
      </c>
      <c r="J72" t="s">
        <v>575</v>
      </c>
    </row>
    <row r="73" spans="1:10" hidden="1" outlineLevel="2" x14ac:dyDescent="0.25">
      <c r="A73" s="23">
        <v>43399.269444444442</v>
      </c>
      <c r="B73" s="22">
        <v>7.5810185185185182E-3</v>
      </c>
      <c r="C73" s="24" t="s">
        <v>471</v>
      </c>
      <c r="D73" t="s">
        <v>475</v>
      </c>
      <c r="E73" t="s">
        <v>474</v>
      </c>
      <c r="F73" t="s">
        <v>50</v>
      </c>
      <c r="G73">
        <v>25</v>
      </c>
      <c r="H73">
        <v>83.33</v>
      </c>
      <c r="I73">
        <v>3</v>
      </c>
      <c r="J73" t="s">
        <v>576</v>
      </c>
    </row>
    <row r="74" spans="1:10" hidden="1" outlineLevel="2" x14ac:dyDescent="0.25">
      <c r="A74" s="23">
        <v>43399.267361111109</v>
      </c>
      <c r="B74" s="22">
        <v>8.6805555555555559E-3</v>
      </c>
      <c r="C74" s="24" t="s">
        <v>471</v>
      </c>
      <c r="D74" t="s">
        <v>473</v>
      </c>
      <c r="E74" t="s">
        <v>472</v>
      </c>
      <c r="F74" t="s">
        <v>50</v>
      </c>
      <c r="G74">
        <v>22</v>
      </c>
      <c r="H74">
        <v>73.33</v>
      </c>
      <c r="I74">
        <v>2</v>
      </c>
      <c r="J74" t="s">
        <v>576</v>
      </c>
    </row>
    <row r="75" spans="1:10" hidden="1" outlineLevel="2" x14ac:dyDescent="0.25">
      <c r="A75" s="23">
        <v>43397.405555555553</v>
      </c>
      <c r="B75" s="22">
        <v>7.6620370370370366E-3</v>
      </c>
      <c r="C75" s="24" t="s">
        <v>471</v>
      </c>
      <c r="D75" t="s">
        <v>470</v>
      </c>
      <c r="E75" t="s">
        <v>469</v>
      </c>
      <c r="F75" t="s">
        <v>50</v>
      </c>
      <c r="G75">
        <v>18</v>
      </c>
      <c r="H75">
        <v>60</v>
      </c>
      <c r="I75">
        <v>1</v>
      </c>
      <c r="J75" t="s">
        <v>576</v>
      </c>
    </row>
    <row r="76" spans="1:10" outlineLevel="1" collapsed="1" x14ac:dyDescent="0.25">
      <c r="A76" s="23"/>
      <c r="B76" s="22"/>
      <c r="C76" s="27" t="s">
        <v>593</v>
      </c>
      <c r="H76">
        <f>SUBTOTAL(1,H62:H75)</f>
        <v>66.190000000000012</v>
      </c>
    </row>
    <row r="77" spans="1:10" x14ac:dyDescent="0.25">
      <c r="A77" s="23"/>
      <c r="B77" s="22"/>
      <c r="C77" s="27" t="s">
        <v>594</v>
      </c>
      <c r="H77">
        <f>SUBTOTAL(1,H2:H75)</f>
        <v>67.182676056338025</v>
      </c>
    </row>
  </sheetData>
  <sortState ref="A2:J75">
    <sortCondition ref="C2:C7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5"/>
  <sheetViews>
    <sheetView zoomScaleNormal="100" workbookViewId="0">
      <selection activeCell="F1" sqref="F1"/>
    </sheetView>
  </sheetViews>
  <sheetFormatPr defaultRowHeight="12.75" outlineLevelRow="2" x14ac:dyDescent="0.2"/>
  <cols>
    <col min="1" max="1" width="4.42578125" style="14" bestFit="1" customWidth="1"/>
    <col min="2" max="2" width="13.85546875" style="14" bestFit="1" customWidth="1"/>
    <col min="3" max="3" width="11.28515625" style="14" bestFit="1" customWidth="1"/>
    <col min="4" max="4" width="14.5703125" style="14" bestFit="1" customWidth="1"/>
    <col min="5" max="5" width="4.5703125" style="16" bestFit="1" customWidth="1"/>
    <col min="6" max="6" width="22.140625" style="14" bestFit="1" customWidth="1"/>
    <col min="7" max="7" width="24.140625" style="14" bestFit="1" customWidth="1"/>
    <col min="8" max="8" width="10.7109375" style="14" bestFit="1" customWidth="1"/>
    <col min="9" max="9" width="20" style="14" bestFit="1" customWidth="1"/>
    <col min="10" max="10" width="11.85546875" style="14" bestFit="1" customWidth="1"/>
    <col min="11" max="11" width="10.42578125" style="14" bestFit="1" customWidth="1"/>
    <col min="12" max="12" width="42.28515625" style="14" bestFit="1" customWidth="1"/>
    <col min="13" max="13" width="13.5703125" style="14" bestFit="1" customWidth="1"/>
    <col min="14" max="14" width="7.7109375" style="14" bestFit="1" customWidth="1"/>
    <col min="15" max="15" width="10.7109375" style="14" bestFit="1" customWidth="1"/>
    <col min="16" max="16" width="9.28515625" style="14" bestFit="1" customWidth="1"/>
    <col min="17" max="17" width="8.7109375" style="14" bestFit="1" customWidth="1"/>
    <col min="18" max="256" width="9.140625" style="14"/>
    <col min="257" max="257" width="4.42578125" style="14" bestFit="1" customWidth="1"/>
    <col min="258" max="258" width="13.85546875" style="14" bestFit="1" customWidth="1"/>
    <col min="259" max="259" width="11.28515625" style="14" bestFit="1" customWidth="1"/>
    <col min="260" max="260" width="14.5703125" style="14" bestFit="1" customWidth="1"/>
    <col min="261" max="261" width="4.5703125" style="14" bestFit="1" customWidth="1"/>
    <col min="262" max="262" width="22.140625" style="14" bestFit="1" customWidth="1"/>
    <col min="263" max="263" width="24.140625" style="14" bestFit="1" customWidth="1"/>
    <col min="264" max="264" width="10.7109375" style="14" bestFit="1" customWidth="1"/>
    <col min="265" max="265" width="20" style="14" bestFit="1" customWidth="1"/>
    <col min="266" max="266" width="11.85546875" style="14" bestFit="1" customWidth="1"/>
    <col min="267" max="267" width="10.42578125" style="14" bestFit="1" customWidth="1"/>
    <col min="268" max="268" width="42.28515625" style="14" bestFit="1" customWidth="1"/>
    <col min="269" max="269" width="13.5703125" style="14" bestFit="1" customWidth="1"/>
    <col min="270" max="270" width="7.7109375" style="14" bestFit="1" customWidth="1"/>
    <col min="271" max="271" width="10.7109375" style="14" bestFit="1" customWidth="1"/>
    <col min="272" max="272" width="9.28515625" style="14" bestFit="1" customWidth="1"/>
    <col min="273" max="273" width="8.7109375" style="14" bestFit="1" customWidth="1"/>
    <col min="274" max="512" width="9.140625" style="14"/>
    <col min="513" max="513" width="4.42578125" style="14" bestFit="1" customWidth="1"/>
    <col min="514" max="514" width="13.85546875" style="14" bestFit="1" customWidth="1"/>
    <col min="515" max="515" width="11.28515625" style="14" bestFit="1" customWidth="1"/>
    <col min="516" max="516" width="14.5703125" style="14" bestFit="1" customWidth="1"/>
    <col min="517" max="517" width="4.5703125" style="14" bestFit="1" customWidth="1"/>
    <col min="518" max="518" width="22.140625" style="14" bestFit="1" customWidth="1"/>
    <col min="519" max="519" width="24.140625" style="14" bestFit="1" customWidth="1"/>
    <col min="520" max="520" width="10.7109375" style="14" bestFit="1" customWidth="1"/>
    <col min="521" max="521" width="20" style="14" bestFit="1" customWidth="1"/>
    <col min="522" max="522" width="11.85546875" style="14" bestFit="1" customWidth="1"/>
    <col min="523" max="523" width="10.42578125" style="14" bestFit="1" customWidth="1"/>
    <col min="524" max="524" width="42.28515625" style="14" bestFit="1" customWidth="1"/>
    <col min="525" max="525" width="13.5703125" style="14" bestFit="1" customWidth="1"/>
    <col min="526" max="526" width="7.7109375" style="14" bestFit="1" customWidth="1"/>
    <col min="527" max="527" width="10.7109375" style="14" bestFit="1" customWidth="1"/>
    <col min="528" max="528" width="9.28515625" style="14" bestFit="1" customWidth="1"/>
    <col min="529" max="529" width="8.7109375" style="14" bestFit="1" customWidth="1"/>
    <col min="530" max="768" width="9.140625" style="14"/>
    <col min="769" max="769" width="4.42578125" style="14" bestFit="1" customWidth="1"/>
    <col min="770" max="770" width="13.85546875" style="14" bestFit="1" customWidth="1"/>
    <col min="771" max="771" width="11.28515625" style="14" bestFit="1" customWidth="1"/>
    <col min="772" max="772" width="14.5703125" style="14" bestFit="1" customWidth="1"/>
    <col min="773" max="773" width="4.5703125" style="14" bestFit="1" customWidth="1"/>
    <col min="774" max="774" width="22.140625" style="14" bestFit="1" customWidth="1"/>
    <col min="775" max="775" width="24.140625" style="14" bestFit="1" customWidth="1"/>
    <col min="776" max="776" width="10.7109375" style="14" bestFit="1" customWidth="1"/>
    <col min="777" max="777" width="20" style="14" bestFit="1" customWidth="1"/>
    <col min="778" max="778" width="11.85546875" style="14" bestFit="1" customWidth="1"/>
    <col min="779" max="779" width="10.42578125" style="14" bestFit="1" customWidth="1"/>
    <col min="780" max="780" width="42.28515625" style="14" bestFit="1" customWidth="1"/>
    <col min="781" max="781" width="13.5703125" style="14" bestFit="1" customWidth="1"/>
    <col min="782" max="782" width="7.7109375" style="14" bestFit="1" customWidth="1"/>
    <col min="783" max="783" width="10.7109375" style="14" bestFit="1" customWidth="1"/>
    <col min="784" max="784" width="9.28515625" style="14" bestFit="1" customWidth="1"/>
    <col min="785" max="785" width="8.7109375" style="14" bestFit="1" customWidth="1"/>
    <col min="786" max="1024" width="9.140625" style="14"/>
    <col min="1025" max="1025" width="4.42578125" style="14" bestFit="1" customWidth="1"/>
    <col min="1026" max="1026" width="13.85546875" style="14" bestFit="1" customWidth="1"/>
    <col min="1027" max="1027" width="11.28515625" style="14" bestFit="1" customWidth="1"/>
    <col min="1028" max="1028" width="14.5703125" style="14" bestFit="1" customWidth="1"/>
    <col min="1029" max="1029" width="4.5703125" style="14" bestFit="1" customWidth="1"/>
    <col min="1030" max="1030" width="22.140625" style="14" bestFit="1" customWidth="1"/>
    <col min="1031" max="1031" width="24.140625" style="14" bestFit="1" customWidth="1"/>
    <col min="1032" max="1032" width="10.7109375" style="14" bestFit="1" customWidth="1"/>
    <col min="1033" max="1033" width="20" style="14" bestFit="1" customWidth="1"/>
    <col min="1034" max="1034" width="11.85546875" style="14" bestFit="1" customWidth="1"/>
    <col min="1035" max="1035" width="10.42578125" style="14" bestFit="1" customWidth="1"/>
    <col min="1036" max="1036" width="42.28515625" style="14" bestFit="1" customWidth="1"/>
    <col min="1037" max="1037" width="13.5703125" style="14" bestFit="1" customWidth="1"/>
    <col min="1038" max="1038" width="7.7109375" style="14" bestFit="1" customWidth="1"/>
    <col min="1039" max="1039" width="10.7109375" style="14" bestFit="1" customWidth="1"/>
    <col min="1040" max="1040" width="9.28515625" style="14" bestFit="1" customWidth="1"/>
    <col min="1041" max="1041" width="8.7109375" style="14" bestFit="1" customWidth="1"/>
    <col min="1042" max="1280" width="9.140625" style="14"/>
    <col min="1281" max="1281" width="4.42578125" style="14" bestFit="1" customWidth="1"/>
    <col min="1282" max="1282" width="13.85546875" style="14" bestFit="1" customWidth="1"/>
    <col min="1283" max="1283" width="11.28515625" style="14" bestFit="1" customWidth="1"/>
    <col min="1284" max="1284" width="14.5703125" style="14" bestFit="1" customWidth="1"/>
    <col min="1285" max="1285" width="4.5703125" style="14" bestFit="1" customWidth="1"/>
    <col min="1286" max="1286" width="22.140625" style="14" bestFit="1" customWidth="1"/>
    <col min="1287" max="1287" width="24.140625" style="14" bestFit="1" customWidth="1"/>
    <col min="1288" max="1288" width="10.7109375" style="14" bestFit="1" customWidth="1"/>
    <col min="1289" max="1289" width="20" style="14" bestFit="1" customWidth="1"/>
    <col min="1290" max="1290" width="11.85546875" style="14" bestFit="1" customWidth="1"/>
    <col min="1291" max="1291" width="10.42578125" style="14" bestFit="1" customWidth="1"/>
    <col min="1292" max="1292" width="42.28515625" style="14" bestFit="1" customWidth="1"/>
    <col min="1293" max="1293" width="13.5703125" style="14" bestFit="1" customWidth="1"/>
    <col min="1294" max="1294" width="7.7109375" style="14" bestFit="1" customWidth="1"/>
    <col min="1295" max="1295" width="10.7109375" style="14" bestFit="1" customWidth="1"/>
    <col min="1296" max="1296" width="9.28515625" style="14" bestFit="1" customWidth="1"/>
    <col min="1297" max="1297" width="8.7109375" style="14" bestFit="1" customWidth="1"/>
    <col min="1298" max="1536" width="9.140625" style="14"/>
    <col min="1537" max="1537" width="4.42578125" style="14" bestFit="1" customWidth="1"/>
    <col min="1538" max="1538" width="13.85546875" style="14" bestFit="1" customWidth="1"/>
    <col min="1539" max="1539" width="11.28515625" style="14" bestFit="1" customWidth="1"/>
    <col min="1540" max="1540" width="14.5703125" style="14" bestFit="1" customWidth="1"/>
    <col min="1541" max="1541" width="4.5703125" style="14" bestFit="1" customWidth="1"/>
    <col min="1542" max="1542" width="22.140625" style="14" bestFit="1" customWidth="1"/>
    <col min="1543" max="1543" width="24.140625" style="14" bestFit="1" customWidth="1"/>
    <col min="1544" max="1544" width="10.7109375" style="14" bestFit="1" customWidth="1"/>
    <col min="1545" max="1545" width="20" style="14" bestFit="1" customWidth="1"/>
    <col min="1546" max="1546" width="11.85546875" style="14" bestFit="1" customWidth="1"/>
    <col min="1547" max="1547" width="10.42578125" style="14" bestFit="1" customWidth="1"/>
    <col min="1548" max="1548" width="42.28515625" style="14" bestFit="1" customWidth="1"/>
    <col min="1549" max="1549" width="13.5703125" style="14" bestFit="1" customWidth="1"/>
    <col min="1550" max="1550" width="7.7109375" style="14" bestFit="1" customWidth="1"/>
    <col min="1551" max="1551" width="10.7109375" style="14" bestFit="1" customWidth="1"/>
    <col min="1552" max="1552" width="9.28515625" style="14" bestFit="1" customWidth="1"/>
    <col min="1553" max="1553" width="8.7109375" style="14" bestFit="1" customWidth="1"/>
    <col min="1554" max="1792" width="9.140625" style="14"/>
    <col min="1793" max="1793" width="4.42578125" style="14" bestFit="1" customWidth="1"/>
    <col min="1794" max="1794" width="13.85546875" style="14" bestFit="1" customWidth="1"/>
    <col min="1795" max="1795" width="11.28515625" style="14" bestFit="1" customWidth="1"/>
    <col min="1796" max="1796" width="14.5703125" style="14" bestFit="1" customWidth="1"/>
    <col min="1797" max="1797" width="4.5703125" style="14" bestFit="1" customWidth="1"/>
    <col min="1798" max="1798" width="22.140625" style="14" bestFit="1" customWidth="1"/>
    <col min="1799" max="1799" width="24.140625" style="14" bestFit="1" customWidth="1"/>
    <col min="1800" max="1800" width="10.7109375" style="14" bestFit="1" customWidth="1"/>
    <col min="1801" max="1801" width="20" style="14" bestFit="1" customWidth="1"/>
    <col min="1802" max="1802" width="11.85546875" style="14" bestFit="1" customWidth="1"/>
    <col min="1803" max="1803" width="10.42578125" style="14" bestFit="1" customWidth="1"/>
    <col min="1804" max="1804" width="42.28515625" style="14" bestFit="1" customWidth="1"/>
    <col min="1805" max="1805" width="13.5703125" style="14" bestFit="1" customWidth="1"/>
    <col min="1806" max="1806" width="7.7109375" style="14" bestFit="1" customWidth="1"/>
    <col min="1807" max="1807" width="10.7109375" style="14" bestFit="1" customWidth="1"/>
    <col min="1808" max="1808" width="9.28515625" style="14" bestFit="1" customWidth="1"/>
    <col min="1809" max="1809" width="8.7109375" style="14" bestFit="1" customWidth="1"/>
    <col min="1810" max="2048" width="9.140625" style="14"/>
    <col min="2049" max="2049" width="4.42578125" style="14" bestFit="1" customWidth="1"/>
    <col min="2050" max="2050" width="13.85546875" style="14" bestFit="1" customWidth="1"/>
    <col min="2051" max="2051" width="11.28515625" style="14" bestFit="1" customWidth="1"/>
    <col min="2052" max="2052" width="14.5703125" style="14" bestFit="1" customWidth="1"/>
    <col min="2053" max="2053" width="4.5703125" style="14" bestFit="1" customWidth="1"/>
    <col min="2054" max="2054" width="22.140625" style="14" bestFit="1" customWidth="1"/>
    <col min="2055" max="2055" width="24.140625" style="14" bestFit="1" customWidth="1"/>
    <col min="2056" max="2056" width="10.7109375" style="14" bestFit="1" customWidth="1"/>
    <col min="2057" max="2057" width="20" style="14" bestFit="1" customWidth="1"/>
    <col min="2058" max="2058" width="11.85546875" style="14" bestFit="1" customWidth="1"/>
    <col min="2059" max="2059" width="10.42578125" style="14" bestFit="1" customWidth="1"/>
    <col min="2060" max="2060" width="42.28515625" style="14" bestFit="1" customWidth="1"/>
    <col min="2061" max="2061" width="13.5703125" style="14" bestFit="1" customWidth="1"/>
    <col min="2062" max="2062" width="7.7109375" style="14" bestFit="1" customWidth="1"/>
    <col min="2063" max="2063" width="10.7109375" style="14" bestFit="1" customWidth="1"/>
    <col min="2064" max="2064" width="9.28515625" style="14" bestFit="1" customWidth="1"/>
    <col min="2065" max="2065" width="8.7109375" style="14" bestFit="1" customWidth="1"/>
    <col min="2066" max="2304" width="9.140625" style="14"/>
    <col min="2305" max="2305" width="4.42578125" style="14" bestFit="1" customWidth="1"/>
    <col min="2306" max="2306" width="13.85546875" style="14" bestFit="1" customWidth="1"/>
    <col min="2307" max="2307" width="11.28515625" style="14" bestFit="1" customWidth="1"/>
    <col min="2308" max="2308" width="14.5703125" style="14" bestFit="1" customWidth="1"/>
    <col min="2309" max="2309" width="4.5703125" style="14" bestFit="1" customWidth="1"/>
    <col min="2310" max="2310" width="22.140625" style="14" bestFit="1" customWidth="1"/>
    <col min="2311" max="2311" width="24.140625" style="14" bestFit="1" customWidth="1"/>
    <col min="2312" max="2312" width="10.7109375" style="14" bestFit="1" customWidth="1"/>
    <col min="2313" max="2313" width="20" style="14" bestFit="1" customWidth="1"/>
    <col min="2314" max="2314" width="11.85546875" style="14" bestFit="1" customWidth="1"/>
    <col min="2315" max="2315" width="10.42578125" style="14" bestFit="1" customWidth="1"/>
    <col min="2316" max="2316" width="42.28515625" style="14" bestFit="1" customWidth="1"/>
    <col min="2317" max="2317" width="13.5703125" style="14" bestFit="1" customWidth="1"/>
    <col min="2318" max="2318" width="7.7109375" style="14" bestFit="1" customWidth="1"/>
    <col min="2319" max="2319" width="10.7109375" style="14" bestFit="1" customWidth="1"/>
    <col min="2320" max="2320" width="9.28515625" style="14" bestFit="1" customWidth="1"/>
    <col min="2321" max="2321" width="8.7109375" style="14" bestFit="1" customWidth="1"/>
    <col min="2322" max="2560" width="9.140625" style="14"/>
    <col min="2561" max="2561" width="4.42578125" style="14" bestFit="1" customWidth="1"/>
    <col min="2562" max="2562" width="13.85546875" style="14" bestFit="1" customWidth="1"/>
    <col min="2563" max="2563" width="11.28515625" style="14" bestFit="1" customWidth="1"/>
    <col min="2564" max="2564" width="14.5703125" style="14" bestFit="1" customWidth="1"/>
    <col min="2565" max="2565" width="4.5703125" style="14" bestFit="1" customWidth="1"/>
    <col min="2566" max="2566" width="22.140625" style="14" bestFit="1" customWidth="1"/>
    <col min="2567" max="2567" width="24.140625" style="14" bestFit="1" customWidth="1"/>
    <col min="2568" max="2568" width="10.7109375" style="14" bestFit="1" customWidth="1"/>
    <col min="2569" max="2569" width="20" style="14" bestFit="1" customWidth="1"/>
    <col min="2570" max="2570" width="11.85546875" style="14" bestFit="1" customWidth="1"/>
    <col min="2571" max="2571" width="10.42578125" style="14" bestFit="1" customWidth="1"/>
    <col min="2572" max="2572" width="42.28515625" style="14" bestFit="1" customWidth="1"/>
    <col min="2573" max="2573" width="13.5703125" style="14" bestFit="1" customWidth="1"/>
    <col min="2574" max="2574" width="7.7109375" style="14" bestFit="1" customWidth="1"/>
    <col min="2575" max="2575" width="10.7109375" style="14" bestFit="1" customWidth="1"/>
    <col min="2576" max="2576" width="9.28515625" style="14" bestFit="1" customWidth="1"/>
    <col min="2577" max="2577" width="8.7109375" style="14" bestFit="1" customWidth="1"/>
    <col min="2578" max="2816" width="9.140625" style="14"/>
    <col min="2817" max="2817" width="4.42578125" style="14" bestFit="1" customWidth="1"/>
    <col min="2818" max="2818" width="13.85546875" style="14" bestFit="1" customWidth="1"/>
    <col min="2819" max="2819" width="11.28515625" style="14" bestFit="1" customWidth="1"/>
    <col min="2820" max="2820" width="14.5703125" style="14" bestFit="1" customWidth="1"/>
    <col min="2821" max="2821" width="4.5703125" style="14" bestFit="1" customWidth="1"/>
    <col min="2822" max="2822" width="22.140625" style="14" bestFit="1" customWidth="1"/>
    <col min="2823" max="2823" width="24.140625" style="14" bestFit="1" customWidth="1"/>
    <col min="2824" max="2824" width="10.7109375" style="14" bestFit="1" customWidth="1"/>
    <col min="2825" max="2825" width="20" style="14" bestFit="1" customWidth="1"/>
    <col min="2826" max="2826" width="11.85546875" style="14" bestFit="1" customWidth="1"/>
    <col min="2827" max="2827" width="10.42578125" style="14" bestFit="1" customWidth="1"/>
    <col min="2828" max="2828" width="42.28515625" style="14" bestFit="1" customWidth="1"/>
    <col min="2829" max="2829" width="13.5703125" style="14" bestFit="1" customWidth="1"/>
    <col min="2830" max="2830" width="7.7109375" style="14" bestFit="1" customWidth="1"/>
    <col min="2831" max="2831" width="10.7109375" style="14" bestFit="1" customWidth="1"/>
    <col min="2832" max="2832" width="9.28515625" style="14" bestFit="1" customWidth="1"/>
    <col min="2833" max="2833" width="8.7109375" style="14" bestFit="1" customWidth="1"/>
    <col min="2834" max="3072" width="9.140625" style="14"/>
    <col min="3073" max="3073" width="4.42578125" style="14" bestFit="1" customWidth="1"/>
    <col min="3074" max="3074" width="13.85546875" style="14" bestFit="1" customWidth="1"/>
    <col min="3075" max="3075" width="11.28515625" style="14" bestFit="1" customWidth="1"/>
    <col min="3076" max="3076" width="14.5703125" style="14" bestFit="1" customWidth="1"/>
    <col min="3077" max="3077" width="4.5703125" style="14" bestFit="1" customWidth="1"/>
    <col min="3078" max="3078" width="22.140625" style="14" bestFit="1" customWidth="1"/>
    <col min="3079" max="3079" width="24.140625" style="14" bestFit="1" customWidth="1"/>
    <col min="3080" max="3080" width="10.7109375" style="14" bestFit="1" customWidth="1"/>
    <col min="3081" max="3081" width="20" style="14" bestFit="1" customWidth="1"/>
    <col min="3082" max="3082" width="11.85546875" style="14" bestFit="1" customWidth="1"/>
    <col min="3083" max="3083" width="10.42578125" style="14" bestFit="1" customWidth="1"/>
    <col min="3084" max="3084" width="42.28515625" style="14" bestFit="1" customWidth="1"/>
    <col min="3085" max="3085" width="13.5703125" style="14" bestFit="1" customWidth="1"/>
    <col min="3086" max="3086" width="7.7109375" style="14" bestFit="1" customWidth="1"/>
    <col min="3087" max="3087" width="10.7109375" style="14" bestFit="1" customWidth="1"/>
    <col min="3088" max="3088" width="9.28515625" style="14" bestFit="1" customWidth="1"/>
    <col min="3089" max="3089" width="8.7109375" style="14" bestFit="1" customWidth="1"/>
    <col min="3090" max="3328" width="9.140625" style="14"/>
    <col min="3329" max="3329" width="4.42578125" style="14" bestFit="1" customWidth="1"/>
    <col min="3330" max="3330" width="13.85546875" style="14" bestFit="1" customWidth="1"/>
    <col min="3331" max="3331" width="11.28515625" style="14" bestFit="1" customWidth="1"/>
    <col min="3332" max="3332" width="14.5703125" style="14" bestFit="1" customWidth="1"/>
    <col min="3333" max="3333" width="4.5703125" style="14" bestFit="1" customWidth="1"/>
    <col min="3334" max="3334" width="22.140625" style="14" bestFit="1" customWidth="1"/>
    <col min="3335" max="3335" width="24.140625" style="14" bestFit="1" customWidth="1"/>
    <col min="3336" max="3336" width="10.7109375" style="14" bestFit="1" customWidth="1"/>
    <col min="3337" max="3337" width="20" style="14" bestFit="1" customWidth="1"/>
    <col min="3338" max="3338" width="11.85546875" style="14" bestFit="1" customWidth="1"/>
    <col min="3339" max="3339" width="10.42578125" style="14" bestFit="1" customWidth="1"/>
    <col min="3340" max="3340" width="42.28515625" style="14" bestFit="1" customWidth="1"/>
    <col min="3341" max="3341" width="13.5703125" style="14" bestFit="1" customWidth="1"/>
    <col min="3342" max="3342" width="7.7109375" style="14" bestFit="1" customWidth="1"/>
    <col min="3343" max="3343" width="10.7109375" style="14" bestFit="1" customWidth="1"/>
    <col min="3344" max="3344" width="9.28515625" style="14" bestFit="1" customWidth="1"/>
    <col min="3345" max="3345" width="8.7109375" style="14" bestFit="1" customWidth="1"/>
    <col min="3346" max="3584" width="9.140625" style="14"/>
    <col min="3585" max="3585" width="4.42578125" style="14" bestFit="1" customWidth="1"/>
    <col min="3586" max="3586" width="13.85546875" style="14" bestFit="1" customWidth="1"/>
    <col min="3587" max="3587" width="11.28515625" style="14" bestFit="1" customWidth="1"/>
    <col min="3588" max="3588" width="14.5703125" style="14" bestFit="1" customWidth="1"/>
    <col min="3589" max="3589" width="4.5703125" style="14" bestFit="1" customWidth="1"/>
    <col min="3590" max="3590" width="22.140625" style="14" bestFit="1" customWidth="1"/>
    <col min="3591" max="3591" width="24.140625" style="14" bestFit="1" customWidth="1"/>
    <col min="3592" max="3592" width="10.7109375" style="14" bestFit="1" customWidth="1"/>
    <col min="3593" max="3593" width="20" style="14" bestFit="1" customWidth="1"/>
    <col min="3594" max="3594" width="11.85546875" style="14" bestFit="1" customWidth="1"/>
    <col min="3595" max="3595" width="10.42578125" style="14" bestFit="1" customWidth="1"/>
    <col min="3596" max="3596" width="42.28515625" style="14" bestFit="1" customWidth="1"/>
    <col min="3597" max="3597" width="13.5703125" style="14" bestFit="1" customWidth="1"/>
    <col min="3598" max="3598" width="7.7109375" style="14" bestFit="1" customWidth="1"/>
    <col min="3599" max="3599" width="10.7109375" style="14" bestFit="1" customWidth="1"/>
    <col min="3600" max="3600" width="9.28515625" style="14" bestFit="1" customWidth="1"/>
    <col min="3601" max="3601" width="8.7109375" style="14" bestFit="1" customWidth="1"/>
    <col min="3602" max="3840" width="9.140625" style="14"/>
    <col min="3841" max="3841" width="4.42578125" style="14" bestFit="1" customWidth="1"/>
    <col min="3842" max="3842" width="13.85546875" style="14" bestFit="1" customWidth="1"/>
    <col min="3843" max="3843" width="11.28515625" style="14" bestFit="1" customWidth="1"/>
    <col min="3844" max="3844" width="14.5703125" style="14" bestFit="1" customWidth="1"/>
    <col min="3845" max="3845" width="4.5703125" style="14" bestFit="1" customWidth="1"/>
    <col min="3846" max="3846" width="22.140625" style="14" bestFit="1" customWidth="1"/>
    <col min="3847" max="3847" width="24.140625" style="14" bestFit="1" customWidth="1"/>
    <col min="3848" max="3848" width="10.7109375" style="14" bestFit="1" customWidth="1"/>
    <col min="3849" max="3849" width="20" style="14" bestFit="1" customWidth="1"/>
    <col min="3850" max="3850" width="11.85546875" style="14" bestFit="1" customWidth="1"/>
    <col min="3851" max="3851" width="10.42578125" style="14" bestFit="1" customWidth="1"/>
    <col min="3852" max="3852" width="42.28515625" style="14" bestFit="1" customWidth="1"/>
    <col min="3853" max="3853" width="13.5703125" style="14" bestFit="1" customWidth="1"/>
    <col min="3854" max="3854" width="7.7109375" style="14" bestFit="1" customWidth="1"/>
    <col min="3855" max="3855" width="10.7109375" style="14" bestFit="1" customWidth="1"/>
    <col min="3856" max="3856" width="9.28515625" style="14" bestFit="1" customWidth="1"/>
    <col min="3857" max="3857" width="8.7109375" style="14" bestFit="1" customWidth="1"/>
    <col min="3858" max="4096" width="9.140625" style="14"/>
    <col min="4097" max="4097" width="4.42578125" style="14" bestFit="1" customWidth="1"/>
    <col min="4098" max="4098" width="13.85546875" style="14" bestFit="1" customWidth="1"/>
    <col min="4099" max="4099" width="11.28515625" style="14" bestFit="1" customWidth="1"/>
    <col min="4100" max="4100" width="14.5703125" style="14" bestFit="1" customWidth="1"/>
    <col min="4101" max="4101" width="4.5703125" style="14" bestFit="1" customWidth="1"/>
    <col min="4102" max="4102" width="22.140625" style="14" bestFit="1" customWidth="1"/>
    <col min="4103" max="4103" width="24.140625" style="14" bestFit="1" customWidth="1"/>
    <col min="4104" max="4104" width="10.7109375" style="14" bestFit="1" customWidth="1"/>
    <col min="4105" max="4105" width="20" style="14" bestFit="1" customWidth="1"/>
    <col min="4106" max="4106" width="11.85546875" style="14" bestFit="1" customWidth="1"/>
    <col min="4107" max="4107" width="10.42578125" style="14" bestFit="1" customWidth="1"/>
    <col min="4108" max="4108" width="42.28515625" style="14" bestFit="1" customWidth="1"/>
    <col min="4109" max="4109" width="13.5703125" style="14" bestFit="1" customWidth="1"/>
    <col min="4110" max="4110" width="7.7109375" style="14" bestFit="1" customWidth="1"/>
    <col min="4111" max="4111" width="10.7109375" style="14" bestFit="1" customWidth="1"/>
    <col min="4112" max="4112" width="9.28515625" style="14" bestFit="1" customWidth="1"/>
    <col min="4113" max="4113" width="8.7109375" style="14" bestFit="1" customWidth="1"/>
    <col min="4114" max="4352" width="9.140625" style="14"/>
    <col min="4353" max="4353" width="4.42578125" style="14" bestFit="1" customWidth="1"/>
    <col min="4354" max="4354" width="13.85546875" style="14" bestFit="1" customWidth="1"/>
    <col min="4355" max="4355" width="11.28515625" style="14" bestFit="1" customWidth="1"/>
    <col min="4356" max="4356" width="14.5703125" style="14" bestFit="1" customWidth="1"/>
    <col min="4357" max="4357" width="4.5703125" style="14" bestFit="1" customWidth="1"/>
    <col min="4358" max="4358" width="22.140625" style="14" bestFit="1" customWidth="1"/>
    <col min="4359" max="4359" width="24.140625" style="14" bestFit="1" customWidth="1"/>
    <col min="4360" max="4360" width="10.7109375" style="14" bestFit="1" customWidth="1"/>
    <col min="4361" max="4361" width="20" style="14" bestFit="1" customWidth="1"/>
    <col min="4362" max="4362" width="11.85546875" style="14" bestFit="1" customWidth="1"/>
    <col min="4363" max="4363" width="10.42578125" style="14" bestFit="1" customWidth="1"/>
    <col min="4364" max="4364" width="42.28515625" style="14" bestFit="1" customWidth="1"/>
    <col min="4365" max="4365" width="13.5703125" style="14" bestFit="1" customWidth="1"/>
    <col min="4366" max="4366" width="7.7109375" style="14" bestFit="1" customWidth="1"/>
    <col min="4367" max="4367" width="10.7109375" style="14" bestFit="1" customWidth="1"/>
    <col min="4368" max="4368" width="9.28515625" style="14" bestFit="1" customWidth="1"/>
    <col min="4369" max="4369" width="8.7109375" style="14" bestFit="1" customWidth="1"/>
    <col min="4370" max="4608" width="9.140625" style="14"/>
    <col min="4609" max="4609" width="4.42578125" style="14" bestFit="1" customWidth="1"/>
    <col min="4610" max="4610" width="13.85546875" style="14" bestFit="1" customWidth="1"/>
    <col min="4611" max="4611" width="11.28515625" style="14" bestFit="1" customWidth="1"/>
    <col min="4612" max="4612" width="14.5703125" style="14" bestFit="1" customWidth="1"/>
    <col min="4613" max="4613" width="4.5703125" style="14" bestFit="1" customWidth="1"/>
    <col min="4614" max="4614" width="22.140625" style="14" bestFit="1" customWidth="1"/>
    <col min="4615" max="4615" width="24.140625" style="14" bestFit="1" customWidth="1"/>
    <col min="4616" max="4616" width="10.7109375" style="14" bestFit="1" customWidth="1"/>
    <col min="4617" max="4617" width="20" style="14" bestFit="1" customWidth="1"/>
    <col min="4618" max="4618" width="11.85546875" style="14" bestFit="1" customWidth="1"/>
    <col min="4619" max="4619" width="10.42578125" style="14" bestFit="1" customWidth="1"/>
    <col min="4620" max="4620" width="42.28515625" style="14" bestFit="1" customWidth="1"/>
    <col min="4621" max="4621" width="13.5703125" style="14" bestFit="1" customWidth="1"/>
    <col min="4622" max="4622" width="7.7109375" style="14" bestFit="1" customWidth="1"/>
    <col min="4623" max="4623" width="10.7109375" style="14" bestFit="1" customWidth="1"/>
    <col min="4624" max="4624" width="9.28515625" style="14" bestFit="1" customWidth="1"/>
    <col min="4625" max="4625" width="8.7109375" style="14" bestFit="1" customWidth="1"/>
    <col min="4626" max="4864" width="9.140625" style="14"/>
    <col min="4865" max="4865" width="4.42578125" style="14" bestFit="1" customWidth="1"/>
    <col min="4866" max="4866" width="13.85546875" style="14" bestFit="1" customWidth="1"/>
    <col min="4867" max="4867" width="11.28515625" style="14" bestFit="1" customWidth="1"/>
    <col min="4868" max="4868" width="14.5703125" style="14" bestFit="1" customWidth="1"/>
    <col min="4869" max="4869" width="4.5703125" style="14" bestFit="1" customWidth="1"/>
    <col min="4870" max="4870" width="22.140625" style="14" bestFit="1" customWidth="1"/>
    <col min="4871" max="4871" width="24.140625" style="14" bestFit="1" customWidth="1"/>
    <col min="4872" max="4872" width="10.7109375" style="14" bestFit="1" customWidth="1"/>
    <col min="4873" max="4873" width="20" style="14" bestFit="1" customWidth="1"/>
    <col min="4874" max="4874" width="11.85546875" style="14" bestFit="1" customWidth="1"/>
    <col min="4875" max="4875" width="10.42578125" style="14" bestFit="1" customWidth="1"/>
    <col min="4876" max="4876" width="42.28515625" style="14" bestFit="1" customWidth="1"/>
    <col min="4877" max="4877" width="13.5703125" style="14" bestFit="1" customWidth="1"/>
    <col min="4878" max="4878" width="7.7109375" style="14" bestFit="1" customWidth="1"/>
    <col min="4879" max="4879" width="10.7109375" style="14" bestFit="1" customWidth="1"/>
    <col min="4880" max="4880" width="9.28515625" style="14" bestFit="1" customWidth="1"/>
    <col min="4881" max="4881" width="8.7109375" style="14" bestFit="1" customWidth="1"/>
    <col min="4882" max="5120" width="9.140625" style="14"/>
    <col min="5121" max="5121" width="4.42578125" style="14" bestFit="1" customWidth="1"/>
    <col min="5122" max="5122" width="13.85546875" style="14" bestFit="1" customWidth="1"/>
    <col min="5123" max="5123" width="11.28515625" style="14" bestFit="1" customWidth="1"/>
    <col min="5124" max="5124" width="14.5703125" style="14" bestFit="1" customWidth="1"/>
    <col min="5125" max="5125" width="4.5703125" style="14" bestFit="1" customWidth="1"/>
    <col min="5126" max="5126" width="22.140625" style="14" bestFit="1" customWidth="1"/>
    <col min="5127" max="5127" width="24.140625" style="14" bestFit="1" customWidth="1"/>
    <col min="5128" max="5128" width="10.7109375" style="14" bestFit="1" customWidth="1"/>
    <col min="5129" max="5129" width="20" style="14" bestFit="1" customWidth="1"/>
    <col min="5130" max="5130" width="11.85546875" style="14" bestFit="1" customWidth="1"/>
    <col min="5131" max="5131" width="10.42578125" style="14" bestFit="1" customWidth="1"/>
    <col min="5132" max="5132" width="42.28515625" style="14" bestFit="1" customWidth="1"/>
    <col min="5133" max="5133" width="13.5703125" style="14" bestFit="1" customWidth="1"/>
    <col min="5134" max="5134" width="7.7109375" style="14" bestFit="1" customWidth="1"/>
    <col min="5135" max="5135" width="10.7109375" style="14" bestFit="1" customWidth="1"/>
    <col min="5136" max="5136" width="9.28515625" style="14" bestFit="1" customWidth="1"/>
    <col min="5137" max="5137" width="8.7109375" style="14" bestFit="1" customWidth="1"/>
    <col min="5138" max="5376" width="9.140625" style="14"/>
    <col min="5377" max="5377" width="4.42578125" style="14" bestFit="1" customWidth="1"/>
    <col min="5378" max="5378" width="13.85546875" style="14" bestFit="1" customWidth="1"/>
    <col min="5379" max="5379" width="11.28515625" style="14" bestFit="1" customWidth="1"/>
    <col min="5380" max="5380" width="14.5703125" style="14" bestFit="1" customWidth="1"/>
    <col min="5381" max="5381" width="4.5703125" style="14" bestFit="1" customWidth="1"/>
    <col min="5382" max="5382" width="22.140625" style="14" bestFit="1" customWidth="1"/>
    <col min="5383" max="5383" width="24.140625" style="14" bestFit="1" customWidth="1"/>
    <col min="5384" max="5384" width="10.7109375" style="14" bestFit="1" customWidth="1"/>
    <col min="5385" max="5385" width="20" style="14" bestFit="1" customWidth="1"/>
    <col min="5386" max="5386" width="11.85546875" style="14" bestFit="1" customWidth="1"/>
    <col min="5387" max="5387" width="10.42578125" style="14" bestFit="1" customWidth="1"/>
    <col min="5388" max="5388" width="42.28515625" style="14" bestFit="1" customWidth="1"/>
    <col min="5389" max="5389" width="13.5703125" style="14" bestFit="1" customWidth="1"/>
    <col min="5390" max="5390" width="7.7109375" style="14" bestFit="1" customWidth="1"/>
    <col min="5391" max="5391" width="10.7109375" style="14" bestFit="1" customWidth="1"/>
    <col min="5392" max="5392" width="9.28515625" style="14" bestFit="1" customWidth="1"/>
    <col min="5393" max="5393" width="8.7109375" style="14" bestFit="1" customWidth="1"/>
    <col min="5394" max="5632" width="9.140625" style="14"/>
    <col min="5633" max="5633" width="4.42578125" style="14" bestFit="1" customWidth="1"/>
    <col min="5634" max="5634" width="13.85546875" style="14" bestFit="1" customWidth="1"/>
    <col min="5635" max="5635" width="11.28515625" style="14" bestFit="1" customWidth="1"/>
    <col min="5636" max="5636" width="14.5703125" style="14" bestFit="1" customWidth="1"/>
    <col min="5637" max="5637" width="4.5703125" style="14" bestFit="1" customWidth="1"/>
    <col min="5638" max="5638" width="22.140625" style="14" bestFit="1" customWidth="1"/>
    <col min="5639" max="5639" width="24.140625" style="14" bestFit="1" customWidth="1"/>
    <col min="5640" max="5640" width="10.7109375" style="14" bestFit="1" customWidth="1"/>
    <col min="5641" max="5641" width="20" style="14" bestFit="1" customWidth="1"/>
    <col min="5642" max="5642" width="11.85546875" style="14" bestFit="1" customWidth="1"/>
    <col min="5643" max="5643" width="10.42578125" style="14" bestFit="1" customWidth="1"/>
    <col min="5644" max="5644" width="42.28515625" style="14" bestFit="1" customWidth="1"/>
    <col min="5645" max="5645" width="13.5703125" style="14" bestFit="1" customWidth="1"/>
    <col min="5646" max="5646" width="7.7109375" style="14" bestFit="1" customWidth="1"/>
    <col min="5647" max="5647" width="10.7109375" style="14" bestFit="1" customWidth="1"/>
    <col min="5648" max="5648" width="9.28515625" style="14" bestFit="1" customWidth="1"/>
    <col min="5649" max="5649" width="8.7109375" style="14" bestFit="1" customWidth="1"/>
    <col min="5650" max="5888" width="9.140625" style="14"/>
    <col min="5889" max="5889" width="4.42578125" style="14" bestFit="1" customWidth="1"/>
    <col min="5890" max="5890" width="13.85546875" style="14" bestFit="1" customWidth="1"/>
    <col min="5891" max="5891" width="11.28515625" style="14" bestFit="1" customWidth="1"/>
    <col min="5892" max="5892" width="14.5703125" style="14" bestFit="1" customWidth="1"/>
    <col min="5893" max="5893" width="4.5703125" style="14" bestFit="1" customWidth="1"/>
    <col min="5894" max="5894" width="22.140625" style="14" bestFit="1" customWidth="1"/>
    <col min="5895" max="5895" width="24.140625" style="14" bestFit="1" customWidth="1"/>
    <col min="5896" max="5896" width="10.7109375" style="14" bestFit="1" customWidth="1"/>
    <col min="5897" max="5897" width="20" style="14" bestFit="1" customWidth="1"/>
    <col min="5898" max="5898" width="11.85546875" style="14" bestFit="1" customWidth="1"/>
    <col min="5899" max="5899" width="10.42578125" style="14" bestFit="1" customWidth="1"/>
    <col min="5900" max="5900" width="42.28515625" style="14" bestFit="1" customWidth="1"/>
    <col min="5901" max="5901" width="13.5703125" style="14" bestFit="1" customWidth="1"/>
    <col min="5902" max="5902" width="7.7109375" style="14" bestFit="1" customWidth="1"/>
    <col min="5903" max="5903" width="10.7109375" style="14" bestFit="1" customWidth="1"/>
    <col min="5904" max="5904" width="9.28515625" style="14" bestFit="1" customWidth="1"/>
    <col min="5905" max="5905" width="8.7109375" style="14" bestFit="1" customWidth="1"/>
    <col min="5906" max="6144" width="9.140625" style="14"/>
    <col min="6145" max="6145" width="4.42578125" style="14" bestFit="1" customWidth="1"/>
    <col min="6146" max="6146" width="13.85546875" style="14" bestFit="1" customWidth="1"/>
    <col min="6147" max="6147" width="11.28515625" style="14" bestFit="1" customWidth="1"/>
    <col min="6148" max="6148" width="14.5703125" style="14" bestFit="1" customWidth="1"/>
    <col min="6149" max="6149" width="4.5703125" style="14" bestFit="1" customWidth="1"/>
    <col min="6150" max="6150" width="22.140625" style="14" bestFit="1" customWidth="1"/>
    <col min="6151" max="6151" width="24.140625" style="14" bestFit="1" customWidth="1"/>
    <col min="6152" max="6152" width="10.7109375" style="14" bestFit="1" customWidth="1"/>
    <col min="6153" max="6153" width="20" style="14" bestFit="1" customWidth="1"/>
    <col min="6154" max="6154" width="11.85546875" style="14" bestFit="1" customWidth="1"/>
    <col min="6155" max="6155" width="10.42578125" style="14" bestFit="1" customWidth="1"/>
    <col min="6156" max="6156" width="42.28515625" style="14" bestFit="1" customWidth="1"/>
    <col min="6157" max="6157" width="13.5703125" style="14" bestFit="1" customWidth="1"/>
    <col min="6158" max="6158" width="7.7109375" style="14" bestFit="1" customWidth="1"/>
    <col min="6159" max="6159" width="10.7109375" style="14" bestFit="1" customWidth="1"/>
    <col min="6160" max="6160" width="9.28515625" style="14" bestFit="1" customWidth="1"/>
    <col min="6161" max="6161" width="8.7109375" style="14" bestFit="1" customWidth="1"/>
    <col min="6162" max="6400" width="9.140625" style="14"/>
    <col min="6401" max="6401" width="4.42578125" style="14" bestFit="1" customWidth="1"/>
    <col min="6402" max="6402" width="13.85546875" style="14" bestFit="1" customWidth="1"/>
    <col min="6403" max="6403" width="11.28515625" style="14" bestFit="1" customWidth="1"/>
    <col min="6404" max="6404" width="14.5703125" style="14" bestFit="1" customWidth="1"/>
    <col min="6405" max="6405" width="4.5703125" style="14" bestFit="1" customWidth="1"/>
    <col min="6406" max="6406" width="22.140625" style="14" bestFit="1" customWidth="1"/>
    <col min="6407" max="6407" width="24.140625" style="14" bestFit="1" customWidth="1"/>
    <col min="6408" max="6408" width="10.7109375" style="14" bestFit="1" customWidth="1"/>
    <col min="6409" max="6409" width="20" style="14" bestFit="1" customWidth="1"/>
    <col min="6410" max="6410" width="11.85546875" style="14" bestFit="1" customWidth="1"/>
    <col min="6411" max="6411" width="10.42578125" style="14" bestFit="1" customWidth="1"/>
    <col min="6412" max="6412" width="42.28515625" style="14" bestFit="1" customWidth="1"/>
    <col min="6413" max="6413" width="13.5703125" style="14" bestFit="1" customWidth="1"/>
    <col min="6414" max="6414" width="7.7109375" style="14" bestFit="1" customWidth="1"/>
    <col min="6415" max="6415" width="10.7109375" style="14" bestFit="1" customWidth="1"/>
    <col min="6416" max="6416" width="9.28515625" style="14" bestFit="1" customWidth="1"/>
    <col min="6417" max="6417" width="8.7109375" style="14" bestFit="1" customWidth="1"/>
    <col min="6418" max="6656" width="9.140625" style="14"/>
    <col min="6657" max="6657" width="4.42578125" style="14" bestFit="1" customWidth="1"/>
    <col min="6658" max="6658" width="13.85546875" style="14" bestFit="1" customWidth="1"/>
    <col min="6659" max="6659" width="11.28515625" style="14" bestFit="1" customWidth="1"/>
    <col min="6660" max="6660" width="14.5703125" style="14" bestFit="1" customWidth="1"/>
    <col min="6661" max="6661" width="4.5703125" style="14" bestFit="1" customWidth="1"/>
    <col min="6662" max="6662" width="22.140625" style="14" bestFit="1" customWidth="1"/>
    <col min="6663" max="6663" width="24.140625" style="14" bestFit="1" customWidth="1"/>
    <col min="6664" max="6664" width="10.7109375" style="14" bestFit="1" customWidth="1"/>
    <col min="6665" max="6665" width="20" style="14" bestFit="1" customWidth="1"/>
    <col min="6666" max="6666" width="11.85546875" style="14" bestFit="1" customWidth="1"/>
    <col min="6667" max="6667" width="10.42578125" style="14" bestFit="1" customWidth="1"/>
    <col min="6668" max="6668" width="42.28515625" style="14" bestFit="1" customWidth="1"/>
    <col min="6669" max="6669" width="13.5703125" style="14" bestFit="1" customWidth="1"/>
    <col min="6670" max="6670" width="7.7109375" style="14" bestFit="1" customWidth="1"/>
    <col min="6671" max="6671" width="10.7109375" style="14" bestFit="1" customWidth="1"/>
    <col min="6672" max="6672" width="9.28515625" style="14" bestFit="1" customWidth="1"/>
    <col min="6673" max="6673" width="8.7109375" style="14" bestFit="1" customWidth="1"/>
    <col min="6674" max="6912" width="9.140625" style="14"/>
    <col min="6913" max="6913" width="4.42578125" style="14" bestFit="1" customWidth="1"/>
    <col min="6914" max="6914" width="13.85546875" style="14" bestFit="1" customWidth="1"/>
    <col min="6915" max="6915" width="11.28515625" style="14" bestFit="1" customWidth="1"/>
    <col min="6916" max="6916" width="14.5703125" style="14" bestFit="1" customWidth="1"/>
    <col min="6917" max="6917" width="4.5703125" style="14" bestFit="1" customWidth="1"/>
    <col min="6918" max="6918" width="22.140625" style="14" bestFit="1" customWidth="1"/>
    <col min="6919" max="6919" width="24.140625" style="14" bestFit="1" customWidth="1"/>
    <col min="6920" max="6920" width="10.7109375" style="14" bestFit="1" customWidth="1"/>
    <col min="6921" max="6921" width="20" style="14" bestFit="1" customWidth="1"/>
    <col min="6922" max="6922" width="11.85546875" style="14" bestFit="1" customWidth="1"/>
    <col min="6923" max="6923" width="10.42578125" style="14" bestFit="1" customWidth="1"/>
    <col min="6924" max="6924" width="42.28515625" style="14" bestFit="1" customWidth="1"/>
    <col min="6925" max="6925" width="13.5703125" style="14" bestFit="1" customWidth="1"/>
    <col min="6926" max="6926" width="7.7109375" style="14" bestFit="1" customWidth="1"/>
    <col min="6927" max="6927" width="10.7109375" style="14" bestFit="1" customWidth="1"/>
    <col min="6928" max="6928" width="9.28515625" style="14" bestFit="1" customWidth="1"/>
    <col min="6929" max="6929" width="8.7109375" style="14" bestFit="1" customWidth="1"/>
    <col min="6930" max="7168" width="9.140625" style="14"/>
    <col min="7169" max="7169" width="4.42578125" style="14" bestFit="1" customWidth="1"/>
    <col min="7170" max="7170" width="13.85546875" style="14" bestFit="1" customWidth="1"/>
    <col min="7171" max="7171" width="11.28515625" style="14" bestFit="1" customWidth="1"/>
    <col min="7172" max="7172" width="14.5703125" style="14" bestFit="1" customWidth="1"/>
    <col min="7173" max="7173" width="4.5703125" style="14" bestFit="1" customWidth="1"/>
    <col min="7174" max="7174" width="22.140625" style="14" bestFit="1" customWidth="1"/>
    <col min="7175" max="7175" width="24.140625" style="14" bestFit="1" customWidth="1"/>
    <col min="7176" max="7176" width="10.7109375" style="14" bestFit="1" customWidth="1"/>
    <col min="7177" max="7177" width="20" style="14" bestFit="1" customWidth="1"/>
    <col min="7178" max="7178" width="11.85546875" style="14" bestFit="1" customWidth="1"/>
    <col min="7179" max="7179" width="10.42578125" style="14" bestFit="1" customWidth="1"/>
    <col min="7180" max="7180" width="42.28515625" style="14" bestFit="1" customWidth="1"/>
    <col min="7181" max="7181" width="13.5703125" style="14" bestFit="1" customWidth="1"/>
    <col min="7182" max="7182" width="7.7109375" style="14" bestFit="1" customWidth="1"/>
    <col min="7183" max="7183" width="10.7109375" style="14" bestFit="1" customWidth="1"/>
    <col min="7184" max="7184" width="9.28515625" style="14" bestFit="1" customWidth="1"/>
    <col min="7185" max="7185" width="8.7109375" style="14" bestFit="1" customWidth="1"/>
    <col min="7186" max="7424" width="9.140625" style="14"/>
    <col min="7425" max="7425" width="4.42578125" style="14" bestFit="1" customWidth="1"/>
    <col min="7426" max="7426" width="13.85546875" style="14" bestFit="1" customWidth="1"/>
    <col min="7427" max="7427" width="11.28515625" style="14" bestFit="1" customWidth="1"/>
    <col min="7428" max="7428" width="14.5703125" style="14" bestFit="1" customWidth="1"/>
    <col min="7429" max="7429" width="4.5703125" style="14" bestFit="1" customWidth="1"/>
    <col min="7430" max="7430" width="22.140625" style="14" bestFit="1" customWidth="1"/>
    <col min="7431" max="7431" width="24.140625" style="14" bestFit="1" customWidth="1"/>
    <col min="7432" max="7432" width="10.7109375" style="14" bestFit="1" customWidth="1"/>
    <col min="7433" max="7433" width="20" style="14" bestFit="1" customWidth="1"/>
    <col min="7434" max="7434" width="11.85546875" style="14" bestFit="1" customWidth="1"/>
    <col min="7435" max="7435" width="10.42578125" style="14" bestFit="1" customWidth="1"/>
    <col min="7436" max="7436" width="42.28515625" style="14" bestFit="1" customWidth="1"/>
    <col min="7437" max="7437" width="13.5703125" style="14" bestFit="1" customWidth="1"/>
    <col min="7438" max="7438" width="7.7109375" style="14" bestFit="1" customWidth="1"/>
    <col min="7439" max="7439" width="10.7109375" style="14" bestFit="1" customWidth="1"/>
    <col min="7440" max="7440" width="9.28515625" style="14" bestFit="1" customWidth="1"/>
    <col min="7441" max="7441" width="8.7109375" style="14" bestFit="1" customWidth="1"/>
    <col min="7442" max="7680" width="9.140625" style="14"/>
    <col min="7681" max="7681" width="4.42578125" style="14" bestFit="1" customWidth="1"/>
    <col min="7682" max="7682" width="13.85546875" style="14" bestFit="1" customWidth="1"/>
    <col min="7683" max="7683" width="11.28515625" style="14" bestFit="1" customWidth="1"/>
    <col min="7684" max="7684" width="14.5703125" style="14" bestFit="1" customWidth="1"/>
    <col min="7685" max="7685" width="4.5703125" style="14" bestFit="1" customWidth="1"/>
    <col min="7686" max="7686" width="22.140625" style="14" bestFit="1" customWidth="1"/>
    <col min="7687" max="7687" width="24.140625" style="14" bestFit="1" customWidth="1"/>
    <col min="7688" max="7688" width="10.7109375" style="14" bestFit="1" customWidth="1"/>
    <col min="7689" max="7689" width="20" style="14" bestFit="1" customWidth="1"/>
    <col min="7690" max="7690" width="11.85546875" style="14" bestFit="1" customWidth="1"/>
    <col min="7691" max="7691" width="10.42578125" style="14" bestFit="1" customWidth="1"/>
    <col min="7692" max="7692" width="42.28515625" style="14" bestFit="1" customWidth="1"/>
    <col min="7693" max="7693" width="13.5703125" style="14" bestFit="1" customWidth="1"/>
    <col min="7694" max="7694" width="7.7109375" style="14" bestFit="1" customWidth="1"/>
    <col min="7695" max="7695" width="10.7109375" style="14" bestFit="1" customWidth="1"/>
    <col min="7696" max="7696" width="9.28515625" style="14" bestFit="1" customWidth="1"/>
    <col min="7697" max="7697" width="8.7109375" style="14" bestFit="1" customWidth="1"/>
    <col min="7698" max="7936" width="9.140625" style="14"/>
    <col min="7937" max="7937" width="4.42578125" style="14" bestFit="1" customWidth="1"/>
    <col min="7938" max="7938" width="13.85546875" style="14" bestFit="1" customWidth="1"/>
    <col min="7939" max="7939" width="11.28515625" style="14" bestFit="1" customWidth="1"/>
    <col min="7940" max="7940" width="14.5703125" style="14" bestFit="1" customWidth="1"/>
    <col min="7941" max="7941" width="4.5703125" style="14" bestFit="1" customWidth="1"/>
    <col min="7942" max="7942" width="22.140625" style="14" bestFit="1" customWidth="1"/>
    <col min="7943" max="7943" width="24.140625" style="14" bestFit="1" customWidth="1"/>
    <col min="7944" max="7944" width="10.7109375" style="14" bestFit="1" customWidth="1"/>
    <col min="7945" max="7945" width="20" style="14" bestFit="1" customWidth="1"/>
    <col min="7946" max="7946" width="11.85546875" style="14" bestFit="1" customWidth="1"/>
    <col min="7947" max="7947" width="10.42578125" style="14" bestFit="1" customWidth="1"/>
    <col min="7948" max="7948" width="42.28515625" style="14" bestFit="1" customWidth="1"/>
    <col min="7949" max="7949" width="13.5703125" style="14" bestFit="1" customWidth="1"/>
    <col min="7950" max="7950" width="7.7109375" style="14" bestFit="1" customWidth="1"/>
    <col min="7951" max="7951" width="10.7109375" style="14" bestFit="1" customWidth="1"/>
    <col min="7952" max="7952" width="9.28515625" style="14" bestFit="1" customWidth="1"/>
    <col min="7953" max="7953" width="8.7109375" style="14" bestFit="1" customWidth="1"/>
    <col min="7954" max="8192" width="9.140625" style="14"/>
    <col min="8193" max="8193" width="4.42578125" style="14" bestFit="1" customWidth="1"/>
    <col min="8194" max="8194" width="13.85546875" style="14" bestFit="1" customWidth="1"/>
    <col min="8195" max="8195" width="11.28515625" style="14" bestFit="1" customWidth="1"/>
    <col min="8196" max="8196" width="14.5703125" style="14" bestFit="1" customWidth="1"/>
    <col min="8197" max="8197" width="4.5703125" style="14" bestFit="1" customWidth="1"/>
    <col min="8198" max="8198" width="22.140625" style="14" bestFit="1" customWidth="1"/>
    <col min="8199" max="8199" width="24.140625" style="14" bestFit="1" customWidth="1"/>
    <col min="8200" max="8200" width="10.7109375" style="14" bestFit="1" customWidth="1"/>
    <col min="8201" max="8201" width="20" style="14" bestFit="1" customWidth="1"/>
    <col min="8202" max="8202" width="11.85546875" style="14" bestFit="1" customWidth="1"/>
    <col min="8203" max="8203" width="10.42578125" style="14" bestFit="1" customWidth="1"/>
    <col min="8204" max="8204" width="42.28515625" style="14" bestFit="1" customWidth="1"/>
    <col min="8205" max="8205" width="13.5703125" style="14" bestFit="1" customWidth="1"/>
    <col min="8206" max="8206" width="7.7109375" style="14" bestFit="1" customWidth="1"/>
    <col min="8207" max="8207" width="10.7109375" style="14" bestFit="1" customWidth="1"/>
    <col min="8208" max="8208" width="9.28515625" style="14" bestFit="1" customWidth="1"/>
    <col min="8209" max="8209" width="8.7109375" style="14" bestFit="1" customWidth="1"/>
    <col min="8210" max="8448" width="9.140625" style="14"/>
    <col min="8449" max="8449" width="4.42578125" style="14" bestFit="1" customWidth="1"/>
    <col min="8450" max="8450" width="13.85546875" style="14" bestFit="1" customWidth="1"/>
    <col min="8451" max="8451" width="11.28515625" style="14" bestFit="1" customWidth="1"/>
    <col min="8452" max="8452" width="14.5703125" style="14" bestFit="1" customWidth="1"/>
    <col min="8453" max="8453" width="4.5703125" style="14" bestFit="1" customWidth="1"/>
    <col min="8454" max="8454" width="22.140625" style="14" bestFit="1" customWidth="1"/>
    <col min="8455" max="8455" width="24.140625" style="14" bestFit="1" customWidth="1"/>
    <col min="8456" max="8456" width="10.7109375" style="14" bestFit="1" customWidth="1"/>
    <col min="8457" max="8457" width="20" style="14" bestFit="1" customWidth="1"/>
    <col min="8458" max="8458" width="11.85546875" style="14" bestFit="1" customWidth="1"/>
    <col min="8459" max="8459" width="10.42578125" style="14" bestFit="1" customWidth="1"/>
    <col min="8460" max="8460" width="42.28515625" style="14" bestFit="1" customWidth="1"/>
    <col min="8461" max="8461" width="13.5703125" style="14" bestFit="1" customWidth="1"/>
    <col min="8462" max="8462" width="7.7109375" style="14" bestFit="1" customWidth="1"/>
    <col min="8463" max="8463" width="10.7109375" style="14" bestFit="1" customWidth="1"/>
    <col min="8464" max="8464" width="9.28515625" style="14" bestFit="1" customWidth="1"/>
    <col min="8465" max="8465" width="8.7109375" style="14" bestFit="1" customWidth="1"/>
    <col min="8466" max="8704" width="9.140625" style="14"/>
    <col min="8705" max="8705" width="4.42578125" style="14" bestFit="1" customWidth="1"/>
    <col min="8706" max="8706" width="13.85546875" style="14" bestFit="1" customWidth="1"/>
    <col min="8707" max="8707" width="11.28515625" style="14" bestFit="1" customWidth="1"/>
    <col min="8708" max="8708" width="14.5703125" style="14" bestFit="1" customWidth="1"/>
    <col min="8709" max="8709" width="4.5703125" style="14" bestFit="1" customWidth="1"/>
    <col min="8710" max="8710" width="22.140625" style="14" bestFit="1" customWidth="1"/>
    <col min="8711" max="8711" width="24.140625" style="14" bestFit="1" customWidth="1"/>
    <col min="8712" max="8712" width="10.7109375" style="14" bestFit="1" customWidth="1"/>
    <col min="8713" max="8713" width="20" style="14" bestFit="1" customWidth="1"/>
    <col min="8714" max="8714" width="11.85546875" style="14" bestFit="1" customWidth="1"/>
    <col min="8715" max="8715" width="10.42578125" style="14" bestFit="1" customWidth="1"/>
    <col min="8716" max="8716" width="42.28515625" style="14" bestFit="1" customWidth="1"/>
    <col min="8717" max="8717" width="13.5703125" style="14" bestFit="1" customWidth="1"/>
    <col min="8718" max="8718" width="7.7109375" style="14" bestFit="1" customWidth="1"/>
    <col min="8719" max="8719" width="10.7109375" style="14" bestFit="1" customWidth="1"/>
    <col min="8720" max="8720" width="9.28515625" style="14" bestFit="1" customWidth="1"/>
    <col min="8721" max="8721" width="8.7109375" style="14" bestFit="1" customWidth="1"/>
    <col min="8722" max="8960" width="9.140625" style="14"/>
    <col min="8961" max="8961" width="4.42578125" style="14" bestFit="1" customWidth="1"/>
    <col min="8962" max="8962" width="13.85546875" style="14" bestFit="1" customWidth="1"/>
    <col min="8963" max="8963" width="11.28515625" style="14" bestFit="1" customWidth="1"/>
    <col min="8964" max="8964" width="14.5703125" style="14" bestFit="1" customWidth="1"/>
    <col min="8965" max="8965" width="4.5703125" style="14" bestFit="1" customWidth="1"/>
    <col min="8966" max="8966" width="22.140625" style="14" bestFit="1" customWidth="1"/>
    <col min="8967" max="8967" width="24.140625" style="14" bestFit="1" customWidth="1"/>
    <col min="8968" max="8968" width="10.7109375" style="14" bestFit="1" customWidth="1"/>
    <col min="8969" max="8969" width="20" style="14" bestFit="1" customWidth="1"/>
    <col min="8970" max="8970" width="11.85546875" style="14" bestFit="1" customWidth="1"/>
    <col min="8971" max="8971" width="10.42578125" style="14" bestFit="1" customWidth="1"/>
    <col min="8972" max="8972" width="42.28515625" style="14" bestFit="1" customWidth="1"/>
    <col min="8973" max="8973" width="13.5703125" style="14" bestFit="1" customWidth="1"/>
    <col min="8974" max="8974" width="7.7109375" style="14" bestFit="1" customWidth="1"/>
    <col min="8975" max="8975" width="10.7109375" style="14" bestFit="1" customWidth="1"/>
    <col min="8976" max="8976" width="9.28515625" style="14" bestFit="1" customWidth="1"/>
    <col min="8977" max="8977" width="8.7109375" style="14" bestFit="1" customWidth="1"/>
    <col min="8978" max="9216" width="9.140625" style="14"/>
    <col min="9217" max="9217" width="4.42578125" style="14" bestFit="1" customWidth="1"/>
    <col min="9218" max="9218" width="13.85546875" style="14" bestFit="1" customWidth="1"/>
    <col min="9219" max="9219" width="11.28515625" style="14" bestFit="1" customWidth="1"/>
    <col min="9220" max="9220" width="14.5703125" style="14" bestFit="1" customWidth="1"/>
    <col min="9221" max="9221" width="4.5703125" style="14" bestFit="1" customWidth="1"/>
    <col min="9222" max="9222" width="22.140625" style="14" bestFit="1" customWidth="1"/>
    <col min="9223" max="9223" width="24.140625" style="14" bestFit="1" customWidth="1"/>
    <col min="9224" max="9224" width="10.7109375" style="14" bestFit="1" customWidth="1"/>
    <col min="9225" max="9225" width="20" style="14" bestFit="1" customWidth="1"/>
    <col min="9226" max="9226" width="11.85546875" style="14" bestFit="1" customWidth="1"/>
    <col min="9227" max="9227" width="10.42578125" style="14" bestFit="1" customWidth="1"/>
    <col min="9228" max="9228" width="42.28515625" style="14" bestFit="1" customWidth="1"/>
    <col min="9229" max="9229" width="13.5703125" style="14" bestFit="1" customWidth="1"/>
    <col min="9230" max="9230" width="7.7109375" style="14" bestFit="1" customWidth="1"/>
    <col min="9231" max="9231" width="10.7109375" style="14" bestFit="1" customWidth="1"/>
    <col min="9232" max="9232" width="9.28515625" style="14" bestFit="1" customWidth="1"/>
    <col min="9233" max="9233" width="8.7109375" style="14" bestFit="1" customWidth="1"/>
    <col min="9234" max="9472" width="9.140625" style="14"/>
    <col min="9473" max="9473" width="4.42578125" style="14" bestFit="1" customWidth="1"/>
    <col min="9474" max="9474" width="13.85546875" style="14" bestFit="1" customWidth="1"/>
    <col min="9475" max="9475" width="11.28515625" style="14" bestFit="1" customWidth="1"/>
    <col min="9476" max="9476" width="14.5703125" style="14" bestFit="1" customWidth="1"/>
    <col min="9477" max="9477" width="4.5703125" style="14" bestFit="1" customWidth="1"/>
    <col min="9478" max="9478" width="22.140625" style="14" bestFit="1" customWidth="1"/>
    <col min="9479" max="9479" width="24.140625" style="14" bestFit="1" customWidth="1"/>
    <col min="9480" max="9480" width="10.7109375" style="14" bestFit="1" customWidth="1"/>
    <col min="9481" max="9481" width="20" style="14" bestFit="1" customWidth="1"/>
    <col min="9482" max="9482" width="11.85546875" style="14" bestFit="1" customWidth="1"/>
    <col min="9483" max="9483" width="10.42578125" style="14" bestFit="1" customWidth="1"/>
    <col min="9484" max="9484" width="42.28515625" style="14" bestFit="1" customWidth="1"/>
    <col min="9485" max="9485" width="13.5703125" style="14" bestFit="1" customWidth="1"/>
    <col min="9486" max="9486" width="7.7109375" style="14" bestFit="1" customWidth="1"/>
    <col min="9487" max="9487" width="10.7109375" style="14" bestFit="1" customWidth="1"/>
    <col min="9488" max="9488" width="9.28515625" style="14" bestFit="1" customWidth="1"/>
    <col min="9489" max="9489" width="8.7109375" style="14" bestFit="1" customWidth="1"/>
    <col min="9490" max="9728" width="9.140625" style="14"/>
    <col min="9729" max="9729" width="4.42578125" style="14" bestFit="1" customWidth="1"/>
    <col min="9730" max="9730" width="13.85546875" style="14" bestFit="1" customWidth="1"/>
    <col min="9731" max="9731" width="11.28515625" style="14" bestFit="1" customWidth="1"/>
    <col min="9732" max="9732" width="14.5703125" style="14" bestFit="1" customWidth="1"/>
    <col min="9733" max="9733" width="4.5703125" style="14" bestFit="1" customWidth="1"/>
    <col min="9734" max="9734" width="22.140625" style="14" bestFit="1" customWidth="1"/>
    <col min="9735" max="9735" width="24.140625" style="14" bestFit="1" customWidth="1"/>
    <col min="9736" max="9736" width="10.7109375" style="14" bestFit="1" customWidth="1"/>
    <col min="9737" max="9737" width="20" style="14" bestFit="1" customWidth="1"/>
    <col min="9738" max="9738" width="11.85546875" style="14" bestFit="1" customWidth="1"/>
    <col min="9739" max="9739" width="10.42578125" style="14" bestFit="1" customWidth="1"/>
    <col min="9740" max="9740" width="42.28515625" style="14" bestFit="1" customWidth="1"/>
    <col min="9741" max="9741" width="13.5703125" style="14" bestFit="1" customWidth="1"/>
    <col min="9742" max="9742" width="7.7109375" style="14" bestFit="1" customWidth="1"/>
    <col min="9743" max="9743" width="10.7109375" style="14" bestFit="1" customWidth="1"/>
    <col min="9744" max="9744" width="9.28515625" style="14" bestFit="1" customWidth="1"/>
    <col min="9745" max="9745" width="8.7109375" style="14" bestFit="1" customWidth="1"/>
    <col min="9746" max="9984" width="9.140625" style="14"/>
    <col min="9985" max="9985" width="4.42578125" style="14" bestFit="1" customWidth="1"/>
    <col min="9986" max="9986" width="13.85546875" style="14" bestFit="1" customWidth="1"/>
    <col min="9987" max="9987" width="11.28515625" style="14" bestFit="1" customWidth="1"/>
    <col min="9988" max="9988" width="14.5703125" style="14" bestFit="1" customWidth="1"/>
    <col min="9989" max="9989" width="4.5703125" style="14" bestFit="1" customWidth="1"/>
    <col min="9990" max="9990" width="22.140625" style="14" bestFit="1" customWidth="1"/>
    <col min="9991" max="9991" width="24.140625" style="14" bestFit="1" customWidth="1"/>
    <col min="9992" max="9992" width="10.7109375" style="14" bestFit="1" customWidth="1"/>
    <col min="9993" max="9993" width="20" style="14" bestFit="1" customWidth="1"/>
    <col min="9994" max="9994" width="11.85546875" style="14" bestFit="1" customWidth="1"/>
    <col min="9995" max="9995" width="10.42578125" style="14" bestFit="1" customWidth="1"/>
    <col min="9996" max="9996" width="42.28515625" style="14" bestFit="1" customWidth="1"/>
    <col min="9997" max="9997" width="13.5703125" style="14" bestFit="1" customWidth="1"/>
    <col min="9998" max="9998" width="7.7109375" style="14" bestFit="1" customWidth="1"/>
    <col min="9999" max="9999" width="10.7109375" style="14" bestFit="1" customWidth="1"/>
    <col min="10000" max="10000" width="9.28515625" style="14" bestFit="1" customWidth="1"/>
    <col min="10001" max="10001" width="8.7109375" style="14" bestFit="1" customWidth="1"/>
    <col min="10002" max="10240" width="9.140625" style="14"/>
    <col min="10241" max="10241" width="4.42578125" style="14" bestFit="1" customWidth="1"/>
    <col min="10242" max="10242" width="13.85546875" style="14" bestFit="1" customWidth="1"/>
    <col min="10243" max="10243" width="11.28515625" style="14" bestFit="1" customWidth="1"/>
    <col min="10244" max="10244" width="14.5703125" style="14" bestFit="1" customWidth="1"/>
    <col min="10245" max="10245" width="4.5703125" style="14" bestFit="1" customWidth="1"/>
    <col min="10246" max="10246" width="22.140625" style="14" bestFit="1" customWidth="1"/>
    <col min="10247" max="10247" width="24.140625" style="14" bestFit="1" customWidth="1"/>
    <col min="10248" max="10248" width="10.7109375" style="14" bestFit="1" customWidth="1"/>
    <col min="10249" max="10249" width="20" style="14" bestFit="1" customWidth="1"/>
    <col min="10250" max="10250" width="11.85546875" style="14" bestFit="1" customWidth="1"/>
    <col min="10251" max="10251" width="10.42578125" style="14" bestFit="1" customWidth="1"/>
    <col min="10252" max="10252" width="42.28515625" style="14" bestFit="1" customWidth="1"/>
    <col min="10253" max="10253" width="13.5703125" style="14" bestFit="1" customWidth="1"/>
    <col min="10254" max="10254" width="7.7109375" style="14" bestFit="1" customWidth="1"/>
    <col min="10255" max="10255" width="10.7109375" style="14" bestFit="1" customWidth="1"/>
    <col min="10256" max="10256" width="9.28515625" style="14" bestFit="1" customWidth="1"/>
    <col min="10257" max="10257" width="8.7109375" style="14" bestFit="1" customWidth="1"/>
    <col min="10258" max="10496" width="9.140625" style="14"/>
    <col min="10497" max="10497" width="4.42578125" style="14" bestFit="1" customWidth="1"/>
    <col min="10498" max="10498" width="13.85546875" style="14" bestFit="1" customWidth="1"/>
    <col min="10499" max="10499" width="11.28515625" style="14" bestFit="1" customWidth="1"/>
    <col min="10500" max="10500" width="14.5703125" style="14" bestFit="1" customWidth="1"/>
    <col min="10501" max="10501" width="4.5703125" style="14" bestFit="1" customWidth="1"/>
    <col min="10502" max="10502" width="22.140625" style="14" bestFit="1" customWidth="1"/>
    <col min="10503" max="10503" width="24.140625" style="14" bestFit="1" customWidth="1"/>
    <col min="10504" max="10504" width="10.7109375" style="14" bestFit="1" customWidth="1"/>
    <col min="10505" max="10505" width="20" style="14" bestFit="1" customWidth="1"/>
    <col min="10506" max="10506" width="11.85546875" style="14" bestFit="1" customWidth="1"/>
    <col min="10507" max="10507" width="10.42578125" style="14" bestFit="1" customWidth="1"/>
    <col min="10508" max="10508" width="42.28515625" style="14" bestFit="1" customWidth="1"/>
    <col min="10509" max="10509" width="13.5703125" style="14" bestFit="1" customWidth="1"/>
    <col min="10510" max="10510" width="7.7109375" style="14" bestFit="1" customWidth="1"/>
    <col min="10511" max="10511" width="10.7109375" style="14" bestFit="1" customWidth="1"/>
    <col min="10512" max="10512" width="9.28515625" style="14" bestFit="1" customWidth="1"/>
    <col min="10513" max="10513" width="8.7109375" style="14" bestFit="1" customWidth="1"/>
    <col min="10514" max="10752" width="9.140625" style="14"/>
    <col min="10753" max="10753" width="4.42578125" style="14" bestFit="1" customWidth="1"/>
    <col min="10754" max="10754" width="13.85546875" style="14" bestFit="1" customWidth="1"/>
    <col min="10755" max="10755" width="11.28515625" style="14" bestFit="1" customWidth="1"/>
    <col min="10756" max="10756" width="14.5703125" style="14" bestFit="1" customWidth="1"/>
    <col min="10757" max="10757" width="4.5703125" style="14" bestFit="1" customWidth="1"/>
    <col min="10758" max="10758" width="22.140625" style="14" bestFit="1" customWidth="1"/>
    <col min="10759" max="10759" width="24.140625" style="14" bestFit="1" customWidth="1"/>
    <col min="10760" max="10760" width="10.7109375" style="14" bestFit="1" customWidth="1"/>
    <col min="10761" max="10761" width="20" style="14" bestFit="1" customWidth="1"/>
    <col min="10762" max="10762" width="11.85546875" style="14" bestFit="1" customWidth="1"/>
    <col min="10763" max="10763" width="10.42578125" style="14" bestFit="1" customWidth="1"/>
    <col min="10764" max="10764" width="42.28515625" style="14" bestFit="1" customWidth="1"/>
    <col min="10765" max="10765" width="13.5703125" style="14" bestFit="1" customWidth="1"/>
    <col min="10766" max="10766" width="7.7109375" style="14" bestFit="1" customWidth="1"/>
    <col min="10767" max="10767" width="10.7109375" style="14" bestFit="1" customWidth="1"/>
    <col min="10768" max="10768" width="9.28515625" style="14" bestFit="1" customWidth="1"/>
    <col min="10769" max="10769" width="8.7109375" style="14" bestFit="1" customWidth="1"/>
    <col min="10770" max="11008" width="9.140625" style="14"/>
    <col min="11009" max="11009" width="4.42578125" style="14" bestFit="1" customWidth="1"/>
    <col min="11010" max="11010" width="13.85546875" style="14" bestFit="1" customWidth="1"/>
    <col min="11011" max="11011" width="11.28515625" style="14" bestFit="1" customWidth="1"/>
    <col min="11012" max="11012" width="14.5703125" style="14" bestFit="1" customWidth="1"/>
    <col min="11013" max="11013" width="4.5703125" style="14" bestFit="1" customWidth="1"/>
    <col min="11014" max="11014" width="22.140625" style="14" bestFit="1" customWidth="1"/>
    <col min="11015" max="11015" width="24.140625" style="14" bestFit="1" customWidth="1"/>
    <col min="11016" max="11016" width="10.7109375" style="14" bestFit="1" customWidth="1"/>
    <col min="11017" max="11017" width="20" style="14" bestFit="1" customWidth="1"/>
    <col min="11018" max="11018" width="11.85546875" style="14" bestFit="1" customWidth="1"/>
    <col min="11019" max="11019" width="10.42578125" style="14" bestFit="1" customWidth="1"/>
    <col min="11020" max="11020" width="42.28515625" style="14" bestFit="1" customWidth="1"/>
    <col min="11021" max="11021" width="13.5703125" style="14" bestFit="1" customWidth="1"/>
    <col min="11022" max="11022" width="7.7109375" style="14" bestFit="1" customWidth="1"/>
    <col min="11023" max="11023" width="10.7109375" style="14" bestFit="1" customWidth="1"/>
    <col min="11024" max="11024" width="9.28515625" style="14" bestFit="1" customWidth="1"/>
    <col min="11025" max="11025" width="8.7109375" style="14" bestFit="1" customWidth="1"/>
    <col min="11026" max="11264" width="9.140625" style="14"/>
    <col min="11265" max="11265" width="4.42578125" style="14" bestFit="1" customWidth="1"/>
    <col min="11266" max="11266" width="13.85546875" style="14" bestFit="1" customWidth="1"/>
    <col min="11267" max="11267" width="11.28515625" style="14" bestFit="1" customWidth="1"/>
    <col min="11268" max="11268" width="14.5703125" style="14" bestFit="1" customWidth="1"/>
    <col min="11269" max="11269" width="4.5703125" style="14" bestFit="1" customWidth="1"/>
    <col min="11270" max="11270" width="22.140625" style="14" bestFit="1" customWidth="1"/>
    <col min="11271" max="11271" width="24.140625" style="14" bestFit="1" customWidth="1"/>
    <col min="11272" max="11272" width="10.7109375" style="14" bestFit="1" customWidth="1"/>
    <col min="11273" max="11273" width="20" style="14" bestFit="1" customWidth="1"/>
    <col min="11274" max="11274" width="11.85546875" style="14" bestFit="1" customWidth="1"/>
    <col min="11275" max="11275" width="10.42578125" style="14" bestFit="1" customWidth="1"/>
    <col min="11276" max="11276" width="42.28515625" style="14" bestFit="1" customWidth="1"/>
    <col min="11277" max="11277" width="13.5703125" style="14" bestFit="1" customWidth="1"/>
    <col min="11278" max="11278" width="7.7109375" style="14" bestFit="1" customWidth="1"/>
    <col min="11279" max="11279" width="10.7109375" style="14" bestFit="1" customWidth="1"/>
    <col min="11280" max="11280" width="9.28515625" style="14" bestFit="1" customWidth="1"/>
    <col min="11281" max="11281" width="8.7109375" style="14" bestFit="1" customWidth="1"/>
    <col min="11282" max="11520" width="9.140625" style="14"/>
    <col min="11521" max="11521" width="4.42578125" style="14" bestFit="1" customWidth="1"/>
    <col min="11522" max="11522" width="13.85546875" style="14" bestFit="1" customWidth="1"/>
    <col min="11523" max="11523" width="11.28515625" style="14" bestFit="1" customWidth="1"/>
    <col min="11524" max="11524" width="14.5703125" style="14" bestFit="1" customWidth="1"/>
    <col min="11525" max="11525" width="4.5703125" style="14" bestFit="1" customWidth="1"/>
    <col min="11526" max="11526" width="22.140625" style="14" bestFit="1" customWidth="1"/>
    <col min="11527" max="11527" width="24.140625" style="14" bestFit="1" customWidth="1"/>
    <col min="11528" max="11528" width="10.7109375" style="14" bestFit="1" customWidth="1"/>
    <col min="11529" max="11529" width="20" style="14" bestFit="1" customWidth="1"/>
    <col min="11530" max="11530" width="11.85546875" style="14" bestFit="1" customWidth="1"/>
    <col min="11531" max="11531" width="10.42578125" style="14" bestFit="1" customWidth="1"/>
    <col min="11532" max="11532" width="42.28515625" style="14" bestFit="1" customWidth="1"/>
    <col min="11533" max="11533" width="13.5703125" style="14" bestFit="1" customWidth="1"/>
    <col min="11534" max="11534" width="7.7109375" style="14" bestFit="1" customWidth="1"/>
    <col min="11535" max="11535" width="10.7109375" style="14" bestFit="1" customWidth="1"/>
    <col min="11536" max="11536" width="9.28515625" style="14" bestFit="1" customWidth="1"/>
    <col min="11537" max="11537" width="8.7109375" style="14" bestFit="1" customWidth="1"/>
    <col min="11538" max="11776" width="9.140625" style="14"/>
    <col min="11777" max="11777" width="4.42578125" style="14" bestFit="1" customWidth="1"/>
    <col min="11778" max="11778" width="13.85546875" style="14" bestFit="1" customWidth="1"/>
    <col min="11779" max="11779" width="11.28515625" style="14" bestFit="1" customWidth="1"/>
    <col min="11780" max="11780" width="14.5703125" style="14" bestFit="1" customWidth="1"/>
    <col min="11781" max="11781" width="4.5703125" style="14" bestFit="1" customWidth="1"/>
    <col min="11782" max="11782" width="22.140625" style="14" bestFit="1" customWidth="1"/>
    <col min="11783" max="11783" width="24.140625" style="14" bestFit="1" customWidth="1"/>
    <col min="11784" max="11784" width="10.7109375" style="14" bestFit="1" customWidth="1"/>
    <col min="11785" max="11785" width="20" style="14" bestFit="1" customWidth="1"/>
    <col min="11786" max="11786" width="11.85546875" style="14" bestFit="1" customWidth="1"/>
    <col min="11787" max="11787" width="10.42578125" style="14" bestFit="1" customWidth="1"/>
    <col min="11788" max="11788" width="42.28515625" style="14" bestFit="1" customWidth="1"/>
    <col min="11789" max="11789" width="13.5703125" style="14" bestFit="1" customWidth="1"/>
    <col min="11790" max="11790" width="7.7109375" style="14" bestFit="1" customWidth="1"/>
    <col min="11791" max="11791" width="10.7109375" style="14" bestFit="1" customWidth="1"/>
    <col min="11792" max="11792" width="9.28515625" style="14" bestFit="1" customWidth="1"/>
    <col min="11793" max="11793" width="8.7109375" style="14" bestFit="1" customWidth="1"/>
    <col min="11794" max="12032" width="9.140625" style="14"/>
    <col min="12033" max="12033" width="4.42578125" style="14" bestFit="1" customWidth="1"/>
    <col min="12034" max="12034" width="13.85546875" style="14" bestFit="1" customWidth="1"/>
    <col min="12035" max="12035" width="11.28515625" style="14" bestFit="1" customWidth="1"/>
    <col min="12036" max="12036" width="14.5703125" style="14" bestFit="1" customWidth="1"/>
    <col min="12037" max="12037" width="4.5703125" style="14" bestFit="1" customWidth="1"/>
    <col min="12038" max="12038" width="22.140625" style="14" bestFit="1" customWidth="1"/>
    <col min="12039" max="12039" width="24.140625" style="14" bestFit="1" customWidth="1"/>
    <col min="12040" max="12040" width="10.7109375" style="14" bestFit="1" customWidth="1"/>
    <col min="12041" max="12041" width="20" style="14" bestFit="1" customWidth="1"/>
    <col min="12042" max="12042" width="11.85546875" style="14" bestFit="1" customWidth="1"/>
    <col min="12043" max="12043" width="10.42578125" style="14" bestFit="1" customWidth="1"/>
    <col min="12044" max="12044" width="42.28515625" style="14" bestFit="1" customWidth="1"/>
    <col min="12045" max="12045" width="13.5703125" style="14" bestFit="1" customWidth="1"/>
    <col min="12046" max="12046" width="7.7109375" style="14" bestFit="1" customWidth="1"/>
    <col min="12047" max="12047" width="10.7109375" style="14" bestFit="1" customWidth="1"/>
    <col min="12048" max="12048" width="9.28515625" style="14" bestFit="1" customWidth="1"/>
    <col min="12049" max="12049" width="8.7109375" style="14" bestFit="1" customWidth="1"/>
    <col min="12050" max="12288" width="9.140625" style="14"/>
    <col min="12289" max="12289" width="4.42578125" style="14" bestFit="1" customWidth="1"/>
    <col min="12290" max="12290" width="13.85546875" style="14" bestFit="1" customWidth="1"/>
    <col min="12291" max="12291" width="11.28515625" style="14" bestFit="1" customWidth="1"/>
    <col min="12292" max="12292" width="14.5703125" style="14" bestFit="1" customWidth="1"/>
    <col min="12293" max="12293" width="4.5703125" style="14" bestFit="1" customWidth="1"/>
    <col min="12294" max="12294" width="22.140625" style="14" bestFit="1" customWidth="1"/>
    <col min="12295" max="12295" width="24.140625" style="14" bestFit="1" customWidth="1"/>
    <col min="12296" max="12296" width="10.7109375" style="14" bestFit="1" customWidth="1"/>
    <col min="12297" max="12297" width="20" style="14" bestFit="1" customWidth="1"/>
    <col min="12298" max="12298" width="11.85546875" style="14" bestFit="1" customWidth="1"/>
    <col min="12299" max="12299" width="10.42578125" style="14" bestFit="1" customWidth="1"/>
    <col min="12300" max="12300" width="42.28515625" style="14" bestFit="1" customWidth="1"/>
    <col min="12301" max="12301" width="13.5703125" style="14" bestFit="1" customWidth="1"/>
    <col min="12302" max="12302" width="7.7109375" style="14" bestFit="1" customWidth="1"/>
    <col min="12303" max="12303" width="10.7109375" style="14" bestFit="1" customWidth="1"/>
    <col min="12304" max="12304" width="9.28515625" style="14" bestFit="1" customWidth="1"/>
    <col min="12305" max="12305" width="8.7109375" style="14" bestFit="1" customWidth="1"/>
    <col min="12306" max="12544" width="9.140625" style="14"/>
    <col min="12545" max="12545" width="4.42578125" style="14" bestFit="1" customWidth="1"/>
    <col min="12546" max="12546" width="13.85546875" style="14" bestFit="1" customWidth="1"/>
    <col min="12547" max="12547" width="11.28515625" style="14" bestFit="1" customWidth="1"/>
    <col min="12548" max="12548" width="14.5703125" style="14" bestFit="1" customWidth="1"/>
    <col min="12549" max="12549" width="4.5703125" style="14" bestFit="1" customWidth="1"/>
    <col min="12550" max="12550" width="22.140625" style="14" bestFit="1" customWidth="1"/>
    <col min="12551" max="12551" width="24.140625" style="14" bestFit="1" customWidth="1"/>
    <col min="12552" max="12552" width="10.7109375" style="14" bestFit="1" customWidth="1"/>
    <col min="12553" max="12553" width="20" style="14" bestFit="1" customWidth="1"/>
    <col min="12554" max="12554" width="11.85546875" style="14" bestFit="1" customWidth="1"/>
    <col min="12555" max="12555" width="10.42578125" style="14" bestFit="1" customWidth="1"/>
    <col min="12556" max="12556" width="42.28515625" style="14" bestFit="1" customWidth="1"/>
    <col min="12557" max="12557" width="13.5703125" style="14" bestFit="1" customWidth="1"/>
    <col min="12558" max="12558" width="7.7109375" style="14" bestFit="1" customWidth="1"/>
    <col min="12559" max="12559" width="10.7109375" style="14" bestFit="1" customWidth="1"/>
    <col min="12560" max="12560" width="9.28515625" style="14" bestFit="1" customWidth="1"/>
    <col min="12561" max="12561" width="8.7109375" style="14" bestFit="1" customWidth="1"/>
    <col min="12562" max="12800" width="9.140625" style="14"/>
    <col min="12801" max="12801" width="4.42578125" style="14" bestFit="1" customWidth="1"/>
    <col min="12802" max="12802" width="13.85546875" style="14" bestFit="1" customWidth="1"/>
    <col min="12803" max="12803" width="11.28515625" style="14" bestFit="1" customWidth="1"/>
    <col min="12804" max="12804" width="14.5703125" style="14" bestFit="1" customWidth="1"/>
    <col min="12805" max="12805" width="4.5703125" style="14" bestFit="1" customWidth="1"/>
    <col min="12806" max="12806" width="22.140625" style="14" bestFit="1" customWidth="1"/>
    <col min="12807" max="12807" width="24.140625" style="14" bestFit="1" customWidth="1"/>
    <col min="12808" max="12808" width="10.7109375" style="14" bestFit="1" customWidth="1"/>
    <col min="12809" max="12809" width="20" style="14" bestFit="1" customWidth="1"/>
    <col min="12810" max="12810" width="11.85546875" style="14" bestFit="1" customWidth="1"/>
    <col min="12811" max="12811" width="10.42578125" style="14" bestFit="1" customWidth="1"/>
    <col min="12812" max="12812" width="42.28515625" style="14" bestFit="1" customWidth="1"/>
    <col min="12813" max="12813" width="13.5703125" style="14" bestFit="1" customWidth="1"/>
    <col min="12814" max="12814" width="7.7109375" style="14" bestFit="1" customWidth="1"/>
    <col min="12815" max="12815" width="10.7109375" style="14" bestFit="1" customWidth="1"/>
    <col min="12816" max="12816" width="9.28515625" style="14" bestFit="1" customWidth="1"/>
    <col min="12817" max="12817" width="8.7109375" style="14" bestFit="1" customWidth="1"/>
    <col min="12818" max="13056" width="9.140625" style="14"/>
    <col min="13057" max="13057" width="4.42578125" style="14" bestFit="1" customWidth="1"/>
    <col min="13058" max="13058" width="13.85546875" style="14" bestFit="1" customWidth="1"/>
    <col min="13059" max="13059" width="11.28515625" style="14" bestFit="1" customWidth="1"/>
    <col min="13060" max="13060" width="14.5703125" style="14" bestFit="1" customWidth="1"/>
    <col min="13061" max="13061" width="4.5703125" style="14" bestFit="1" customWidth="1"/>
    <col min="13062" max="13062" width="22.140625" style="14" bestFit="1" customWidth="1"/>
    <col min="13063" max="13063" width="24.140625" style="14" bestFit="1" customWidth="1"/>
    <col min="13064" max="13064" width="10.7109375" style="14" bestFit="1" customWidth="1"/>
    <col min="13065" max="13065" width="20" style="14" bestFit="1" customWidth="1"/>
    <col min="13066" max="13066" width="11.85546875" style="14" bestFit="1" customWidth="1"/>
    <col min="13067" max="13067" width="10.42578125" style="14" bestFit="1" customWidth="1"/>
    <col min="13068" max="13068" width="42.28515625" style="14" bestFit="1" customWidth="1"/>
    <col min="13069" max="13069" width="13.5703125" style="14" bestFit="1" customWidth="1"/>
    <col min="13070" max="13070" width="7.7109375" style="14" bestFit="1" customWidth="1"/>
    <col min="13071" max="13071" width="10.7109375" style="14" bestFit="1" customWidth="1"/>
    <col min="13072" max="13072" width="9.28515625" style="14" bestFit="1" customWidth="1"/>
    <col min="13073" max="13073" width="8.7109375" style="14" bestFit="1" customWidth="1"/>
    <col min="13074" max="13312" width="9.140625" style="14"/>
    <col min="13313" max="13313" width="4.42578125" style="14" bestFit="1" customWidth="1"/>
    <col min="13314" max="13314" width="13.85546875" style="14" bestFit="1" customWidth="1"/>
    <col min="13315" max="13315" width="11.28515625" style="14" bestFit="1" customWidth="1"/>
    <col min="13316" max="13316" width="14.5703125" style="14" bestFit="1" customWidth="1"/>
    <col min="13317" max="13317" width="4.5703125" style="14" bestFit="1" customWidth="1"/>
    <col min="13318" max="13318" width="22.140625" style="14" bestFit="1" customWidth="1"/>
    <col min="13319" max="13319" width="24.140625" style="14" bestFit="1" customWidth="1"/>
    <col min="13320" max="13320" width="10.7109375" style="14" bestFit="1" customWidth="1"/>
    <col min="13321" max="13321" width="20" style="14" bestFit="1" customWidth="1"/>
    <col min="13322" max="13322" width="11.85546875" style="14" bestFit="1" customWidth="1"/>
    <col min="13323" max="13323" width="10.42578125" style="14" bestFit="1" customWidth="1"/>
    <col min="13324" max="13324" width="42.28515625" style="14" bestFit="1" customWidth="1"/>
    <col min="13325" max="13325" width="13.5703125" style="14" bestFit="1" customWidth="1"/>
    <col min="13326" max="13326" width="7.7109375" style="14" bestFit="1" customWidth="1"/>
    <col min="13327" max="13327" width="10.7109375" style="14" bestFit="1" customWidth="1"/>
    <col min="13328" max="13328" width="9.28515625" style="14" bestFit="1" customWidth="1"/>
    <col min="13329" max="13329" width="8.7109375" style="14" bestFit="1" customWidth="1"/>
    <col min="13330" max="13568" width="9.140625" style="14"/>
    <col min="13569" max="13569" width="4.42578125" style="14" bestFit="1" customWidth="1"/>
    <col min="13570" max="13570" width="13.85546875" style="14" bestFit="1" customWidth="1"/>
    <col min="13571" max="13571" width="11.28515625" style="14" bestFit="1" customWidth="1"/>
    <col min="13572" max="13572" width="14.5703125" style="14" bestFit="1" customWidth="1"/>
    <col min="13573" max="13573" width="4.5703125" style="14" bestFit="1" customWidth="1"/>
    <col min="13574" max="13574" width="22.140625" style="14" bestFit="1" customWidth="1"/>
    <col min="13575" max="13575" width="24.140625" style="14" bestFit="1" customWidth="1"/>
    <col min="13576" max="13576" width="10.7109375" style="14" bestFit="1" customWidth="1"/>
    <col min="13577" max="13577" width="20" style="14" bestFit="1" customWidth="1"/>
    <col min="13578" max="13578" width="11.85546875" style="14" bestFit="1" customWidth="1"/>
    <col min="13579" max="13579" width="10.42578125" style="14" bestFit="1" customWidth="1"/>
    <col min="13580" max="13580" width="42.28515625" style="14" bestFit="1" customWidth="1"/>
    <col min="13581" max="13581" width="13.5703125" style="14" bestFit="1" customWidth="1"/>
    <col min="13582" max="13582" width="7.7109375" style="14" bestFit="1" customWidth="1"/>
    <col min="13583" max="13583" width="10.7109375" style="14" bestFit="1" customWidth="1"/>
    <col min="13584" max="13584" width="9.28515625" style="14" bestFit="1" customWidth="1"/>
    <col min="13585" max="13585" width="8.7109375" style="14" bestFit="1" customWidth="1"/>
    <col min="13586" max="13824" width="9.140625" style="14"/>
    <col min="13825" max="13825" width="4.42578125" style="14" bestFit="1" customWidth="1"/>
    <col min="13826" max="13826" width="13.85546875" style="14" bestFit="1" customWidth="1"/>
    <col min="13827" max="13827" width="11.28515625" style="14" bestFit="1" customWidth="1"/>
    <col min="13828" max="13828" width="14.5703125" style="14" bestFit="1" customWidth="1"/>
    <col min="13829" max="13829" width="4.5703125" style="14" bestFit="1" customWidth="1"/>
    <col min="13830" max="13830" width="22.140625" style="14" bestFit="1" customWidth="1"/>
    <col min="13831" max="13831" width="24.140625" style="14" bestFit="1" customWidth="1"/>
    <col min="13832" max="13832" width="10.7109375" style="14" bestFit="1" customWidth="1"/>
    <col min="13833" max="13833" width="20" style="14" bestFit="1" customWidth="1"/>
    <col min="13834" max="13834" width="11.85546875" style="14" bestFit="1" customWidth="1"/>
    <col min="13835" max="13835" width="10.42578125" style="14" bestFit="1" customWidth="1"/>
    <col min="13836" max="13836" width="42.28515625" style="14" bestFit="1" customWidth="1"/>
    <col min="13837" max="13837" width="13.5703125" style="14" bestFit="1" customWidth="1"/>
    <col min="13838" max="13838" width="7.7109375" style="14" bestFit="1" customWidth="1"/>
    <col min="13839" max="13839" width="10.7109375" style="14" bestFit="1" customWidth="1"/>
    <col min="13840" max="13840" width="9.28515625" style="14" bestFit="1" customWidth="1"/>
    <col min="13841" max="13841" width="8.7109375" style="14" bestFit="1" customWidth="1"/>
    <col min="13842" max="14080" width="9.140625" style="14"/>
    <col min="14081" max="14081" width="4.42578125" style="14" bestFit="1" customWidth="1"/>
    <col min="14082" max="14082" width="13.85546875" style="14" bestFit="1" customWidth="1"/>
    <col min="14083" max="14083" width="11.28515625" style="14" bestFit="1" customWidth="1"/>
    <col min="14084" max="14084" width="14.5703125" style="14" bestFit="1" customWidth="1"/>
    <col min="14085" max="14085" width="4.5703125" style="14" bestFit="1" customWidth="1"/>
    <col min="14086" max="14086" width="22.140625" style="14" bestFit="1" customWidth="1"/>
    <col min="14087" max="14087" width="24.140625" style="14" bestFit="1" customWidth="1"/>
    <col min="14088" max="14088" width="10.7109375" style="14" bestFit="1" customWidth="1"/>
    <col min="14089" max="14089" width="20" style="14" bestFit="1" customWidth="1"/>
    <col min="14090" max="14090" width="11.85546875" style="14" bestFit="1" customWidth="1"/>
    <col min="14091" max="14091" width="10.42578125" style="14" bestFit="1" customWidth="1"/>
    <col min="14092" max="14092" width="42.28515625" style="14" bestFit="1" customWidth="1"/>
    <col min="14093" max="14093" width="13.5703125" style="14" bestFit="1" customWidth="1"/>
    <col min="14094" max="14094" width="7.7109375" style="14" bestFit="1" customWidth="1"/>
    <col min="14095" max="14095" width="10.7109375" style="14" bestFit="1" customWidth="1"/>
    <col min="14096" max="14096" width="9.28515625" style="14" bestFit="1" customWidth="1"/>
    <col min="14097" max="14097" width="8.7109375" style="14" bestFit="1" customWidth="1"/>
    <col min="14098" max="14336" width="9.140625" style="14"/>
    <col min="14337" max="14337" width="4.42578125" style="14" bestFit="1" customWidth="1"/>
    <col min="14338" max="14338" width="13.85546875" style="14" bestFit="1" customWidth="1"/>
    <col min="14339" max="14339" width="11.28515625" style="14" bestFit="1" customWidth="1"/>
    <col min="14340" max="14340" width="14.5703125" style="14" bestFit="1" customWidth="1"/>
    <col min="14341" max="14341" width="4.5703125" style="14" bestFit="1" customWidth="1"/>
    <col min="14342" max="14342" width="22.140625" style="14" bestFit="1" customWidth="1"/>
    <col min="14343" max="14343" width="24.140625" style="14" bestFit="1" customWidth="1"/>
    <col min="14344" max="14344" width="10.7109375" style="14" bestFit="1" customWidth="1"/>
    <col min="14345" max="14345" width="20" style="14" bestFit="1" customWidth="1"/>
    <col min="14346" max="14346" width="11.85546875" style="14" bestFit="1" customWidth="1"/>
    <col min="14347" max="14347" width="10.42578125" style="14" bestFit="1" customWidth="1"/>
    <col min="14348" max="14348" width="42.28515625" style="14" bestFit="1" customWidth="1"/>
    <col min="14349" max="14349" width="13.5703125" style="14" bestFit="1" customWidth="1"/>
    <col min="14350" max="14350" width="7.7109375" style="14" bestFit="1" customWidth="1"/>
    <col min="14351" max="14351" width="10.7109375" style="14" bestFit="1" customWidth="1"/>
    <col min="14352" max="14352" width="9.28515625" style="14" bestFit="1" customWidth="1"/>
    <col min="14353" max="14353" width="8.7109375" style="14" bestFit="1" customWidth="1"/>
    <col min="14354" max="14592" width="9.140625" style="14"/>
    <col min="14593" max="14593" width="4.42578125" style="14" bestFit="1" customWidth="1"/>
    <col min="14594" max="14594" width="13.85546875" style="14" bestFit="1" customWidth="1"/>
    <col min="14595" max="14595" width="11.28515625" style="14" bestFit="1" customWidth="1"/>
    <col min="14596" max="14596" width="14.5703125" style="14" bestFit="1" customWidth="1"/>
    <col min="14597" max="14597" width="4.5703125" style="14" bestFit="1" customWidth="1"/>
    <col min="14598" max="14598" width="22.140625" style="14" bestFit="1" customWidth="1"/>
    <col min="14599" max="14599" width="24.140625" style="14" bestFit="1" customWidth="1"/>
    <col min="14600" max="14600" width="10.7109375" style="14" bestFit="1" customWidth="1"/>
    <col min="14601" max="14601" width="20" style="14" bestFit="1" customWidth="1"/>
    <col min="14602" max="14602" width="11.85546875" style="14" bestFit="1" customWidth="1"/>
    <col min="14603" max="14603" width="10.42578125" style="14" bestFit="1" customWidth="1"/>
    <col min="14604" max="14604" width="42.28515625" style="14" bestFit="1" customWidth="1"/>
    <col min="14605" max="14605" width="13.5703125" style="14" bestFit="1" customWidth="1"/>
    <col min="14606" max="14606" width="7.7109375" style="14" bestFit="1" customWidth="1"/>
    <col min="14607" max="14607" width="10.7109375" style="14" bestFit="1" customWidth="1"/>
    <col min="14608" max="14608" width="9.28515625" style="14" bestFit="1" customWidth="1"/>
    <col min="14609" max="14609" width="8.7109375" style="14" bestFit="1" customWidth="1"/>
    <col min="14610" max="14848" width="9.140625" style="14"/>
    <col min="14849" max="14849" width="4.42578125" style="14" bestFit="1" customWidth="1"/>
    <col min="14850" max="14850" width="13.85546875" style="14" bestFit="1" customWidth="1"/>
    <col min="14851" max="14851" width="11.28515625" style="14" bestFit="1" customWidth="1"/>
    <col min="14852" max="14852" width="14.5703125" style="14" bestFit="1" customWidth="1"/>
    <col min="14853" max="14853" width="4.5703125" style="14" bestFit="1" customWidth="1"/>
    <col min="14854" max="14854" width="22.140625" style="14" bestFit="1" customWidth="1"/>
    <col min="14855" max="14855" width="24.140625" style="14" bestFit="1" customWidth="1"/>
    <col min="14856" max="14856" width="10.7109375" style="14" bestFit="1" customWidth="1"/>
    <col min="14857" max="14857" width="20" style="14" bestFit="1" customWidth="1"/>
    <col min="14858" max="14858" width="11.85546875" style="14" bestFit="1" customWidth="1"/>
    <col min="14859" max="14859" width="10.42578125" style="14" bestFit="1" customWidth="1"/>
    <col min="14860" max="14860" width="42.28515625" style="14" bestFit="1" customWidth="1"/>
    <col min="14861" max="14861" width="13.5703125" style="14" bestFit="1" customWidth="1"/>
    <col min="14862" max="14862" width="7.7109375" style="14" bestFit="1" customWidth="1"/>
    <col min="14863" max="14863" width="10.7109375" style="14" bestFit="1" customWidth="1"/>
    <col min="14864" max="14864" width="9.28515625" style="14" bestFit="1" customWidth="1"/>
    <col min="14865" max="14865" width="8.7109375" style="14" bestFit="1" customWidth="1"/>
    <col min="14866" max="15104" width="9.140625" style="14"/>
    <col min="15105" max="15105" width="4.42578125" style="14" bestFit="1" customWidth="1"/>
    <col min="15106" max="15106" width="13.85546875" style="14" bestFit="1" customWidth="1"/>
    <col min="15107" max="15107" width="11.28515625" style="14" bestFit="1" customWidth="1"/>
    <col min="15108" max="15108" width="14.5703125" style="14" bestFit="1" customWidth="1"/>
    <col min="15109" max="15109" width="4.5703125" style="14" bestFit="1" customWidth="1"/>
    <col min="15110" max="15110" width="22.140625" style="14" bestFit="1" customWidth="1"/>
    <col min="15111" max="15111" width="24.140625" style="14" bestFit="1" customWidth="1"/>
    <col min="15112" max="15112" width="10.7109375" style="14" bestFit="1" customWidth="1"/>
    <col min="15113" max="15113" width="20" style="14" bestFit="1" customWidth="1"/>
    <col min="15114" max="15114" width="11.85546875" style="14" bestFit="1" customWidth="1"/>
    <col min="15115" max="15115" width="10.42578125" style="14" bestFit="1" customWidth="1"/>
    <col min="15116" max="15116" width="42.28515625" style="14" bestFit="1" customWidth="1"/>
    <col min="15117" max="15117" width="13.5703125" style="14" bestFit="1" customWidth="1"/>
    <col min="15118" max="15118" width="7.7109375" style="14" bestFit="1" customWidth="1"/>
    <col min="15119" max="15119" width="10.7109375" style="14" bestFit="1" customWidth="1"/>
    <col min="15120" max="15120" width="9.28515625" style="14" bestFit="1" customWidth="1"/>
    <col min="15121" max="15121" width="8.7109375" style="14" bestFit="1" customWidth="1"/>
    <col min="15122" max="15360" width="9.140625" style="14"/>
    <col min="15361" max="15361" width="4.42578125" style="14" bestFit="1" customWidth="1"/>
    <col min="15362" max="15362" width="13.85546875" style="14" bestFit="1" customWidth="1"/>
    <col min="15363" max="15363" width="11.28515625" style="14" bestFit="1" customWidth="1"/>
    <col min="15364" max="15364" width="14.5703125" style="14" bestFit="1" customWidth="1"/>
    <col min="15365" max="15365" width="4.5703125" style="14" bestFit="1" customWidth="1"/>
    <col min="15366" max="15366" width="22.140625" style="14" bestFit="1" customWidth="1"/>
    <col min="15367" max="15367" width="24.140625" style="14" bestFit="1" customWidth="1"/>
    <col min="15368" max="15368" width="10.7109375" style="14" bestFit="1" customWidth="1"/>
    <col min="15369" max="15369" width="20" style="14" bestFit="1" customWidth="1"/>
    <col min="15370" max="15370" width="11.85546875" style="14" bestFit="1" customWidth="1"/>
    <col min="15371" max="15371" width="10.42578125" style="14" bestFit="1" customWidth="1"/>
    <col min="15372" max="15372" width="42.28515625" style="14" bestFit="1" customWidth="1"/>
    <col min="15373" max="15373" width="13.5703125" style="14" bestFit="1" customWidth="1"/>
    <col min="15374" max="15374" width="7.7109375" style="14" bestFit="1" customWidth="1"/>
    <col min="15375" max="15375" width="10.7109375" style="14" bestFit="1" customWidth="1"/>
    <col min="15376" max="15376" width="9.28515625" style="14" bestFit="1" customWidth="1"/>
    <col min="15377" max="15377" width="8.7109375" style="14" bestFit="1" customWidth="1"/>
    <col min="15378" max="15616" width="9.140625" style="14"/>
    <col min="15617" max="15617" width="4.42578125" style="14" bestFit="1" customWidth="1"/>
    <col min="15618" max="15618" width="13.85546875" style="14" bestFit="1" customWidth="1"/>
    <col min="15619" max="15619" width="11.28515625" style="14" bestFit="1" customWidth="1"/>
    <col min="15620" max="15620" width="14.5703125" style="14" bestFit="1" customWidth="1"/>
    <col min="15621" max="15621" width="4.5703125" style="14" bestFit="1" customWidth="1"/>
    <col min="15622" max="15622" width="22.140625" style="14" bestFit="1" customWidth="1"/>
    <col min="15623" max="15623" width="24.140625" style="14" bestFit="1" customWidth="1"/>
    <col min="15624" max="15624" width="10.7109375" style="14" bestFit="1" customWidth="1"/>
    <col min="15625" max="15625" width="20" style="14" bestFit="1" customWidth="1"/>
    <col min="15626" max="15626" width="11.85546875" style="14" bestFit="1" customWidth="1"/>
    <col min="15627" max="15627" width="10.42578125" style="14" bestFit="1" customWidth="1"/>
    <col min="15628" max="15628" width="42.28515625" style="14" bestFit="1" customWidth="1"/>
    <col min="15629" max="15629" width="13.5703125" style="14" bestFit="1" customWidth="1"/>
    <col min="15630" max="15630" width="7.7109375" style="14" bestFit="1" customWidth="1"/>
    <col min="15631" max="15631" width="10.7109375" style="14" bestFit="1" customWidth="1"/>
    <col min="15632" max="15632" width="9.28515625" style="14" bestFit="1" customWidth="1"/>
    <col min="15633" max="15633" width="8.7109375" style="14" bestFit="1" customWidth="1"/>
    <col min="15634" max="15872" width="9.140625" style="14"/>
    <col min="15873" max="15873" width="4.42578125" style="14" bestFit="1" customWidth="1"/>
    <col min="15874" max="15874" width="13.85546875" style="14" bestFit="1" customWidth="1"/>
    <col min="15875" max="15875" width="11.28515625" style="14" bestFit="1" customWidth="1"/>
    <col min="15876" max="15876" width="14.5703125" style="14" bestFit="1" customWidth="1"/>
    <col min="15877" max="15877" width="4.5703125" style="14" bestFit="1" customWidth="1"/>
    <col min="15878" max="15878" width="22.140625" style="14" bestFit="1" customWidth="1"/>
    <col min="15879" max="15879" width="24.140625" style="14" bestFit="1" customWidth="1"/>
    <col min="15880" max="15880" width="10.7109375" style="14" bestFit="1" customWidth="1"/>
    <col min="15881" max="15881" width="20" style="14" bestFit="1" customWidth="1"/>
    <col min="15882" max="15882" width="11.85546875" style="14" bestFit="1" customWidth="1"/>
    <col min="15883" max="15883" width="10.42578125" style="14" bestFit="1" customWidth="1"/>
    <col min="15884" max="15884" width="42.28515625" style="14" bestFit="1" customWidth="1"/>
    <col min="15885" max="15885" width="13.5703125" style="14" bestFit="1" customWidth="1"/>
    <col min="15886" max="15886" width="7.7109375" style="14" bestFit="1" customWidth="1"/>
    <col min="15887" max="15887" width="10.7109375" style="14" bestFit="1" customWidth="1"/>
    <col min="15888" max="15888" width="9.28515625" style="14" bestFit="1" customWidth="1"/>
    <col min="15889" max="15889" width="8.7109375" style="14" bestFit="1" customWidth="1"/>
    <col min="15890" max="16128" width="9.140625" style="14"/>
    <col min="16129" max="16129" width="4.42578125" style="14" bestFit="1" customWidth="1"/>
    <col min="16130" max="16130" width="13.85546875" style="14" bestFit="1" customWidth="1"/>
    <col min="16131" max="16131" width="11.28515625" style="14" bestFit="1" customWidth="1"/>
    <col min="16132" max="16132" width="14.5703125" style="14" bestFit="1" customWidth="1"/>
    <col min="16133" max="16133" width="4.5703125" style="14" bestFit="1" customWidth="1"/>
    <col min="16134" max="16134" width="22.140625" style="14" bestFit="1" customWidth="1"/>
    <col min="16135" max="16135" width="24.140625" style="14" bestFit="1" customWidth="1"/>
    <col min="16136" max="16136" width="10.7109375" style="14" bestFit="1" customWidth="1"/>
    <col min="16137" max="16137" width="20" style="14" bestFit="1" customWidth="1"/>
    <col min="16138" max="16138" width="11.85546875" style="14" bestFit="1" customWidth="1"/>
    <col min="16139" max="16139" width="10.42578125" style="14" bestFit="1" customWidth="1"/>
    <col min="16140" max="16140" width="42.28515625" style="14" bestFit="1" customWidth="1"/>
    <col min="16141" max="16141" width="13.5703125" style="14" bestFit="1" customWidth="1"/>
    <col min="16142" max="16142" width="7.7109375" style="14" bestFit="1" customWidth="1"/>
    <col min="16143" max="16143" width="10.7109375" style="14" bestFit="1" customWidth="1"/>
    <col min="16144" max="16144" width="9.28515625" style="14" bestFit="1" customWidth="1"/>
    <col min="16145" max="16145" width="8.7109375" style="14" bestFit="1" customWidth="1"/>
    <col min="16146" max="16384" width="9.140625" style="14"/>
  </cols>
  <sheetData>
    <row r="1" spans="1:17" ht="25.5" x14ac:dyDescent="0.2">
      <c r="A1" s="10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0</v>
      </c>
      <c r="I1" s="11" t="s">
        <v>37</v>
      </c>
      <c r="J1" s="11" t="s">
        <v>38</v>
      </c>
      <c r="K1" s="12" t="s">
        <v>39</v>
      </c>
      <c r="L1" s="11" t="s">
        <v>40</v>
      </c>
      <c r="M1" s="11" t="s">
        <v>41</v>
      </c>
      <c r="N1" s="10" t="s">
        <v>42</v>
      </c>
      <c r="O1" s="10" t="s">
        <v>43</v>
      </c>
      <c r="P1" s="10" t="s">
        <v>44</v>
      </c>
      <c r="Q1" s="13" t="s">
        <v>45</v>
      </c>
    </row>
    <row r="2" spans="1:17" ht="15" hidden="1" outlineLevel="2" x14ac:dyDescent="0.25">
      <c r="A2" s="15" t="s">
        <v>46</v>
      </c>
      <c r="B2" s="14" t="s">
        <v>47</v>
      </c>
      <c r="C2" s="14" t="s">
        <v>48</v>
      </c>
      <c r="D2" s="14" t="s">
        <v>49</v>
      </c>
      <c r="E2" s="16" t="s">
        <v>50</v>
      </c>
      <c r="F2" s="14" t="s">
        <v>51</v>
      </c>
      <c r="G2" s="14" t="s">
        <v>52</v>
      </c>
      <c r="H2" s="17">
        <v>5418.9394766711184</v>
      </c>
      <c r="I2" s="14" t="s">
        <v>53</v>
      </c>
      <c r="J2" s="18">
        <v>35292</v>
      </c>
      <c r="K2" s="18">
        <v>22893</v>
      </c>
      <c r="L2" s="14" t="s">
        <v>54</v>
      </c>
      <c r="M2" s="14" t="s">
        <v>55</v>
      </c>
      <c r="N2" s="19">
        <v>105000</v>
      </c>
      <c r="O2" s="19" t="s">
        <v>56</v>
      </c>
      <c r="P2" s="20" t="s">
        <v>57</v>
      </c>
      <c r="Q2" s="14">
        <v>1</v>
      </c>
    </row>
    <row r="3" spans="1:17" ht="15" hidden="1" outlineLevel="2" x14ac:dyDescent="0.25">
      <c r="A3" s="15" t="s">
        <v>58</v>
      </c>
      <c r="B3" s="14" t="s">
        <v>59</v>
      </c>
      <c r="C3" s="14" t="s">
        <v>60</v>
      </c>
      <c r="D3" s="14" t="s">
        <v>61</v>
      </c>
      <c r="E3" s="16" t="s">
        <v>50</v>
      </c>
      <c r="F3" s="14" t="s">
        <v>51</v>
      </c>
      <c r="G3" s="14" t="s">
        <v>62</v>
      </c>
      <c r="H3" s="17">
        <v>12707.398332184133</v>
      </c>
      <c r="I3" s="14" t="s">
        <v>63</v>
      </c>
      <c r="J3" s="18">
        <v>34380</v>
      </c>
      <c r="K3" s="18">
        <v>25186</v>
      </c>
      <c r="L3" s="14" t="s">
        <v>64</v>
      </c>
      <c r="M3" s="14" t="s">
        <v>55</v>
      </c>
      <c r="N3" s="19">
        <v>150020</v>
      </c>
      <c r="O3" s="19" t="s">
        <v>65</v>
      </c>
      <c r="P3" s="20" t="s">
        <v>57</v>
      </c>
      <c r="Q3" s="14">
        <v>1</v>
      </c>
    </row>
    <row r="4" spans="1:17" ht="15" hidden="1" outlineLevel="2" x14ac:dyDescent="0.25">
      <c r="A4" s="15" t="s">
        <v>66</v>
      </c>
      <c r="B4" s="14" t="s">
        <v>67</v>
      </c>
      <c r="C4" s="14" t="s">
        <v>68</v>
      </c>
      <c r="D4" s="14" t="s">
        <v>69</v>
      </c>
      <c r="E4" s="16" t="s">
        <v>50</v>
      </c>
      <c r="F4" s="14" t="s">
        <v>51</v>
      </c>
      <c r="G4" s="14" t="s">
        <v>70</v>
      </c>
      <c r="H4" s="17">
        <v>7041.4857976093836</v>
      </c>
      <c r="I4" s="14" t="s">
        <v>63</v>
      </c>
      <c r="J4" s="18">
        <v>35292</v>
      </c>
      <c r="K4" s="18">
        <v>21979</v>
      </c>
      <c r="L4" s="14" t="s">
        <v>71</v>
      </c>
      <c r="M4" s="14" t="s">
        <v>72</v>
      </c>
      <c r="N4" s="19" t="s">
        <v>73</v>
      </c>
      <c r="O4" s="19" t="s">
        <v>74</v>
      </c>
      <c r="P4" s="20" t="s">
        <v>57</v>
      </c>
      <c r="Q4" s="14">
        <v>1</v>
      </c>
    </row>
    <row r="5" spans="1:17" ht="15" hidden="1" outlineLevel="2" x14ac:dyDescent="0.25">
      <c r="A5" s="15" t="s">
        <v>75</v>
      </c>
      <c r="B5" s="14" t="s">
        <v>76</v>
      </c>
      <c r="C5" s="14" t="s">
        <v>77</v>
      </c>
      <c r="D5" s="14" t="s">
        <v>78</v>
      </c>
      <c r="E5" s="16" t="s">
        <v>50</v>
      </c>
      <c r="F5" s="14" t="s">
        <v>51</v>
      </c>
      <c r="G5" s="14" t="s">
        <v>79</v>
      </c>
      <c r="H5" s="17">
        <v>9017.0352559581006</v>
      </c>
      <c r="I5" s="14" t="s">
        <v>53</v>
      </c>
      <c r="J5" s="18">
        <v>35321</v>
      </c>
      <c r="K5" s="18">
        <v>22059</v>
      </c>
      <c r="L5" s="14" t="s">
        <v>80</v>
      </c>
      <c r="M5" s="14" t="s">
        <v>72</v>
      </c>
      <c r="N5" s="19" t="s">
        <v>81</v>
      </c>
      <c r="O5" s="19" t="s">
        <v>82</v>
      </c>
      <c r="P5" s="20" t="s">
        <v>57</v>
      </c>
      <c r="Q5" s="14">
        <v>1</v>
      </c>
    </row>
    <row r="6" spans="1:17" ht="15" hidden="1" outlineLevel="2" x14ac:dyDescent="0.25">
      <c r="A6" s="15" t="s">
        <v>83</v>
      </c>
      <c r="B6" s="14" t="s">
        <v>84</v>
      </c>
      <c r="C6" s="14" t="s">
        <v>85</v>
      </c>
      <c r="D6" s="14" t="s">
        <v>86</v>
      </c>
      <c r="E6" s="16" t="s">
        <v>87</v>
      </c>
      <c r="F6" s="14" t="s">
        <v>51</v>
      </c>
      <c r="G6" s="14" t="s">
        <v>88</v>
      </c>
      <c r="H6" s="17">
        <v>9510.0582876089993</v>
      </c>
      <c r="I6" s="14" t="s">
        <v>53</v>
      </c>
      <c r="J6" s="18">
        <v>35321</v>
      </c>
      <c r="K6" s="18">
        <v>23891</v>
      </c>
      <c r="L6" s="14" t="s">
        <v>89</v>
      </c>
      <c r="M6" s="14" t="s">
        <v>90</v>
      </c>
      <c r="N6" s="19">
        <v>100034</v>
      </c>
      <c r="O6" s="19" t="s">
        <v>91</v>
      </c>
      <c r="P6" s="20" t="s">
        <v>57</v>
      </c>
      <c r="Q6" s="14">
        <v>1</v>
      </c>
    </row>
    <row r="7" spans="1:17" ht="15" hidden="1" outlineLevel="2" x14ac:dyDescent="0.25">
      <c r="A7" s="15" t="s">
        <v>92</v>
      </c>
      <c r="B7" s="14" t="s">
        <v>93</v>
      </c>
      <c r="C7" s="14" t="s">
        <v>94</v>
      </c>
      <c r="D7" s="14" t="s">
        <v>95</v>
      </c>
      <c r="E7" s="16" t="s">
        <v>87</v>
      </c>
      <c r="F7" s="14" t="s">
        <v>51</v>
      </c>
      <c r="G7" s="14" t="s">
        <v>52</v>
      </c>
      <c r="H7" s="17">
        <v>7191.8240266017674</v>
      </c>
      <c r="I7" s="14" t="s">
        <v>53</v>
      </c>
      <c r="J7" s="18">
        <v>35321</v>
      </c>
      <c r="K7" s="18">
        <v>20104</v>
      </c>
      <c r="L7" s="14" t="s">
        <v>96</v>
      </c>
      <c r="M7" s="14" t="s">
        <v>55</v>
      </c>
      <c r="N7" s="19" t="s">
        <v>97</v>
      </c>
      <c r="O7" s="19" t="s">
        <v>98</v>
      </c>
      <c r="P7" s="20" t="s">
        <v>57</v>
      </c>
      <c r="Q7" s="14">
        <v>1</v>
      </c>
    </row>
    <row r="8" spans="1:17" ht="15" outlineLevel="1" collapsed="1" x14ac:dyDescent="0.25">
      <c r="A8" s="15"/>
      <c r="B8" s="14">
        <f>SUBTOTAL(3,B2:B7)</f>
        <v>6</v>
      </c>
      <c r="F8" s="28" t="s">
        <v>595</v>
      </c>
      <c r="H8" s="17"/>
      <c r="J8" s="18"/>
      <c r="K8" s="18"/>
      <c r="N8" s="19"/>
      <c r="O8" s="19"/>
      <c r="P8" s="20"/>
    </row>
    <row r="9" spans="1:17" ht="15" hidden="1" outlineLevel="2" x14ac:dyDescent="0.25">
      <c r="A9" s="15" t="s">
        <v>264</v>
      </c>
      <c r="B9" s="14" t="s">
        <v>265</v>
      </c>
      <c r="C9" s="14" t="s">
        <v>266</v>
      </c>
      <c r="D9" s="14" t="s">
        <v>267</v>
      </c>
      <c r="E9" s="16" t="s">
        <v>87</v>
      </c>
      <c r="F9" s="14" t="s">
        <v>268</v>
      </c>
      <c r="G9" s="14" t="s">
        <v>144</v>
      </c>
      <c r="H9" s="17">
        <v>10238.0106795096</v>
      </c>
      <c r="I9" s="14" t="s">
        <v>134</v>
      </c>
      <c r="J9" s="18">
        <v>35442</v>
      </c>
      <c r="K9" s="18">
        <v>24300</v>
      </c>
      <c r="L9" s="14" t="s">
        <v>269</v>
      </c>
      <c r="M9" s="14" t="s">
        <v>270</v>
      </c>
      <c r="N9" s="19">
        <v>193000</v>
      </c>
      <c r="O9" s="19" t="s">
        <v>271</v>
      </c>
      <c r="P9" s="20" t="s">
        <v>272</v>
      </c>
      <c r="Q9" s="14">
        <v>17</v>
      </c>
    </row>
    <row r="10" spans="1:17" ht="15" hidden="1" outlineLevel="2" x14ac:dyDescent="0.25">
      <c r="A10" s="15" t="s">
        <v>273</v>
      </c>
      <c r="B10" s="14" t="s">
        <v>274</v>
      </c>
      <c r="C10" s="14" t="s">
        <v>266</v>
      </c>
      <c r="D10" s="14" t="s">
        <v>95</v>
      </c>
      <c r="E10" s="16" t="s">
        <v>87</v>
      </c>
      <c r="F10" s="14" t="s">
        <v>268</v>
      </c>
      <c r="G10" s="14" t="s">
        <v>275</v>
      </c>
      <c r="H10" s="17">
        <v>10389.8779733723</v>
      </c>
      <c r="I10" s="14" t="s">
        <v>53</v>
      </c>
      <c r="J10" s="18">
        <v>35096</v>
      </c>
      <c r="K10" s="18">
        <v>25810</v>
      </c>
      <c r="L10" s="14" t="s">
        <v>276</v>
      </c>
      <c r="M10" s="14" t="s">
        <v>127</v>
      </c>
      <c r="N10" s="19" t="s">
        <v>277</v>
      </c>
      <c r="O10" s="19" t="s">
        <v>278</v>
      </c>
      <c r="P10" s="20" t="s">
        <v>279</v>
      </c>
      <c r="Q10" s="14">
        <v>18</v>
      </c>
    </row>
    <row r="11" spans="1:17" ht="15" hidden="1" outlineLevel="2" x14ac:dyDescent="0.25">
      <c r="A11" s="15" t="s">
        <v>280</v>
      </c>
      <c r="B11" s="14" t="s">
        <v>281</v>
      </c>
      <c r="C11" s="14" t="s">
        <v>94</v>
      </c>
      <c r="D11" s="14" t="s">
        <v>282</v>
      </c>
      <c r="E11" s="16" t="s">
        <v>87</v>
      </c>
      <c r="F11" s="14" t="s">
        <v>268</v>
      </c>
      <c r="G11" s="14" t="s">
        <v>253</v>
      </c>
      <c r="H11" s="17">
        <v>11142.1670754684</v>
      </c>
      <c r="I11" s="14" t="s">
        <v>63</v>
      </c>
      <c r="J11" s="18">
        <v>35208</v>
      </c>
      <c r="K11" s="18">
        <v>22913</v>
      </c>
      <c r="L11" s="14" t="s">
        <v>283</v>
      </c>
      <c r="M11" s="14" t="s">
        <v>72</v>
      </c>
      <c r="N11" s="19">
        <v>193001</v>
      </c>
      <c r="O11" s="19" t="s">
        <v>284</v>
      </c>
      <c r="P11" s="20" t="s">
        <v>279</v>
      </c>
      <c r="Q11" s="14">
        <v>18</v>
      </c>
    </row>
    <row r="12" spans="1:17" ht="15" hidden="1" outlineLevel="2" x14ac:dyDescent="0.25">
      <c r="A12" s="15" t="s">
        <v>314</v>
      </c>
      <c r="B12" s="14" t="s">
        <v>315</v>
      </c>
      <c r="C12" s="14" t="s">
        <v>316</v>
      </c>
      <c r="D12" s="14" t="s">
        <v>317</v>
      </c>
      <c r="E12" s="16" t="s">
        <v>50</v>
      </c>
      <c r="F12" s="14" t="s">
        <v>268</v>
      </c>
      <c r="G12" s="14" t="s">
        <v>104</v>
      </c>
      <c r="H12" s="17">
        <v>9406.7912250329755</v>
      </c>
      <c r="I12" s="14" t="s">
        <v>53</v>
      </c>
      <c r="J12" s="18">
        <v>35122</v>
      </c>
      <c r="K12" s="18">
        <v>22065</v>
      </c>
      <c r="L12" s="14" t="s">
        <v>318</v>
      </c>
      <c r="M12" s="14" t="s">
        <v>319</v>
      </c>
      <c r="N12" s="19" t="s">
        <v>320</v>
      </c>
      <c r="O12" s="19" t="s">
        <v>321</v>
      </c>
      <c r="P12" s="20" t="s">
        <v>322</v>
      </c>
      <c r="Q12" s="14">
        <v>20</v>
      </c>
    </row>
    <row r="13" spans="1:17" ht="15" hidden="1" outlineLevel="2" x14ac:dyDescent="0.25">
      <c r="A13" s="15" t="s">
        <v>323</v>
      </c>
      <c r="B13" s="14" t="s">
        <v>324</v>
      </c>
      <c r="C13" s="14" t="s">
        <v>325</v>
      </c>
      <c r="D13" s="14" t="s">
        <v>326</v>
      </c>
      <c r="E13" s="16" t="s">
        <v>50</v>
      </c>
      <c r="F13" s="14" t="s">
        <v>268</v>
      </c>
      <c r="G13" s="14" t="s">
        <v>253</v>
      </c>
      <c r="H13" s="17">
        <v>10117.7278312244</v>
      </c>
      <c r="I13" s="14" t="s">
        <v>134</v>
      </c>
      <c r="J13" s="18">
        <v>35258</v>
      </c>
      <c r="K13" s="18">
        <v>21979</v>
      </c>
      <c r="L13" s="14" t="s">
        <v>327</v>
      </c>
      <c r="M13" s="14" t="s">
        <v>55</v>
      </c>
      <c r="N13" s="19">
        <v>193002</v>
      </c>
      <c r="O13" s="19" t="s">
        <v>328</v>
      </c>
      <c r="P13" s="20" t="s">
        <v>322</v>
      </c>
      <c r="Q13" s="14">
        <v>20</v>
      </c>
    </row>
    <row r="14" spans="1:17" ht="15" hidden="1" outlineLevel="2" x14ac:dyDescent="0.25">
      <c r="A14" s="15" t="s">
        <v>329</v>
      </c>
      <c r="B14" s="14" t="s">
        <v>330</v>
      </c>
      <c r="C14" s="14" t="s">
        <v>331</v>
      </c>
      <c r="D14" s="14" t="s">
        <v>116</v>
      </c>
      <c r="E14" s="16" t="s">
        <v>87</v>
      </c>
      <c r="F14" s="14" t="s">
        <v>268</v>
      </c>
      <c r="G14" s="14" t="s">
        <v>311</v>
      </c>
      <c r="H14" s="17">
        <v>12247.747148017401</v>
      </c>
      <c r="I14" s="14" t="s">
        <v>63</v>
      </c>
      <c r="J14" s="18">
        <v>35290</v>
      </c>
      <c r="K14" s="18">
        <v>20100</v>
      </c>
      <c r="L14" s="14" t="s">
        <v>332</v>
      </c>
      <c r="M14" s="14" t="s">
        <v>55</v>
      </c>
      <c r="N14" s="19" t="s">
        <v>333</v>
      </c>
      <c r="O14" s="19" t="s">
        <v>334</v>
      </c>
      <c r="P14" s="20" t="s">
        <v>322</v>
      </c>
      <c r="Q14" s="14">
        <v>20</v>
      </c>
    </row>
    <row r="15" spans="1:17" ht="15" outlineLevel="1" collapsed="1" x14ac:dyDescent="0.25">
      <c r="A15" s="15"/>
      <c r="B15" s="14">
        <f>SUBTOTAL(3,B9:B14)</f>
        <v>6</v>
      </c>
      <c r="F15" s="28" t="s">
        <v>596</v>
      </c>
      <c r="H15" s="17"/>
      <c r="J15" s="18"/>
      <c r="K15" s="18"/>
      <c r="N15" s="19"/>
      <c r="O15" s="19"/>
      <c r="P15" s="20"/>
    </row>
    <row r="16" spans="1:17" ht="15" hidden="1" outlineLevel="2" x14ac:dyDescent="0.25">
      <c r="A16" s="15" t="s">
        <v>285</v>
      </c>
      <c r="B16" s="14" t="s">
        <v>286</v>
      </c>
      <c r="C16" s="14" t="s">
        <v>287</v>
      </c>
      <c r="D16" s="14" t="s">
        <v>288</v>
      </c>
      <c r="E16" s="16" t="s">
        <v>50</v>
      </c>
      <c r="F16" s="14" t="s">
        <v>289</v>
      </c>
      <c r="G16" s="14" t="s">
        <v>239</v>
      </c>
      <c r="H16" s="17">
        <v>11477.095535836535</v>
      </c>
      <c r="I16" s="14" t="s">
        <v>63</v>
      </c>
      <c r="J16" s="18">
        <v>35208</v>
      </c>
      <c r="K16" s="18">
        <v>25186</v>
      </c>
      <c r="L16" s="14" t="s">
        <v>290</v>
      </c>
      <c r="M16" s="14" t="s">
        <v>55</v>
      </c>
      <c r="N16" s="19">
        <v>112378</v>
      </c>
      <c r="O16" s="19" t="s">
        <v>291</v>
      </c>
      <c r="P16" s="20" t="s">
        <v>292</v>
      </c>
      <c r="Q16" s="14">
        <v>19</v>
      </c>
    </row>
    <row r="17" spans="1:17" ht="15" hidden="1" outlineLevel="2" x14ac:dyDescent="0.25">
      <c r="A17" s="15" t="s">
        <v>293</v>
      </c>
      <c r="B17" s="14" t="s">
        <v>294</v>
      </c>
      <c r="C17" s="14" t="s">
        <v>68</v>
      </c>
      <c r="D17" s="14" t="s">
        <v>124</v>
      </c>
      <c r="E17" s="16" t="s">
        <v>50</v>
      </c>
      <c r="F17" s="14" t="s">
        <v>289</v>
      </c>
      <c r="G17" s="14" t="s">
        <v>239</v>
      </c>
      <c r="H17" s="17">
        <v>5742.2490484559476</v>
      </c>
      <c r="I17" s="14" t="s">
        <v>63</v>
      </c>
      <c r="J17" s="18">
        <v>35290</v>
      </c>
      <c r="K17" s="18">
        <v>23891</v>
      </c>
      <c r="L17" s="14" t="s">
        <v>295</v>
      </c>
      <c r="M17" s="14" t="s">
        <v>55</v>
      </c>
      <c r="N17" s="19">
        <v>112432</v>
      </c>
      <c r="O17" s="19" t="s">
        <v>296</v>
      </c>
      <c r="P17" s="20" t="s">
        <v>292</v>
      </c>
      <c r="Q17" s="14">
        <v>19</v>
      </c>
    </row>
    <row r="18" spans="1:17" ht="15" hidden="1" outlineLevel="2" x14ac:dyDescent="0.25">
      <c r="A18" s="15" t="s">
        <v>297</v>
      </c>
      <c r="B18" s="14" t="s">
        <v>298</v>
      </c>
      <c r="C18" s="14" t="s">
        <v>299</v>
      </c>
      <c r="D18" s="14" t="s">
        <v>300</v>
      </c>
      <c r="E18" s="16" t="s">
        <v>50</v>
      </c>
      <c r="F18" s="14" t="s">
        <v>289</v>
      </c>
      <c r="G18" s="14" t="s">
        <v>144</v>
      </c>
      <c r="H18" s="17">
        <v>8081.7875863473264</v>
      </c>
      <c r="I18" s="14" t="s">
        <v>134</v>
      </c>
      <c r="J18" s="18">
        <v>35096</v>
      </c>
      <c r="K18" s="18">
        <v>24085</v>
      </c>
      <c r="L18" s="14" t="s">
        <v>301</v>
      </c>
      <c r="M18" s="14" t="s">
        <v>55</v>
      </c>
      <c r="N18" s="19">
        <v>132098</v>
      </c>
      <c r="O18" s="19" t="s">
        <v>302</v>
      </c>
      <c r="P18" s="20" t="s">
        <v>292</v>
      </c>
      <c r="Q18" s="14">
        <v>19</v>
      </c>
    </row>
    <row r="19" spans="1:17" ht="15" hidden="1" outlineLevel="2" x14ac:dyDescent="0.25">
      <c r="A19" s="15" t="s">
        <v>303</v>
      </c>
      <c r="B19" s="14" t="s">
        <v>304</v>
      </c>
      <c r="C19" s="14" t="s">
        <v>185</v>
      </c>
      <c r="D19" s="14" t="s">
        <v>305</v>
      </c>
      <c r="E19" s="16" t="s">
        <v>50</v>
      </c>
      <c r="F19" s="14" t="s">
        <v>289</v>
      </c>
      <c r="G19" s="14" t="s">
        <v>104</v>
      </c>
      <c r="H19" s="17">
        <v>7611.2957853310199</v>
      </c>
      <c r="I19" s="14" t="s">
        <v>134</v>
      </c>
      <c r="J19" s="18">
        <v>35332</v>
      </c>
      <c r="K19" s="18">
        <v>22893</v>
      </c>
      <c r="L19" s="14" t="s">
        <v>306</v>
      </c>
      <c r="M19" s="14" t="s">
        <v>55</v>
      </c>
      <c r="N19" s="19">
        <v>101765</v>
      </c>
      <c r="O19" s="19" t="s">
        <v>307</v>
      </c>
      <c r="P19" s="20" t="s">
        <v>292</v>
      </c>
      <c r="Q19" s="14">
        <v>19</v>
      </c>
    </row>
    <row r="20" spans="1:17" ht="15" hidden="1" outlineLevel="2" x14ac:dyDescent="0.25">
      <c r="A20" s="15" t="s">
        <v>308</v>
      </c>
      <c r="B20" s="14" t="s">
        <v>309</v>
      </c>
      <c r="C20" s="14" t="s">
        <v>168</v>
      </c>
      <c r="D20" s="14" t="s">
        <v>310</v>
      </c>
      <c r="E20" s="16" t="s">
        <v>50</v>
      </c>
      <c r="F20" s="14" t="s">
        <v>289</v>
      </c>
      <c r="G20" s="14" t="s">
        <v>311</v>
      </c>
      <c r="H20" s="17">
        <v>14336.118175428066</v>
      </c>
      <c r="I20" s="14" t="s">
        <v>63</v>
      </c>
      <c r="J20" s="18">
        <v>34380</v>
      </c>
      <c r="K20" s="18">
        <v>23757</v>
      </c>
      <c r="L20" s="14" t="s">
        <v>312</v>
      </c>
      <c r="M20" s="14" t="s">
        <v>55</v>
      </c>
      <c r="N20" s="19">
        <v>122307</v>
      </c>
      <c r="O20" s="19" t="s">
        <v>313</v>
      </c>
      <c r="P20" s="20" t="s">
        <v>292</v>
      </c>
      <c r="Q20" s="14">
        <v>19</v>
      </c>
    </row>
    <row r="21" spans="1:17" ht="15" outlineLevel="1" collapsed="1" x14ac:dyDescent="0.25">
      <c r="A21" s="15"/>
      <c r="B21" s="14">
        <f>SUBTOTAL(3,B16:B20)</f>
        <v>5</v>
      </c>
      <c r="F21" s="28" t="s">
        <v>597</v>
      </c>
      <c r="H21" s="17"/>
      <c r="J21" s="18"/>
      <c r="K21" s="18"/>
      <c r="N21" s="19"/>
      <c r="O21" s="19"/>
      <c r="P21" s="20"/>
    </row>
    <row r="22" spans="1:17" ht="15" hidden="1" outlineLevel="2" x14ac:dyDescent="0.25">
      <c r="A22" s="15" t="s">
        <v>388</v>
      </c>
      <c r="B22" s="14" t="s">
        <v>389</v>
      </c>
      <c r="C22" s="14" t="s">
        <v>68</v>
      </c>
      <c r="D22" s="14" t="s">
        <v>69</v>
      </c>
      <c r="E22" s="16" t="s">
        <v>50</v>
      </c>
      <c r="F22" s="14" t="s">
        <v>390</v>
      </c>
      <c r="G22" s="14" t="s">
        <v>391</v>
      </c>
      <c r="H22" s="17">
        <v>9453.2607782707091</v>
      </c>
      <c r="I22" s="14" t="s">
        <v>63</v>
      </c>
      <c r="J22" s="18">
        <v>34714</v>
      </c>
      <c r="K22" s="18">
        <v>22250</v>
      </c>
      <c r="L22" s="14" t="s">
        <v>301</v>
      </c>
      <c r="M22" s="14" t="s">
        <v>55</v>
      </c>
      <c r="N22" s="19">
        <v>101888</v>
      </c>
      <c r="O22" s="19" t="s">
        <v>392</v>
      </c>
      <c r="P22" s="20" t="s">
        <v>393</v>
      </c>
      <c r="Q22" s="14">
        <v>31</v>
      </c>
    </row>
    <row r="23" spans="1:17" ht="15" hidden="1" outlineLevel="2" x14ac:dyDescent="0.25">
      <c r="A23" s="15" t="s">
        <v>394</v>
      </c>
      <c r="B23" s="21" t="s">
        <v>395</v>
      </c>
      <c r="C23" s="21" t="s">
        <v>325</v>
      </c>
      <c r="D23" s="14" t="s">
        <v>396</v>
      </c>
      <c r="E23" s="16" t="s">
        <v>50</v>
      </c>
      <c r="F23" s="14" t="s">
        <v>390</v>
      </c>
      <c r="G23" s="21" t="s">
        <v>397</v>
      </c>
      <c r="H23" s="17">
        <v>13104.8464892221</v>
      </c>
      <c r="I23" s="14" t="s">
        <v>134</v>
      </c>
      <c r="J23" s="18">
        <v>35445</v>
      </c>
      <c r="K23" s="18">
        <v>26821</v>
      </c>
      <c r="L23" s="14" t="s">
        <v>398</v>
      </c>
      <c r="M23" s="14" t="s">
        <v>72</v>
      </c>
      <c r="N23" s="19">
        <v>155888</v>
      </c>
      <c r="O23" s="19" t="s">
        <v>399</v>
      </c>
      <c r="P23" s="20" t="s">
        <v>393</v>
      </c>
      <c r="Q23" s="14">
        <v>31</v>
      </c>
    </row>
    <row r="24" spans="1:17" ht="15" hidden="1" outlineLevel="2" x14ac:dyDescent="0.25">
      <c r="A24" s="15" t="s">
        <v>400</v>
      </c>
      <c r="B24" s="21" t="s">
        <v>401</v>
      </c>
      <c r="C24" s="21" t="s">
        <v>402</v>
      </c>
      <c r="D24" s="14" t="s">
        <v>69</v>
      </c>
      <c r="E24" s="16" t="s">
        <v>50</v>
      </c>
      <c r="F24" s="14" t="s">
        <v>390</v>
      </c>
      <c r="G24" s="21" t="s">
        <v>403</v>
      </c>
      <c r="H24" s="17">
        <v>8415.0990823491975</v>
      </c>
      <c r="I24" s="14" t="s">
        <v>134</v>
      </c>
      <c r="J24" s="18">
        <v>34788</v>
      </c>
      <c r="K24" s="18">
        <v>22908</v>
      </c>
      <c r="L24" s="14" t="s">
        <v>404</v>
      </c>
      <c r="M24" s="14" t="s">
        <v>55</v>
      </c>
      <c r="N24" s="19">
        <v>129543</v>
      </c>
      <c r="O24" s="19" t="s">
        <v>405</v>
      </c>
      <c r="P24" s="20" t="s">
        <v>393</v>
      </c>
      <c r="Q24" s="14">
        <v>31</v>
      </c>
    </row>
    <row r="25" spans="1:17" ht="15" hidden="1" outlineLevel="2" x14ac:dyDescent="0.25">
      <c r="A25" s="15" t="s">
        <v>406</v>
      </c>
      <c r="B25" s="14" t="s">
        <v>407</v>
      </c>
      <c r="C25" s="14" t="s">
        <v>316</v>
      </c>
      <c r="D25" s="14" t="s">
        <v>174</v>
      </c>
      <c r="E25" s="16" t="s">
        <v>50</v>
      </c>
      <c r="F25" s="14" t="s">
        <v>390</v>
      </c>
      <c r="G25" s="14" t="s">
        <v>391</v>
      </c>
      <c r="H25" s="17">
        <v>12616.153463888215</v>
      </c>
      <c r="I25" s="14" t="s">
        <v>63</v>
      </c>
      <c r="J25" s="18">
        <v>34759</v>
      </c>
      <c r="K25" s="18">
        <v>22927</v>
      </c>
      <c r="L25" s="14" t="s">
        <v>408</v>
      </c>
      <c r="M25" s="14" t="s">
        <v>55</v>
      </c>
      <c r="N25" s="19">
        <v>126765</v>
      </c>
      <c r="O25" s="19" t="s">
        <v>409</v>
      </c>
      <c r="P25" s="20" t="s">
        <v>393</v>
      </c>
      <c r="Q25" s="14">
        <v>31</v>
      </c>
    </row>
    <row r="26" spans="1:17" ht="15" hidden="1" outlineLevel="2" x14ac:dyDescent="0.25">
      <c r="A26" s="15" t="s">
        <v>410</v>
      </c>
      <c r="B26" s="21" t="s">
        <v>411</v>
      </c>
      <c r="C26" s="21" t="s">
        <v>412</v>
      </c>
      <c r="D26" s="14" t="s">
        <v>326</v>
      </c>
      <c r="E26" s="16" t="s">
        <v>50</v>
      </c>
      <c r="F26" s="14" t="s">
        <v>390</v>
      </c>
      <c r="G26" s="21" t="s">
        <v>403</v>
      </c>
      <c r="H26" s="17">
        <v>5356.4388461651015</v>
      </c>
      <c r="I26" s="14" t="s">
        <v>63</v>
      </c>
      <c r="J26" s="18">
        <v>35258</v>
      </c>
      <c r="K26" s="18">
        <v>21600</v>
      </c>
      <c r="L26" s="14" t="s">
        <v>413</v>
      </c>
      <c r="M26" s="14" t="s">
        <v>55</v>
      </c>
      <c r="N26" s="19">
        <v>121644</v>
      </c>
      <c r="O26" s="19" t="s">
        <v>74</v>
      </c>
      <c r="P26" s="20" t="s">
        <v>393</v>
      </c>
      <c r="Q26" s="14">
        <v>31</v>
      </c>
    </row>
    <row r="27" spans="1:17" ht="15" hidden="1" outlineLevel="2" x14ac:dyDescent="0.25">
      <c r="A27" s="15" t="s">
        <v>414</v>
      </c>
      <c r="B27" s="21" t="s">
        <v>415</v>
      </c>
      <c r="C27" s="21" t="s">
        <v>416</v>
      </c>
      <c r="D27" s="14" t="s">
        <v>417</v>
      </c>
      <c r="E27" s="16" t="s">
        <v>50</v>
      </c>
      <c r="F27" s="14" t="s">
        <v>390</v>
      </c>
      <c r="G27" s="21" t="s">
        <v>418</v>
      </c>
      <c r="H27" s="17">
        <v>7699.1781874603867</v>
      </c>
      <c r="I27" s="14" t="s">
        <v>63</v>
      </c>
      <c r="J27" s="18">
        <v>35442</v>
      </c>
      <c r="K27" s="18">
        <v>24134</v>
      </c>
      <c r="L27" s="14" t="s">
        <v>419</v>
      </c>
      <c r="M27" s="14" t="s">
        <v>55</v>
      </c>
      <c r="N27" s="19">
        <v>104255</v>
      </c>
      <c r="O27" s="19" t="s">
        <v>420</v>
      </c>
      <c r="P27" s="20" t="s">
        <v>393</v>
      </c>
      <c r="Q27" s="14">
        <v>31</v>
      </c>
    </row>
    <row r="28" spans="1:17" ht="15" hidden="1" outlineLevel="2" x14ac:dyDescent="0.25">
      <c r="A28" s="15" t="s">
        <v>421</v>
      </c>
      <c r="B28" s="21" t="s">
        <v>422</v>
      </c>
      <c r="C28" s="21" t="s">
        <v>168</v>
      </c>
      <c r="D28" s="14" t="s">
        <v>423</v>
      </c>
      <c r="E28" s="16" t="s">
        <v>50</v>
      </c>
      <c r="F28" s="14" t="s">
        <v>390</v>
      </c>
      <c r="G28" s="21" t="s">
        <v>418</v>
      </c>
      <c r="H28" s="17">
        <v>6769.9436427326746</v>
      </c>
      <c r="I28" s="14" t="s">
        <v>134</v>
      </c>
      <c r="J28" s="18">
        <v>35460</v>
      </c>
      <c r="K28" s="18">
        <v>21194</v>
      </c>
      <c r="L28" s="14" t="s">
        <v>424</v>
      </c>
      <c r="M28" s="14" t="s">
        <v>425</v>
      </c>
      <c r="N28" s="19">
        <v>111765</v>
      </c>
      <c r="O28" s="19" t="s">
        <v>74</v>
      </c>
      <c r="P28" s="20" t="s">
        <v>393</v>
      </c>
      <c r="Q28" s="14">
        <v>31</v>
      </c>
    </row>
    <row r="29" spans="1:17" ht="15" hidden="1" outlineLevel="2" x14ac:dyDescent="0.25">
      <c r="A29" s="15" t="s">
        <v>426</v>
      </c>
      <c r="B29" s="14" t="s">
        <v>427</v>
      </c>
      <c r="C29" s="14" t="s">
        <v>428</v>
      </c>
      <c r="D29" s="14" t="s">
        <v>429</v>
      </c>
      <c r="E29" s="16" t="s">
        <v>50</v>
      </c>
      <c r="F29" s="14" t="s">
        <v>390</v>
      </c>
      <c r="G29" s="14" t="s">
        <v>169</v>
      </c>
      <c r="H29" s="17">
        <v>8334.4812476725183</v>
      </c>
      <c r="I29" s="14" t="s">
        <v>53</v>
      </c>
      <c r="J29" s="18">
        <v>35504</v>
      </c>
      <c r="K29" s="18">
        <v>26553</v>
      </c>
      <c r="L29" s="14" t="s">
        <v>430</v>
      </c>
      <c r="M29" s="14" t="s">
        <v>55</v>
      </c>
      <c r="N29" s="19">
        <v>123454</v>
      </c>
      <c r="O29" s="19" t="s">
        <v>74</v>
      </c>
      <c r="P29" s="20" t="s">
        <v>393</v>
      </c>
      <c r="Q29" s="14">
        <v>31</v>
      </c>
    </row>
    <row r="30" spans="1:17" ht="15" hidden="1" outlineLevel="2" x14ac:dyDescent="0.25">
      <c r="A30" s="15" t="s">
        <v>431</v>
      </c>
      <c r="B30" s="21" t="s">
        <v>432</v>
      </c>
      <c r="C30" s="21" t="s">
        <v>433</v>
      </c>
      <c r="D30" s="14" t="s">
        <v>317</v>
      </c>
      <c r="E30" s="16" t="s">
        <v>50</v>
      </c>
      <c r="F30" s="14" t="s">
        <v>390</v>
      </c>
      <c r="G30" s="21" t="s">
        <v>403</v>
      </c>
      <c r="H30" s="17">
        <v>13349.155517093794</v>
      </c>
      <c r="I30" s="14" t="s">
        <v>63</v>
      </c>
      <c r="J30" s="18">
        <v>35122</v>
      </c>
      <c r="K30" s="18">
        <v>23253</v>
      </c>
      <c r="L30" s="14" t="s">
        <v>434</v>
      </c>
      <c r="M30" s="14" t="s">
        <v>127</v>
      </c>
      <c r="N30" s="19">
        <v>102008</v>
      </c>
      <c r="O30" s="19" t="s">
        <v>435</v>
      </c>
      <c r="P30" s="20" t="s">
        <v>393</v>
      </c>
      <c r="Q30" s="14">
        <v>31</v>
      </c>
    </row>
    <row r="31" spans="1:17" ht="15" hidden="1" outlineLevel="2" x14ac:dyDescent="0.25">
      <c r="A31" s="15" t="s">
        <v>436</v>
      </c>
      <c r="B31" s="21" t="s">
        <v>437</v>
      </c>
      <c r="C31" s="21" t="s">
        <v>316</v>
      </c>
      <c r="D31" s="14" t="s">
        <v>438</v>
      </c>
      <c r="E31" s="16" t="s">
        <v>50</v>
      </c>
      <c r="F31" s="14" t="s">
        <v>390</v>
      </c>
      <c r="G31" s="21" t="s">
        <v>418</v>
      </c>
      <c r="H31" s="17">
        <v>7045.2632223453566</v>
      </c>
      <c r="I31" s="14" t="s">
        <v>63</v>
      </c>
      <c r="J31" s="18">
        <v>35032</v>
      </c>
      <c r="K31" s="18">
        <v>22065</v>
      </c>
      <c r="L31" s="14" t="s">
        <v>439</v>
      </c>
      <c r="M31" s="14" t="s">
        <v>55</v>
      </c>
      <c r="N31" s="19">
        <v>128708</v>
      </c>
      <c r="O31" s="19" t="s">
        <v>440</v>
      </c>
      <c r="P31" s="20" t="s">
        <v>393</v>
      </c>
      <c r="Q31" s="14">
        <v>31</v>
      </c>
    </row>
    <row r="32" spans="1:17" ht="15" hidden="1" outlineLevel="2" x14ac:dyDescent="0.25">
      <c r="A32" s="15" t="s">
        <v>441</v>
      </c>
      <c r="B32" s="21" t="s">
        <v>442</v>
      </c>
      <c r="C32" s="21" t="s">
        <v>443</v>
      </c>
      <c r="D32" s="14" t="s">
        <v>225</v>
      </c>
      <c r="E32" s="16" t="s">
        <v>50</v>
      </c>
      <c r="F32" s="14" t="s">
        <v>390</v>
      </c>
      <c r="G32" s="21" t="s">
        <v>418</v>
      </c>
      <c r="H32" s="17">
        <v>6943.8446212997997</v>
      </c>
      <c r="I32" s="14" t="s">
        <v>63</v>
      </c>
      <c r="J32" s="18">
        <v>34955</v>
      </c>
      <c r="K32" s="18">
        <v>21979</v>
      </c>
      <c r="L32" s="14" t="s">
        <v>404</v>
      </c>
      <c r="M32" s="14" t="s">
        <v>55</v>
      </c>
      <c r="N32" s="19">
        <v>186599</v>
      </c>
      <c r="O32" s="19" t="s">
        <v>444</v>
      </c>
      <c r="P32" s="20" t="s">
        <v>393</v>
      </c>
      <c r="Q32" s="14">
        <v>31</v>
      </c>
    </row>
    <row r="33" spans="1:17" ht="15" hidden="1" outlineLevel="2" x14ac:dyDescent="0.25">
      <c r="A33" s="15" t="s">
        <v>456</v>
      </c>
      <c r="B33" s="21" t="s">
        <v>457</v>
      </c>
      <c r="C33" s="21" t="s">
        <v>458</v>
      </c>
      <c r="D33" s="14" t="s">
        <v>116</v>
      </c>
      <c r="E33" s="16" t="s">
        <v>87</v>
      </c>
      <c r="F33" s="14" t="s">
        <v>390</v>
      </c>
      <c r="G33" s="21" t="s">
        <v>459</v>
      </c>
      <c r="H33" s="17">
        <v>14142.038140808014</v>
      </c>
      <c r="I33" s="14" t="s">
        <v>63</v>
      </c>
      <c r="J33" s="18">
        <v>35153</v>
      </c>
      <c r="K33" s="18">
        <v>24814</v>
      </c>
      <c r="L33" s="14" t="s">
        <v>460</v>
      </c>
      <c r="M33" s="14" t="s">
        <v>55</v>
      </c>
      <c r="N33" s="19">
        <v>108644</v>
      </c>
      <c r="O33" s="19" t="s">
        <v>461</v>
      </c>
      <c r="P33" s="20" t="s">
        <v>393</v>
      </c>
      <c r="Q33" s="14">
        <v>31</v>
      </c>
    </row>
    <row r="34" spans="1:17" ht="15" outlineLevel="1" collapsed="1" x14ac:dyDescent="0.25">
      <c r="A34" s="15"/>
      <c r="B34" s="21">
        <f>SUBTOTAL(3,B22:B33)</f>
        <v>12</v>
      </c>
      <c r="C34" s="21"/>
      <c r="F34" s="28" t="s">
        <v>598</v>
      </c>
      <c r="G34" s="21"/>
      <c r="H34" s="17"/>
      <c r="J34" s="18"/>
      <c r="K34" s="18"/>
      <c r="N34" s="19"/>
      <c r="O34" s="19"/>
      <c r="P34" s="20"/>
    </row>
    <row r="35" spans="1:17" ht="15" hidden="1" outlineLevel="2" x14ac:dyDescent="0.25">
      <c r="A35" s="15" t="s">
        <v>139</v>
      </c>
      <c r="B35" s="14" t="s">
        <v>140</v>
      </c>
      <c r="C35" s="14" t="s">
        <v>141</v>
      </c>
      <c r="D35" s="14" t="s">
        <v>142</v>
      </c>
      <c r="E35" s="16" t="s">
        <v>87</v>
      </c>
      <c r="F35" s="14" t="s">
        <v>143</v>
      </c>
      <c r="G35" s="14" t="s">
        <v>144</v>
      </c>
      <c r="H35" s="17">
        <v>11744.058764424301</v>
      </c>
      <c r="I35" s="14" t="s">
        <v>134</v>
      </c>
      <c r="J35" s="18">
        <v>35122</v>
      </c>
      <c r="K35" s="18">
        <v>24085</v>
      </c>
      <c r="L35" s="14" t="s">
        <v>145</v>
      </c>
      <c r="M35" s="14" t="s">
        <v>55</v>
      </c>
      <c r="N35" s="19" t="s">
        <v>146</v>
      </c>
      <c r="O35" s="19" t="s">
        <v>147</v>
      </c>
      <c r="P35" s="20" t="s">
        <v>148</v>
      </c>
      <c r="Q35" s="14">
        <v>12</v>
      </c>
    </row>
    <row r="36" spans="1:17" ht="15" hidden="1" outlineLevel="2" x14ac:dyDescent="0.25">
      <c r="A36" s="15" t="s">
        <v>149</v>
      </c>
      <c r="B36" s="14" t="s">
        <v>150</v>
      </c>
      <c r="C36" s="14" t="s">
        <v>132</v>
      </c>
      <c r="D36" s="14" t="s">
        <v>151</v>
      </c>
      <c r="E36" s="16" t="s">
        <v>50</v>
      </c>
      <c r="F36" s="14" t="s">
        <v>143</v>
      </c>
      <c r="G36" s="14" t="s">
        <v>152</v>
      </c>
      <c r="H36" s="17">
        <v>10687.814774165099</v>
      </c>
      <c r="I36" s="14" t="s">
        <v>63</v>
      </c>
      <c r="J36" s="18">
        <v>34788</v>
      </c>
      <c r="K36" s="18">
        <v>25186</v>
      </c>
      <c r="L36" s="14" t="s">
        <v>153</v>
      </c>
      <c r="M36" s="14" t="s">
        <v>154</v>
      </c>
      <c r="N36" s="19">
        <v>145037</v>
      </c>
      <c r="O36" s="19" t="s">
        <v>155</v>
      </c>
      <c r="P36" s="20" t="s">
        <v>156</v>
      </c>
      <c r="Q36" s="14">
        <v>13</v>
      </c>
    </row>
    <row r="37" spans="1:17" ht="15" hidden="1" outlineLevel="2" x14ac:dyDescent="0.25">
      <c r="A37" s="15" t="s">
        <v>243</v>
      </c>
      <c r="B37" s="14" t="s">
        <v>244</v>
      </c>
      <c r="C37" s="14" t="s">
        <v>108</v>
      </c>
      <c r="D37" s="14" t="s">
        <v>238</v>
      </c>
      <c r="E37" s="16" t="s">
        <v>87</v>
      </c>
      <c r="F37" s="14" t="s">
        <v>143</v>
      </c>
      <c r="G37" s="14" t="s">
        <v>245</v>
      </c>
      <c r="H37" s="17">
        <v>6741.1748858595456</v>
      </c>
      <c r="I37" s="14" t="s">
        <v>53</v>
      </c>
      <c r="J37" s="18">
        <v>34955</v>
      </c>
      <c r="K37" s="18">
        <v>23891</v>
      </c>
      <c r="L37" s="14" t="s">
        <v>246</v>
      </c>
      <c r="M37" s="14" t="s">
        <v>55</v>
      </c>
      <c r="N37" s="19">
        <v>125026</v>
      </c>
      <c r="O37" s="19" t="s">
        <v>247</v>
      </c>
      <c r="P37" s="20" t="s">
        <v>248</v>
      </c>
      <c r="Q37" s="14">
        <v>15</v>
      </c>
    </row>
    <row r="38" spans="1:17" ht="15" hidden="1" outlineLevel="2" x14ac:dyDescent="0.25">
      <c r="A38" s="15" t="s">
        <v>249</v>
      </c>
      <c r="B38" s="14" t="s">
        <v>250</v>
      </c>
      <c r="C38" s="14" t="s">
        <v>251</v>
      </c>
      <c r="D38" s="14" t="s">
        <v>252</v>
      </c>
      <c r="E38" s="16" t="s">
        <v>87</v>
      </c>
      <c r="F38" s="14" t="s">
        <v>143</v>
      </c>
      <c r="G38" s="14" t="s">
        <v>253</v>
      </c>
      <c r="H38" s="17">
        <v>12924.048181149799</v>
      </c>
      <c r="I38" s="14" t="s">
        <v>63</v>
      </c>
      <c r="J38" s="18">
        <v>35032</v>
      </c>
      <c r="K38" s="18">
        <v>22893</v>
      </c>
      <c r="L38" s="14" t="s">
        <v>254</v>
      </c>
      <c r="M38" s="14" t="s">
        <v>55</v>
      </c>
      <c r="N38" s="19">
        <v>117740</v>
      </c>
      <c r="O38" s="19" t="s">
        <v>255</v>
      </c>
      <c r="P38" s="20" t="s">
        <v>248</v>
      </c>
      <c r="Q38" s="14">
        <v>15</v>
      </c>
    </row>
    <row r="39" spans="1:17" ht="15" hidden="1" outlineLevel="2" x14ac:dyDescent="0.25">
      <c r="A39" s="15" t="s">
        <v>256</v>
      </c>
      <c r="B39" s="14" t="s">
        <v>257</v>
      </c>
      <c r="C39" s="14" t="s">
        <v>258</v>
      </c>
      <c r="D39" s="14" t="s">
        <v>259</v>
      </c>
      <c r="E39" s="16" t="s">
        <v>50</v>
      </c>
      <c r="F39" s="14" t="s">
        <v>143</v>
      </c>
      <c r="G39" s="14" t="s">
        <v>104</v>
      </c>
      <c r="H39" s="17">
        <v>11395.712607802161</v>
      </c>
      <c r="I39" s="14" t="s">
        <v>134</v>
      </c>
      <c r="J39" s="18">
        <v>35460</v>
      </c>
      <c r="K39" s="18">
        <v>20104</v>
      </c>
      <c r="L39" s="14" t="s">
        <v>260</v>
      </c>
      <c r="M39" s="14" t="s">
        <v>261</v>
      </c>
      <c r="N39" s="19" t="s">
        <v>262</v>
      </c>
      <c r="O39" s="19" t="s">
        <v>74</v>
      </c>
      <c r="P39" s="20" t="s">
        <v>263</v>
      </c>
      <c r="Q39" s="14">
        <v>16</v>
      </c>
    </row>
    <row r="40" spans="1:17" ht="15" outlineLevel="1" collapsed="1" x14ac:dyDescent="0.25">
      <c r="A40" s="15"/>
      <c r="B40" s="14">
        <f>SUBTOTAL(3,B35:B39)</f>
        <v>5</v>
      </c>
      <c r="F40" s="28" t="s">
        <v>599</v>
      </c>
      <c r="H40" s="17"/>
      <c r="J40" s="18"/>
      <c r="K40" s="18"/>
      <c r="N40" s="19"/>
      <c r="O40" s="19"/>
      <c r="P40" s="20"/>
    </row>
    <row r="41" spans="1:17" ht="15" hidden="1" outlineLevel="2" x14ac:dyDescent="0.25">
      <c r="A41" s="15" t="s">
        <v>335</v>
      </c>
      <c r="B41" s="14" t="s">
        <v>336</v>
      </c>
      <c r="C41" s="14" t="s">
        <v>337</v>
      </c>
      <c r="D41" s="14" t="s">
        <v>225</v>
      </c>
      <c r="E41" s="16" t="s">
        <v>50</v>
      </c>
      <c r="F41" s="14" t="s">
        <v>338</v>
      </c>
      <c r="G41" s="14" t="s">
        <v>339</v>
      </c>
      <c r="H41" s="17">
        <v>8668.5274506055521</v>
      </c>
      <c r="I41" s="14" t="s">
        <v>180</v>
      </c>
      <c r="J41" s="18">
        <v>34955</v>
      </c>
      <c r="K41" s="18">
        <v>24134</v>
      </c>
      <c r="L41" s="14" t="s">
        <v>340</v>
      </c>
      <c r="M41" s="14" t="s">
        <v>55</v>
      </c>
      <c r="N41" s="19" t="s">
        <v>341</v>
      </c>
      <c r="O41" s="19" t="s">
        <v>74</v>
      </c>
      <c r="P41" s="20" t="s">
        <v>342</v>
      </c>
      <c r="Q41" s="14">
        <v>23</v>
      </c>
    </row>
    <row r="42" spans="1:17" ht="15" hidden="1" outlineLevel="2" x14ac:dyDescent="0.25">
      <c r="A42" s="15" t="s">
        <v>343</v>
      </c>
      <c r="B42" s="14" t="s">
        <v>344</v>
      </c>
      <c r="C42" s="14" t="s">
        <v>345</v>
      </c>
      <c r="D42" s="14" t="s">
        <v>346</v>
      </c>
      <c r="E42" s="16" t="s">
        <v>87</v>
      </c>
      <c r="F42" s="14" t="s">
        <v>338</v>
      </c>
      <c r="G42" s="14" t="s">
        <v>347</v>
      </c>
      <c r="H42" s="17">
        <v>11472.290380362065</v>
      </c>
      <c r="I42" s="14" t="s">
        <v>180</v>
      </c>
      <c r="J42" s="18">
        <v>35442</v>
      </c>
      <c r="K42" s="18">
        <v>22927</v>
      </c>
      <c r="L42" s="14" t="s">
        <v>348</v>
      </c>
      <c r="M42" s="14" t="s">
        <v>55</v>
      </c>
      <c r="N42" s="19">
        <v>193005</v>
      </c>
      <c r="O42" s="19" t="s">
        <v>349</v>
      </c>
      <c r="P42" s="20" t="s">
        <v>342</v>
      </c>
      <c r="Q42" s="14">
        <v>23</v>
      </c>
    </row>
    <row r="43" spans="1:17" ht="15" hidden="1" outlineLevel="2" x14ac:dyDescent="0.25">
      <c r="A43" s="15" t="s">
        <v>350</v>
      </c>
      <c r="B43" s="14" t="s">
        <v>351</v>
      </c>
      <c r="C43" s="14" t="s">
        <v>331</v>
      </c>
      <c r="D43" s="14" t="s">
        <v>352</v>
      </c>
      <c r="E43" s="16" t="s">
        <v>87</v>
      </c>
      <c r="F43" s="14" t="s">
        <v>338</v>
      </c>
      <c r="G43" s="14" t="s">
        <v>347</v>
      </c>
      <c r="H43" s="17">
        <v>6545.2883217567833</v>
      </c>
      <c r="I43" s="14" t="s">
        <v>180</v>
      </c>
      <c r="J43" s="18">
        <v>35445</v>
      </c>
      <c r="K43" s="18">
        <v>22250</v>
      </c>
      <c r="L43" s="14" t="s">
        <v>353</v>
      </c>
      <c r="M43" s="14" t="s">
        <v>55</v>
      </c>
      <c r="N43" s="19" t="s">
        <v>354</v>
      </c>
      <c r="O43" s="19" t="s">
        <v>355</v>
      </c>
      <c r="P43" s="20" t="s">
        <v>342</v>
      </c>
      <c r="Q43" s="14">
        <v>23</v>
      </c>
    </row>
    <row r="44" spans="1:17" ht="15" hidden="1" outlineLevel="2" x14ac:dyDescent="0.25">
      <c r="A44" s="15" t="s">
        <v>356</v>
      </c>
      <c r="B44" s="14" t="s">
        <v>357</v>
      </c>
      <c r="C44" s="14" t="s">
        <v>237</v>
      </c>
      <c r="D44" s="14" t="s">
        <v>282</v>
      </c>
      <c r="E44" s="16" t="s">
        <v>87</v>
      </c>
      <c r="F44" s="14" t="s">
        <v>338</v>
      </c>
      <c r="G44" s="14" t="s">
        <v>358</v>
      </c>
      <c r="H44" s="17">
        <v>13514.395410585492</v>
      </c>
      <c r="I44" s="14" t="s">
        <v>134</v>
      </c>
      <c r="J44" s="18">
        <v>34788</v>
      </c>
      <c r="K44" s="18">
        <v>21186</v>
      </c>
      <c r="L44" s="14" t="s">
        <v>359</v>
      </c>
      <c r="M44" s="14" t="s">
        <v>55</v>
      </c>
      <c r="N44" s="19">
        <v>193003</v>
      </c>
      <c r="O44" s="19" t="s">
        <v>360</v>
      </c>
      <c r="P44" s="20" t="s">
        <v>342</v>
      </c>
      <c r="Q44" s="14">
        <v>23</v>
      </c>
    </row>
    <row r="45" spans="1:17" ht="15" hidden="1" outlineLevel="2" x14ac:dyDescent="0.25">
      <c r="A45" s="15" t="s">
        <v>361</v>
      </c>
      <c r="B45" s="14" t="s">
        <v>362</v>
      </c>
      <c r="C45" s="14" t="s">
        <v>231</v>
      </c>
      <c r="D45" s="14" t="s">
        <v>363</v>
      </c>
      <c r="E45" s="16" t="s">
        <v>87</v>
      </c>
      <c r="F45" s="14" t="s">
        <v>338</v>
      </c>
      <c r="G45" s="14" t="s">
        <v>339</v>
      </c>
      <c r="H45" s="17">
        <v>5053.6033918022285</v>
      </c>
      <c r="I45" s="14" t="s">
        <v>180</v>
      </c>
      <c r="J45" s="18">
        <v>35032</v>
      </c>
      <c r="K45" s="18">
        <v>26821</v>
      </c>
      <c r="L45" s="14" t="s">
        <v>364</v>
      </c>
      <c r="M45" s="14" t="s">
        <v>154</v>
      </c>
      <c r="N45" s="19">
        <v>193004</v>
      </c>
      <c r="O45" s="19" t="s">
        <v>365</v>
      </c>
      <c r="P45" s="20" t="s">
        <v>342</v>
      </c>
      <c r="Q45" s="14">
        <v>23</v>
      </c>
    </row>
    <row r="46" spans="1:17" ht="15" hidden="1" outlineLevel="2" x14ac:dyDescent="0.25">
      <c r="A46" s="15" t="s">
        <v>366</v>
      </c>
      <c r="B46" s="14" t="s">
        <v>367</v>
      </c>
      <c r="C46" s="14" t="s">
        <v>368</v>
      </c>
      <c r="D46" s="14" t="s">
        <v>369</v>
      </c>
      <c r="E46" s="16" t="s">
        <v>87</v>
      </c>
      <c r="F46" s="14" t="s">
        <v>338</v>
      </c>
      <c r="G46" s="14" t="s">
        <v>347</v>
      </c>
      <c r="H46" s="17">
        <v>11069.850875497006</v>
      </c>
      <c r="I46" s="14" t="s">
        <v>134</v>
      </c>
      <c r="J46" s="18">
        <v>35460</v>
      </c>
      <c r="K46" s="18">
        <v>26553</v>
      </c>
      <c r="L46" s="14" t="s">
        <v>370</v>
      </c>
      <c r="M46" s="14" t="s">
        <v>55</v>
      </c>
      <c r="N46" s="19" t="s">
        <v>371</v>
      </c>
      <c r="O46" s="19" t="s">
        <v>372</v>
      </c>
      <c r="P46" s="20" t="s">
        <v>342</v>
      </c>
      <c r="Q46" s="14">
        <v>23</v>
      </c>
    </row>
    <row r="47" spans="1:17" ht="15" outlineLevel="1" collapsed="1" x14ac:dyDescent="0.25">
      <c r="A47" s="15"/>
      <c r="B47" s="14">
        <f>SUBTOTAL(3,B41:B46)</f>
        <v>6</v>
      </c>
      <c r="F47" s="28" t="s">
        <v>600</v>
      </c>
      <c r="H47" s="17"/>
      <c r="J47" s="18"/>
      <c r="K47" s="18"/>
      <c r="N47" s="19"/>
      <c r="O47" s="19"/>
      <c r="P47" s="20"/>
    </row>
    <row r="48" spans="1:17" ht="15" hidden="1" outlineLevel="2" x14ac:dyDescent="0.25">
      <c r="A48" s="15" t="s">
        <v>157</v>
      </c>
      <c r="B48" s="14" t="s">
        <v>158</v>
      </c>
      <c r="C48" s="14" t="s">
        <v>159</v>
      </c>
      <c r="D48" s="14" t="s">
        <v>160</v>
      </c>
      <c r="E48" s="16" t="s">
        <v>50</v>
      </c>
      <c r="F48" s="14" t="s">
        <v>161</v>
      </c>
      <c r="G48" s="14" t="s">
        <v>162</v>
      </c>
      <c r="H48" s="17">
        <v>10721.362397126901</v>
      </c>
      <c r="I48" s="14" t="s">
        <v>63</v>
      </c>
      <c r="J48" s="18">
        <v>35321</v>
      </c>
      <c r="K48" s="18">
        <v>24300</v>
      </c>
      <c r="L48" s="14" t="s">
        <v>163</v>
      </c>
      <c r="M48" s="14" t="s">
        <v>55</v>
      </c>
      <c r="N48" s="19">
        <v>108110</v>
      </c>
      <c r="O48" s="19" t="s">
        <v>164</v>
      </c>
      <c r="P48" s="20" t="s">
        <v>165</v>
      </c>
      <c r="Q48" s="14">
        <v>14</v>
      </c>
    </row>
    <row r="49" spans="1:17" ht="15" hidden="1" outlineLevel="2" x14ac:dyDescent="0.25">
      <c r="A49" s="15" t="s">
        <v>166</v>
      </c>
      <c r="B49" s="14" t="s">
        <v>167</v>
      </c>
      <c r="C49" s="14" t="s">
        <v>168</v>
      </c>
      <c r="D49" s="14" t="s">
        <v>69</v>
      </c>
      <c r="E49" s="16" t="s">
        <v>50</v>
      </c>
      <c r="F49" s="14" t="s">
        <v>161</v>
      </c>
      <c r="G49" s="14" t="s">
        <v>169</v>
      </c>
      <c r="H49" s="17">
        <v>6801.3577514660437</v>
      </c>
      <c r="I49" s="14" t="s">
        <v>53</v>
      </c>
      <c r="J49" s="18">
        <v>35096</v>
      </c>
      <c r="K49" s="18">
        <v>26553</v>
      </c>
      <c r="L49" s="14" t="s">
        <v>170</v>
      </c>
      <c r="M49" s="14" t="s">
        <v>55</v>
      </c>
      <c r="N49" s="19">
        <v>110000</v>
      </c>
      <c r="O49" s="19" t="s">
        <v>74</v>
      </c>
      <c r="P49" s="20" t="s">
        <v>165</v>
      </c>
      <c r="Q49" s="14">
        <v>14</v>
      </c>
    </row>
    <row r="50" spans="1:17" ht="15" hidden="1" outlineLevel="2" x14ac:dyDescent="0.25">
      <c r="A50" s="15" t="s">
        <v>171</v>
      </c>
      <c r="B50" s="14" t="s">
        <v>172</v>
      </c>
      <c r="C50" s="14" t="s">
        <v>173</v>
      </c>
      <c r="D50" s="14" t="s">
        <v>174</v>
      </c>
      <c r="E50" s="16" t="s">
        <v>50</v>
      </c>
      <c r="F50" s="14" t="s">
        <v>161</v>
      </c>
      <c r="G50" s="14" t="s">
        <v>175</v>
      </c>
      <c r="H50" s="17">
        <v>12416.518764765749</v>
      </c>
      <c r="I50" s="14" t="s">
        <v>53</v>
      </c>
      <c r="J50" s="18">
        <v>35292</v>
      </c>
      <c r="K50" s="18">
        <v>25810</v>
      </c>
      <c r="L50" s="14" t="s">
        <v>176</v>
      </c>
      <c r="M50" s="14" t="s">
        <v>55</v>
      </c>
      <c r="N50" s="19">
        <v>115116</v>
      </c>
      <c r="O50" s="19" t="s">
        <v>177</v>
      </c>
      <c r="P50" s="20" t="s">
        <v>165</v>
      </c>
      <c r="Q50" s="14">
        <v>14</v>
      </c>
    </row>
    <row r="51" spans="1:17" ht="15" hidden="1" outlineLevel="2" x14ac:dyDescent="0.25">
      <c r="A51" s="15" t="s">
        <v>178</v>
      </c>
      <c r="B51" s="14" t="s">
        <v>179</v>
      </c>
      <c r="C51" s="14" t="s">
        <v>60</v>
      </c>
      <c r="D51" s="14" t="s">
        <v>102</v>
      </c>
      <c r="E51" s="16" t="s">
        <v>50</v>
      </c>
      <c r="F51" s="14" t="s">
        <v>161</v>
      </c>
      <c r="G51" s="14" t="s">
        <v>169</v>
      </c>
      <c r="H51" s="17">
        <v>6990.5973601102469</v>
      </c>
      <c r="I51" s="14" t="s">
        <v>180</v>
      </c>
      <c r="J51" s="18">
        <v>35445</v>
      </c>
      <c r="K51" s="18">
        <v>26821</v>
      </c>
      <c r="L51" s="14" t="s">
        <v>181</v>
      </c>
      <c r="M51" s="14" t="s">
        <v>90</v>
      </c>
      <c r="N51" s="19">
        <v>123400</v>
      </c>
      <c r="O51" s="19" t="s">
        <v>182</v>
      </c>
      <c r="P51" s="20" t="s">
        <v>165</v>
      </c>
      <c r="Q51" s="14">
        <v>14</v>
      </c>
    </row>
    <row r="52" spans="1:17" ht="15" hidden="1" outlineLevel="2" x14ac:dyDescent="0.25">
      <c r="A52" s="15" t="s">
        <v>183</v>
      </c>
      <c r="B52" s="14" t="s">
        <v>184</v>
      </c>
      <c r="C52" s="14" t="s">
        <v>185</v>
      </c>
      <c r="D52" s="14" t="s">
        <v>186</v>
      </c>
      <c r="E52" s="16" t="s">
        <v>50</v>
      </c>
      <c r="F52" s="14" t="s">
        <v>161</v>
      </c>
      <c r="G52" s="14" t="s">
        <v>187</v>
      </c>
      <c r="H52" s="17">
        <v>9729.7852775936954</v>
      </c>
      <c r="I52" s="14" t="s">
        <v>53</v>
      </c>
      <c r="J52" s="18">
        <v>35208</v>
      </c>
      <c r="K52" s="18">
        <v>21989</v>
      </c>
      <c r="L52" s="14" t="s">
        <v>188</v>
      </c>
      <c r="M52" s="14" t="s">
        <v>55</v>
      </c>
      <c r="N52" s="19">
        <v>100012</v>
      </c>
      <c r="O52" s="19" t="s">
        <v>189</v>
      </c>
      <c r="P52" s="20" t="s">
        <v>165</v>
      </c>
      <c r="Q52" s="14">
        <v>14</v>
      </c>
    </row>
    <row r="53" spans="1:17" ht="15" hidden="1" outlineLevel="2" x14ac:dyDescent="0.25">
      <c r="A53" s="15" t="s">
        <v>190</v>
      </c>
      <c r="B53" s="14" t="s">
        <v>191</v>
      </c>
      <c r="C53" s="14" t="s">
        <v>192</v>
      </c>
      <c r="D53" s="14" t="s">
        <v>49</v>
      </c>
      <c r="E53" s="16" t="s">
        <v>50</v>
      </c>
      <c r="F53" s="14" t="s">
        <v>161</v>
      </c>
      <c r="G53" s="14" t="s">
        <v>193</v>
      </c>
      <c r="H53" s="17">
        <v>11788.046787464711</v>
      </c>
      <c r="I53" s="14" t="s">
        <v>63</v>
      </c>
      <c r="J53" s="18">
        <v>34436</v>
      </c>
      <c r="K53" s="18">
        <v>21115</v>
      </c>
      <c r="L53" s="14" t="s">
        <v>194</v>
      </c>
      <c r="M53" s="14" t="s">
        <v>55</v>
      </c>
      <c r="N53" s="19">
        <v>112192</v>
      </c>
      <c r="O53" s="19" t="s">
        <v>195</v>
      </c>
      <c r="P53" s="20" t="s">
        <v>165</v>
      </c>
      <c r="Q53" s="14">
        <v>14</v>
      </c>
    </row>
    <row r="54" spans="1:17" ht="15" hidden="1" outlineLevel="2" x14ac:dyDescent="0.25">
      <c r="A54" s="15" t="s">
        <v>196</v>
      </c>
      <c r="B54" s="14" t="s">
        <v>197</v>
      </c>
      <c r="C54" s="14" t="s">
        <v>132</v>
      </c>
      <c r="D54" s="14" t="s">
        <v>198</v>
      </c>
      <c r="E54" s="16" t="s">
        <v>50</v>
      </c>
      <c r="F54" s="14" t="s">
        <v>161</v>
      </c>
      <c r="G54" s="14" t="s">
        <v>199</v>
      </c>
      <c r="H54" s="17">
        <v>8592.4044860840258</v>
      </c>
      <c r="I54" s="14" t="s">
        <v>53</v>
      </c>
      <c r="J54" s="18">
        <v>35442</v>
      </c>
      <c r="K54" s="18">
        <v>24134</v>
      </c>
      <c r="L54" s="14" t="s">
        <v>200</v>
      </c>
      <c r="M54" s="14" t="s">
        <v>55</v>
      </c>
      <c r="N54" s="19">
        <v>120219</v>
      </c>
      <c r="O54" s="19" t="s">
        <v>201</v>
      </c>
      <c r="P54" s="20" t="s">
        <v>165</v>
      </c>
      <c r="Q54" s="14">
        <v>14</v>
      </c>
    </row>
    <row r="55" spans="1:17" ht="15" hidden="1" outlineLevel="2" x14ac:dyDescent="0.25">
      <c r="A55" s="15" t="s">
        <v>202</v>
      </c>
      <c r="B55" s="14" t="s">
        <v>203</v>
      </c>
      <c r="C55" s="14" t="s">
        <v>68</v>
      </c>
      <c r="D55" s="14" t="s">
        <v>78</v>
      </c>
      <c r="E55" s="16" t="s">
        <v>50</v>
      </c>
      <c r="F55" s="14" t="s">
        <v>161</v>
      </c>
      <c r="G55" s="14" t="s">
        <v>199</v>
      </c>
      <c r="H55" s="17">
        <v>6318.3004549578254</v>
      </c>
      <c r="I55" s="14" t="s">
        <v>53</v>
      </c>
      <c r="J55" s="18">
        <v>35096</v>
      </c>
      <c r="K55" s="18">
        <v>20433</v>
      </c>
      <c r="L55" s="14" t="s">
        <v>204</v>
      </c>
      <c r="M55" s="14" t="s">
        <v>55</v>
      </c>
      <c r="N55" s="19">
        <v>107114</v>
      </c>
      <c r="O55" s="19" t="s">
        <v>205</v>
      </c>
      <c r="P55" s="20" t="s">
        <v>165</v>
      </c>
      <c r="Q55" s="14">
        <v>14</v>
      </c>
    </row>
    <row r="56" spans="1:17" ht="15" hidden="1" outlineLevel="2" x14ac:dyDescent="0.25">
      <c r="A56" s="15" t="s">
        <v>206</v>
      </c>
      <c r="B56" s="14" t="s">
        <v>207</v>
      </c>
      <c r="C56" s="14" t="s">
        <v>208</v>
      </c>
      <c r="D56" s="14" t="s">
        <v>124</v>
      </c>
      <c r="E56" s="16" t="s">
        <v>50</v>
      </c>
      <c r="F56" s="14" t="s">
        <v>161</v>
      </c>
      <c r="G56" s="14" t="s">
        <v>209</v>
      </c>
      <c r="H56" s="17">
        <v>9118.718256106542</v>
      </c>
      <c r="I56" s="14" t="s">
        <v>53</v>
      </c>
      <c r="J56" s="18">
        <v>35332</v>
      </c>
      <c r="K56" s="18">
        <v>21194</v>
      </c>
      <c r="L56" s="14" t="s">
        <v>210</v>
      </c>
      <c r="M56" s="14" t="s">
        <v>55</v>
      </c>
      <c r="N56" s="19">
        <v>157800</v>
      </c>
      <c r="O56" s="19" t="s">
        <v>211</v>
      </c>
      <c r="P56" s="20" t="s">
        <v>165</v>
      </c>
      <c r="Q56" s="14">
        <v>14</v>
      </c>
    </row>
    <row r="57" spans="1:17" ht="15" hidden="1" outlineLevel="2" x14ac:dyDescent="0.25">
      <c r="A57" s="15" t="s">
        <v>212</v>
      </c>
      <c r="B57" s="14" t="s">
        <v>213</v>
      </c>
      <c r="C57" s="14" t="s">
        <v>185</v>
      </c>
      <c r="D57" s="14" t="s">
        <v>151</v>
      </c>
      <c r="E57" s="16" t="s">
        <v>50</v>
      </c>
      <c r="F57" s="14" t="s">
        <v>161</v>
      </c>
      <c r="G57" s="14" t="s">
        <v>187</v>
      </c>
      <c r="H57" s="17">
        <v>12649.177735950938</v>
      </c>
      <c r="I57" s="14" t="s">
        <v>63</v>
      </c>
      <c r="J57" s="18">
        <v>35290</v>
      </c>
      <c r="K57" s="18">
        <v>22280</v>
      </c>
      <c r="L57" s="14" t="s">
        <v>214</v>
      </c>
      <c r="M57" s="14" t="s">
        <v>215</v>
      </c>
      <c r="N57" s="19" t="s">
        <v>216</v>
      </c>
      <c r="O57" s="19" t="s">
        <v>217</v>
      </c>
      <c r="P57" s="20" t="s">
        <v>165</v>
      </c>
      <c r="Q57" s="14">
        <v>14</v>
      </c>
    </row>
    <row r="58" spans="1:17" ht="15" hidden="1" outlineLevel="2" x14ac:dyDescent="0.25">
      <c r="A58" s="15" t="s">
        <v>218</v>
      </c>
      <c r="B58" s="14" t="s">
        <v>219</v>
      </c>
      <c r="C58" s="14" t="s">
        <v>220</v>
      </c>
      <c r="D58" s="14" t="s">
        <v>124</v>
      </c>
      <c r="E58" s="16" t="s">
        <v>50</v>
      </c>
      <c r="F58" s="14" t="s">
        <v>161</v>
      </c>
      <c r="G58" s="14" t="s">
        <v>175</v>
      </c>
      <c r="H58" s="17">
        <v>9575.1729492277009</v>
      </c>
      <c r="I58" s="14" t="s">
        <v>180</v>
      </c>
      <c r="J58" s="18">
        <v>35451</v>
      </c>
      <c r="K58" s="18">
        <v>27551</v>
      </c>
      <c r="L58" s="14" t="s">
        <v>221</v>
      </c>
      <c r="M58" s="14" t="s">
        <v>55</v>
      </c>
      <c r="N58" s="19">
        <v>113654</v>
      </c>
      <c r="O58" s="19" t="s">
        <v>222</v>
      </c>
      <c r="P58" s="20" t="s">
        <v>165</v>
      </c>
      <c r="Q58" s="14">
        <v>14</v>
      </c>
    </row>
    <row r="59" spans="1:17" ht="15" hidden="1" outlineLevel="2" x14ac:dyDescent="0.25">
      <c r="A59" s="15" t="s">
        <v>223</v>
      </c>
      <c r="B59" s="14" t="s">
        <v>224</v>
      </c>
      <c r="C59" s="14" t="s">
        <v>132</v>
      </c>
      <c r="D59" s="14" t="s">
        <v>225</v>
      </c>
      <c r="E59" s="16" t="s">
        <v>50</v>
      </c>
      <c r="F59" s="14" t="s">
        <v>161</v>
      </c>
      <c r="G59" s="14" t="s">
        <v>187</v>
      </c>
      <c r="H59" s="17">
        <v>9186.8043650826003</v>
      </c>
      <c r="I59" s="14" t="s">
        <v>180</v>
      </c>
      <c r="J59" s="18">
        <v>35290</v>
      </c>
      <c r="K59" s="18">
        <v>22065</v>
      </c>
      <c r="L59" s="14" t="s">
        <v>226</v>
      </c>
      <c r="M59" s="14" t="s">
        <v>55</v>
      </c>
      <c r="N59" s="19" t="s">
        <v>227</v>
      </c>
      <c r="O59" s="19" t="s">
        <v>228</v>
      </c>
      <c r="P59" s="20" t="s">
        <v>165</v>
      </c>
      <c r="Q59" s="14">
        <v>14</v>
      </c>
    </row>
    <row r="60" spans="1:17" ht="15" hidden="1" outlineLevel="2" x14ac:dyDescent="0.25">
      <c r="A60" s="15" t="s">
        <v>229</v>
      </c>
      <c r="B60" s="14" t="s">
        <v>230</v>
      </c>
      <c r="C60" s="14" t="s">
        <v>231</v>
      </c>
      <c r="D60" s="14" t="s">
        <v>142</v>
      </c>
      <c r="E60" s="16" t="s">
        <v>87</v>
      </c>
      <c r="F60" s="14" t="s">
        <v>161</v>
      </c>
      <c r="G60" s="14" t="s">
        <v>144</v>
      </c>
      <c r="H60" s="17">
        <v>13552.180889683978</v>
      </c>
      <c r="I60" s="14" t="s">
        <v>63</v>
      </c>
      <c r="J60" s="18">
        <v>35208</v>
      </c>
      <c r="K60" s="18">
        <v>22927</v>
      </c>
      <c r="L60" s="14" t="s">
        <v>232</v>
      </c>
      <c r="M60" s="14" t="s">
        <v>233</v>
      </c>
      <c r="N60" s="19">
        <v>113020</v>
      </c>
      <c r="O60" s="19" t="s">
        <v>234</v>
      </c>
      <c r="P60" s="20" t="s">
        <v>165</v>
      </c>
      <c r="Q60" s="14">
        <v>14</v>
      </c>
    </row>
    <row r="61" spans="1:17" ht="15" hidden="1" outlineLevel="2" x14ac:dyDescent="0.25">
      <c r="A61" s="15" t="s">
        <v>235</v>
      </c>
      <c r="B61" s="14" t="s">
        <v>236</v>
      </c>
      <c r="C61" s="14" t="s">
        <v>237</v>
      </c>
      <c r="D61" s="14" t="s">
        <v>238</v>
      </c>
      <c r="E61" s="16" t="s">
        <v>87</v>
      </c>
      <c r="F61" s="14" t="s">
        <v>161</v>
      </c>
      <c r="G61" s="14" t="s">
        <v>239</v>
      </c>
      <c r="H61" s="17">
        <v>11129.8708790295</v>
      </c>
      <c r="I61" s="14" t="s">
        <v>63</v>
      </c>
      <c r="J61" s="18">
        <v>35332</v>
      </c>
      <c r="K61" s="18">
        <v>24085</v>
      </c>
      <c r="L61" s="14" t="s">
        <v>240</v>
      </c>
      <c r="M61" s="14" t="s">
        <v>241</v>
      </c>
      <c r="N61" s="19">
        <v>143430</v>
      </c>
      <c r="O61" s="19" t="s">
        <v>242</v>
      </c>
      <c r="P61" s="20" t="s">
        <v>165</v>
      </c>
      <c r="Q61" s="14">
        <v>14</v>
      </c>
    </row>
    <row r="62" spans="1:17" ht="15" outlineLevel="1" collapsed="1" x14ac:dyDescent="0.25">
      <c r="A62" s="15"/>
      <c r="B62" s="14">
        <f>SUBTOTAL(3,B48:B61)</f>
        <v>14</v>
      </c>
      <c r="F62" s="28" t="s">
        <v>601</v>
      </c>
      <c r="H62" s="17"/>
      <c r="J62" s="18"/>
      <c r="K62" s="18"/>
      <c r="N62" s="19"/>
      <c r="O62" s="19"/>
      <c r="P62" s="20"/>
    </row>
    <row r="63" spans="1:17" ht="15" hidden="1" outlineLevel="2" x14ac:dyDescent="0.25">
      <c r="A63" s="15" t="s">
        <v>373</v>
      </c>
      <c r="B63" s="14" t="s">
        <v>374</v>
      </c>
      <c r="C63" s="14" t="s">
        <v>375</v>
      </c>
      <c r="D63" s="14" t="s">
        <v>142</v>
      </c>
      <c r="E63" s="16" t="s">
        <v>87</v>
      </c>
      <c r="F63" s="14" t="s">
        <v>376</v>
      </c>
      <c r="G63" s="14" t="s">
        <v>144</v>
      </c>
      <c r="H63" s="17">
        <v>12592.183135589101</v>
      </c>
      <c r="I63" s="14" t="s">
        <v>63</v>
      </c>
      <c r="J63" s="18">
        <v>35504</v>
      </c>
      <c r="K63" s="18">
        <v>24085</v>
      </c>
      <c r="L63" s="14" t="s">
        <v>377</v>
      </c>
      <c r="M63" s="14" t="s">
        <v>55</v>
      </c>
      <c r="N63" s="19">
        <v>193006</v>
      </c>
      <c r="O63" s="19" t="s">
        <v>378</v>
      </c>
      <c r="P63" s="20" t="s">
        <v>379</v>
      </c>
      <c r="Q63" s="14">
        <v>29</v>
      </c>
    </row>
    <row r="64" spans="1:17" ht="15" hidden="1" outlineLevel="2" x14ac:dyDescent="0.25">
      <c r="A64" s="15" t="s">
        <v>380</v>
      </c>
      <c r="B64" s="14" t="s">
        <v>381</v>
      </c>
      <c r="C64" s="14" t="s">
        <v>382</v>
      </c>
      <c r="D64" s="14" t="s">
        <v>238</v>
      </c>
      <c r="E64" s="16" t="s">
        <v>87</v>
      </c>
      <c r="F64" s="14" t="s">
        <v>376</v>
      </c>
      <c r="G64" s="14" t="s">
        <v>383</v>
      </c>
      <c r="H64" s="17">
        <v>10643.3766537518</v>
      </c>
      <c r="I64" s="14" t="s">
        <v>134</v>
      </c>
      <c r="J64" s="18">
        <v>34759</v>
      </c>
      <c r="K64" s="18">
        <v>25186</v>
      </c>
      <c r="L64" s="14" t="s">
        <v>384</v>
      </c>
      <c r="M64" s="14" t="s">
        <v>55</v>
      </c>
      <c r="N64" s="19" t="s">
        <v>385</v>
      </c>
      <c r="O64" s="19" t="s">
        <v>386</v>
      </c>
      <c r="P64" s="20" t="s">
        <v>387</v>
      </c>
      <c r="Q64" s="14">
        <v>30</v>
      </c>
    </row>
    <row r="65" spans="1:17" ht="15" hidden="1" outlineLevel="2" x14ac:dyDescent="0.25">
      <c r="A65" s="15" t="s">
        <v>445</v>
      </c>
      <c r="B65" s="14" t="s">
        <v>446</v>
      </c>
      <c r="C65" s="14" t="s">
        <v>447</v>
      </c>
      <c r="D65" s="14" t="s">
        <v>282</v>
      </c>
      <c r="E65" s="16" t="s">
        <v>87</v>
      </c>
      <c r="F65" s="14" t="s">
        <v>376</v>
      </c>
      <c r="G65" s="14" t="s">
        <v>383</v>
      </c>
      <c r="H65" s="17">
        <v>7810.6406505531404</v>
      </c>
      <c r="I65" s="14" t="s">
        <v>53</v>
      </c>
      <c r="J65" s="18">
        <v>31108</v>
      </c>
      <c r="K65" s="18">
        <v>23891</v>
      </c>
      <c r="L65" s="14" t="s">
        <v>448</v>
      </c>
      <c r="M65" s="14" t="s">
        <v>55</v>
      </c>
      <c r="N65" s="19">
        <v>193007</v>
      </c>
      <c r="O65" s="19" t="s">
        <v>449</v>
      </c>
      <c r="P65" s="20" t="s">
        <v>393</v>
      </c>
      <c r="Q65" s="14">
        <v>31</v>
      </c>
    </row>
    <row r="66" spans="1:17" ht="15" hidden="1" outlineLevel="2" x14ac:dyDescent="0.25">
      <c r="A66" s="15" t="s">
        <v>450</v>
      </c>
      <c r="B66" s="14" t="s">
        <v>451</v>
      </c>
      <c r="C66" s="14" t="s">
        <v>141</v>
      </c>
      <c r="D66" s="14" t="s">
        <v>452</v>
      </c>
      <c r="E66" s="16" t="s">
        <v>87</v>
      </c>
      <c r="F66" s="14" t="s">
        <v>376</v>
      </c>
      <c r="G66" s="14" t="s">
        <v>383</v>
      </c>
      <c r="H66" s="17">
        <v>8520.7696909160004</v>
      </c>
      <c r="I66" s="14" t="s">
        <v>53</v>
      </c>
      <c r="J66" s="18">
        <v>32023</v>
      </c>
      <c r="K66" s="18">
        <v>22893</v>
      </c>
      <c r="L66" s="14" t="s">
        <v>453</v>
      </c>
      <c r="M66" s="14" t="s">
        <v>55</v>
      </c>
      <c r="N66" s="19" t="s">
        <v>454</v>
      </c>
      <c r="O66" s="19" t="s">
        <v>455</v>
      </c>
      <c r="P66" s="20" t="s">
        <v>393</v>
      </c>
      <c r="Q66" s="14">
        <v>31</v>
      </c>
    </row>
    <row r="67" spans="1:17" ht="15" hidden="1" outlineLevel="2" x14ac:dyDescent="0.25">
      <c r="A67" s="15" t="s">
        <v>462</v>
      </c>
      <c r="B67" s="14" t="s">
        <v>463</v>
      </c>
      <c r="C67" s="14" t="s">
        <v>464</v>
      </c>
      <c r="D67" s="14" t="s">
        <v>288</v>
      </c>
      <c r="E67" s="16" t="s">
        <v>50</v>
      </c>
      <c r="F67" s="14" t="s">
        <v>376</v>
      </c>
      <c r="G67" s="14" t="s">
        <v>465</v>
      </c>
      <c r="H67" s="17">
        <v>5715.3864960983001</v>
      </c>
      <c r="I67" s="14" t="s">
        <v>180</v>
      </c>
      <c r="J67" s="18">
        <v>33211</v>
      </c>
      <c r="K67" s="18">
        <v>20104</v>
      </c>
      <c r="L67" s="14" t="s">
        <v>466</v>
      </c>
      <c r="M67" s="14" t="s">
        <v>55</v>
      </c>
      <c r="N67" s="19">
        <v>193008</v>
      </c>
      <c r="O67" s="19" t="s">
        <v>467</v>
      </c>
      <c r="P67" s="20" t="s">
        <v>468</v>
      </c>
      <c r="Q67" s="14">
        <v>33</v>
      </c>
    </row>
    <row r="68" spans="1:17" ht="15" outlineLevel="1" collapsed="1" x14ac:dyDescent="0.25">
      <c r="A68" s="15"/>
      <c r="B68" s="14">
        <f>SUBTOTAL(3,B63:B67)</f>
        <v>5</v>
      </c>
      <c r="F68" s="28" t="s">
        <v>602</v>
      </c>
      <c r="H68" s="17"/>
      <c r="J68" s="18"/>
      <c r="K68" s="18"/>
      <c r="N68" s="19"/>
      <c r="O68" s="19"/>
      <c r="P68" s="20"/>
    </row>
    <row r="69" spans="1:17" ht="15" hidden="1" outlineLevel="2" x14ac:dyDescent="0.25">
      <c r="A69" s="15" t="s">
        <v>99</v>
      </c>
      <c r="B69" s="14" t="s">
        <v>100</v>
      </c>
      <c r="C69" s="14" t="s">
        <v>101</v>
      </c>
      <c r="D69" s="14" t="s">
        <v>102</v>
      </c>
      <c r="E69" s="16" t="s">
        <v>50</v>
      </c>
      <c r="F69" s="14" t="s">
        <v>103</v>
      </c>
      <c r="G69" s="14" t="s">
        <v>104</v>
      </c>
      <c r="H69" s="17">
        <v>6209.8910488522833</v>
      </c>
      <c r="I69" s="14" t="s">
        <v>53</v>
      </c>
      <c r="J69" s="18">
        <v>35208</v>
      </c>
      <c r="K69" s="18">
        <v>22949</v>
      </c>
      <c r="L69" s="14" t="s">
        <v>105</v>
      </c>
      <c r="M69" s="14" t="s">
        <v>55</v>
      </c>
      <c r="N69" s="19">
        <v>110002</v>
      </c>
      <c r="O69" s="19" t="s">
        <v>74</v>
      </c>
      <c r="P69" s="20" t="s">
        <v>106</v>
      </c>
      <c r="Q69" s="14">
        <v>2</v>
      </c>
    </row>
    <row r="70" spans="1:17" ht="15" hidden="1" outlineLevel="2" x14ac:dyDescent="0.25">
      <c r="A70" s="15" t="s">
        <v>107</v>
      </c>
      <c r="B70" s="14" t="s">
        <v>5</v>
      </c>
      <c r="C70" s="14" t="s">
        <v>108</v>
      </c>
      <c r="D70" s="14" t="s">
        <v>109</v>
      </c>
      <c r="E70" s="16" t="s">
        <v>87</v>
      </c>
      <c r="F70" s="14" t="s">
        <v>103</v>
      </c>
      <c r="G70" s="14" t="s">
        <v>110</v>
      </c>
      <c r="H70" s="17">
        <v>14613.372183667399</v>
      </c>
      <c r="I70" s="14" t="s">
        <v>63</v>
      </c>
      <c r="J70" s="18">
        <v>35292</v>
      </c>
      <c r="K70" s="18">
        <v>21194</v>
      </c>
      <c r="L70" s="14" t="s">
        <v>111</v>
      </c>
      <c r="M70" s="14" t="s">
        <v>72</v>
      </c>
      <c r="N70" s="19" t="s">
        <v>112</v>
      </c>
      <c r="O70" s="19" t="s">
        <v>113</v>
      </c>
      <c r="P70" s="20" t="s">
        <v>106</v>
      </c>
      <c r="Q70" s="14">
        <v>2</v>
      </c>
    </row>
    <row r="71" spans="1:17" ht="15" hidden="1" outlineLevel="2" x14ac:dyDescent="0.25">
      <c r="A71" s="15" t="s">
        <v>114</v>
      </c>
      <c r="B71" s="14" t="s">
        <v>115</v>
      </c>
      <c r="C71" s="14" t="s">
        <v>85</v>
      </c>
      <c r="D71" s="14" t="s">
        <v>116</v>
      </c>
      <c r="E71" s="16" t="s">
        <v>87</v>
      </c>
      <c r="F71" s="14" t="s">
        <v>103</v>
      </c>
      <c r="G71" s="14" t="s">
        <v>117</v>
      </c>
      <c r="H71" s="17">
        <v>13587.3733966329</v>
      </c>
      <c r="I71" s="14" t="s">
        <v>63</v>
      </c>
      <c r="J71" s="18">
        <v>35451</v>
      </c>
      <c r="K71" s="18">
        <v>24134</v>
      </c>
      <c r="L71" s="14" t="s">
        <v>118</v>
      </c>
      <c r="M71" s="14" t="s">
        <v>55</v>
      </c>
      <c r="N71" s="19">
        <v>154041</v>
      </c>
      <c r="O71" s="19" t="s">
        <v>119</v>
      </c>
      <c r="P71" s="20" t="s">
        <v>120</v>
      </c>
      <c r="Q71" s="14">
        <v>3</v>
      </c>
    </row>
    <row r="72" spans="1:17" ht="15" hidden="1" outlineLevel="2" x14ac:dyDescent="0.25">
      <c r="A72" s="15" t="s">
        <v>121</v>
      </c>
      <c r="B72" s="14" t="s">
        <v>122</v>
      </c>
      <c r="C72" s="14" t="s">
        <v>123</v>
      </c>
      <c r="D72" s="14" t="s">
        <v>124</v>
      </c>
      <c r="E72" s="16" t="s">
        <v>50</v>
      </c>
      <c r="F72" s="14" t="s">
        <v>103</v>
      </c>
      <c r="G72" s="14" t="s">
        <v>125</v>
      </c>
      <c r="H72" s="17">
        <v>15190.4570729188</v>
      </c>
      <c r="I72" s="14" t="s">
        <v>63</v>
      </c>
      <c r="J72" s="18">
        <v>34436</v>
      </c>
      <c r="K72" s="18">
        <v>26821</v>
      </c>
      <c r="L72" s="14" t="s">
        <v>126</v>
      </c>
      <c r="M72" s="14" t="s">
        <v>127</v>
      </c>
      <c r="N72" s="19">
        <v>114099</v>
      </c>
      <c r="O72" s="19" t="s">
        <v>128</v>
      </c>
      <c r="P72" s="20" t="s">
        <v>129</v>
      </c>
      <c r="Q72" s="14">
        <v>4</v>
      </c>
    </row>
    <row r="73" spans="1:17" ht="15" hidden="1" outlineLevel="2" x14ac:dyDescent="0.25">
      <c r="A73" s="15" t="s">
        <v>130</v>
      </c>
      <c r="B73" s="14" t="s">
        <v>131</v>
      </c>
      <c r="C73" s="14" t="s">
        <v>132</v>
      </c>
      <c r="D73" s="14" t="s">
        <v>69</v>
      </c>
      <c r="E73" s="16" t="s">
        <v>50</v>
      </c>
      <c r="F73" s="14" t="s">
        <v>103</v>
      </c>
      <c r="G73" s="14" t="s">
        <v>133</v>
      </c>
      <c r="H73" s="17">
        <v>12169.6033781476</v>
      </c>
      <c r="I73" s="14" t="s">
        <v>134</v>
      </c>
      <c r="J73" s="18">
        <v>35290</v>
      </c>
      <c r="K73" s="18">
        <v>22250</v>
      </c>
      <c r="L73" s="14" t="s">
        <v>135</v>
      </c>
      <c r="M73" s="14" t="s">
        <v>136</v>
      </c>
      <c r="N73" s="19">
        <v>155006</v>
      </c>
      <c r="O73" s="19" t="s">
        <v>137</v>
      </c>
      <c r="P73" s="20" t="s">
        <v>138</v>
      </c>
      <c r="Q73" s="14">
        <v>5</v>
      </c>
    </row>
    <row r="74" spans="1:17" ht="15" outlineLevel="1" collapsed="1" x14ac:dyDescent="0.25">
      <c r="A74" s="15"/>
      <c r="B74" s="14">
        <f>SUBTOTAL(3,B69:B73)</f>
        <v>5</v>
      </c>
      <c r="F74" s="28" t="s">
        <v>603</v>
      </c>
      <c r="H74" s="17"/>
      <c r="J74" s="18"/>
      <c r="K74" s="18"/>
      <c r="N74" s="19"/>
      <c r="O74" s="19"/>
      <c r="P74" s="20"/>
    </row>
    <row r="75" spans="1:17" ht="15" x14ac:dyDescent="0.25">
      <c r="A75" s="15"/>
      <c r="B75" s="14">
        <f>SUBTOTAL(3,B2:B73)</f>
        <v>64</v>
      </c>
      <c r="F75" s="28" t="s">
        <v>581</v>
      </c>
      <c r="H75" s="17"/>
      <c r="J75" s="18"/>
      <c r="K75" s="18"/>
      <c r="N75" s="19"/>
      <c r="O75" s="19"/>
      <c r="P75" s="20"/>
    </row>
  </sheetData>
  <sortState ref="A2:Q73">
    <sortCondition ref="F2:F7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0"/>
  <sheetViews>
    <sheetView topLeftCell="B1" zoomScaleNormal="100" workbookViewId="0">
      <selection activeCell="I1" sqref="I1"/>
    </sheetView>
  </sheetViews>
  <sheetFormatPr defaultRowHeight="12.75" outlineLevelRow="2" x14ac:dyDescent="0.2"/>
  <cols>
    <col min="1" max="1" width="4.42578125" style="14" bestFit="1" customWidth="1"/>
    <col min="2" max="2" width="13.85546875" style="14" bestFit="1" customWidth="1"/>
    <col min="3" max="3" width="11.28515625" style="14" bestFit="1" customWidth="1"/>
    <col min="4" max="4" width="14.5703125" style="14" bestFit="1" customWidth="1"/>
    <col min="5" max="5" width="4.5703125" style="16" bestFit="1" customWidth="1"/>
    <col min="6" max="6" width="22.140625" style="14" bestFit="1" customWidth="1"/>
    <col min="7" max="7" width="24.140625" style="14" bestFit="1" customWidth="1"/>
    <col min="8" max="8" width="10.7109375" style="14" bestFit="1" customWidth="1"/>
    <col min="9" max="9" width="20" style="14" bestFit="1" customWidth="1"/>
    <col min="10" max="10" width="11.85546875" style="14" bestFit="1" customWidth="1"/>
    <col min="11" max="11" width="10.42578125" style="14" bestFit="1" customWidth="1"/>
    <col min="12" max="12" width="42.28515625" style="14" bestFit="1" customWidth="1"/>
    <col min="13" max="13" width="13.5703125" style="14" bestFit="1" customWidth="1"/>
    <col min="14" max="14" width="7.7109375" style="14" bestFit="1" customWidth="1"/>
    <col min="15" max="15" width="10.7109375" style="14" bestFit="1" customWidth="1"/>
    <col min="16" max="16" width="9.28515625" style="14" bestFit="1" customWidth="1"/>
    <col min="17" max="17" width="8.7109375" style="14" bestFit="1" customWidth="1"/>
    <col min="18" max="256" width="9.140625" style="14"/>
    <col min="257" max="257" width="4.42578125" style="14" bestFit="1" customWidth="1"/>
    <col min="258" max="258" width="13.85546875" style="14" bestFit="1" customWidth="1"/>
    <col min="259" max="259" width="11.28515625" style="14" bestFit="1" customWidth="1"/>
    <col min="260" max="260" width="14.5703125" style="14" bestFit="1" customWidth="1"/>
    <col min="261" max="261" width="4.5703125" style="14" bestFit="1" customWidth="1"/>
    <col min="262" max="262" width="22.140625" style="14" bestFit="1" customWidth="1"/>
    <col min="263" max="263" width="24.140625" style="14" bestFit="1" customWidth="1"/>
    <col min="264" max="264" width="10.7109375" style="14" bestFit="1" customWidth="1"/>
    <col min="265" max="265" width="20" style="14" bestFit="1" customWidth="1"/>
    <col min="266" max="266" width="11.85546875" style="14" bestFit="1" customWidth="1"/>
    <col min="267" max="267" width="10.42578125" style="14" bestFit="1" customWidth="1"/>
    <col min="268" max="268" width="42.28515625" style="14" bestFit="1" customWidth="1"/>
    <col min="269" max="269" width="13.5703125" style="14" bestFit="1" customWidth="1"/>
    <col min="270" max="270" width="7.7109375" style="14" bestFit="1" customWidth="1"/>
    <col min="271" max="271" width="10.7109375" style="14" bestFit="1" customWidth="1"/>
    <col min="272" max="272" width="9.28515625" style="14" bestFit="1" customWidth="1"/>
    <col min="273" max="273" width="8.7109375" style="14" bestFit="1" customWidth="1"/>
    <col min="274" max="512" width="9.140625" style="14"/>
    <col min="513" max="513" width="4.42578125" style="14" bestFit="1" customWidth="1"/>
    <col min="514" max="514" width="13.85546875" style="14" bestFit="1" customWidth="1"/>
    <col min="515" max="515" width="11.28515625" style="14" bestFit="1" customWidth="1"/>
    <col min="516" max="516" width="14.5703125" style="14" bestFit="1" customWidth="1"/>
    <col min="517" max="517" width="4.5703125" style="14" bestFit="1" customWidth="1"/>
    <col min="518" max="518" width="22.140625" style="14" bestFit="1" customWidth="1"/>
    <col min="519" max="519" width="24.140625" style="14" bestFit="1" customWidth="1"/>
    <col min="520" max="520" width="10.7109375" style="14" bestFit="1" customWidth="1"/>
    <col min="521" max="521" width="20" style="14" bestFit="1" customWidth="1"/>
    <col min="522" max="522" width="11.85546875" style="14" bestFit="1" customWidth="1"/>
    <col min="523" max="523" width="10.42578125" style="14" bestFit="1" customWidth="1"/>
    <col min="524" max="524" width="42.28515625" style="14" bestFit="1" customWidth="1"/>
    <col min="525" max="525" width="13.5703125" style="14" bestFit="1" customWidth="1"/>
    <col min="526" max="526" width="7.7109375" style="14" bestFit="1" customWidth="1"/>
    <col min="527" max="527" width="10.7109375" style="14" bestFit="1" customWidth="1"/>
    <col min="528" max="528" width="9.28515625" style="14" bestFit="1" customWidth="1"/>
    <col min="529" max="529" width="8.7109375" style="14" bestFit="1" customWidth="1"/>
    <col min="530" max="768" width="9.140625" style="14"/>
    <col min="769" max="769" width="4.42578125" style="14" bestFit="1" customWidth="1"/>
    <col min="770" max="770" width="13.85546875" style="14" bestFit="1" customWidth="1"/>
    <col min="771" max="771" width="11.28515625" style="14" bestFit="1" customWidth="1"/>
    <col min="772" max="772" width="14.5703125" style="14" bestFit="1" customWidth="1"/>
    <col min="773" max="773" width="4.5703125" style="14" bestFit="1" customWidth="1"/>
    <col min="774" max="774" width="22.140625" style="14" bestFit="1" customWidth="1"/>
    <col min="775" max="775" width="24.140625" style="14" bestFit="1" customWidth="1"/>
    <col min="776" max="776" width="10.7109375" style="14" bestFit="1" customWidth="1"/>
    <col min="777" max="777" width="20" style="14" bestFit="1" customWidth="1"/>
    <col min="778" max="778" width="11.85546875" style="14" bestFit="1" customWidth="1"/>
    <col min="779" max="779" width="10.42578125" style="14" bestFit="1" customWidth="1"/>
    <col min="780" max="780" width="42.28515625" style="14" bestFit="1" customWidth="1"/>
    <col min="781" max="781" width="13.5703125" style="14" bestFit="1" customWidth="1"/>
    <col min="782" max="782" width="7.7109375" style="14" bestFit="1" customWidth="1"/>
    <col min="783" max="783" width="10.7109375" style="14" bestFit="1" customWidth="1"/>
    <col min="784" max="784" width="9.28515625" style="14" bestFit="1" customWidth="1"/>
    <col min="785" max="785" width="8.7109375" style="14" bestFit="1" customWidth="1"/>
    <col min="786" max="1024" width="9.140625" style="14"/>
    <col min="1025" max="1025" width="4.42578125" style="14" bestFit="1" customWidth="1"/>
    <col min="1026" max="1026" width="13.85546875" style="14" bestFit="1" customWidth="1"/>
    <col min="1027" max="1027" width="11.28515625" style="14" bestFit="1" customWidth="1"/>
    <col min="1028" max="1028" width="14.5703125" style="14" bestFit="1" customWidth="1"/>
    <col min="1029" max="1029" width="4.5703125" style="14" bestFit="1" customWidth="1"/>
    <col min="1030" max="1030" width="22.140625" style="14" bestFit="1" customWidth="1"/>
    <col min="1031" max="1031" width="24.140625" style="14" bestFit="1" customWidth="1"/>
    <col min="1032" max="1032" width="10.7109375" style="14" bestFit="1" customWidth="1"/>
    <col min="1033" max="1033" width="20" style="14" bestFit="1" customWidth="1"/>
    <col min="1034" max="1034" width="11.85546875" style="14" bestFit="1" customWidth="1"/>
    <col min="1035" max="1035" width="10.42578125" style="14" bestFit="1" customWidth="1"/>
    <col min="1036" max="1036" width="42.28515625" style="14" bestFit="1" customWidth="1"/>
    <col min="1037" max="1037" width="13.5703125" style="14" bestFit="1" customWidth="1"/>
    <col min="1038" max="1038" width="7.7109375" style="14" bestFit="1" customWidth="1"/>
    <col min="1039" max="1039" width="10.7109375" style="14" bestFit="1" customWidth="1"/>
    <col min="1040" max="1040" width="9.28515625" style="14" bestFit="1" customWidth="1"/>
    <col min="1041" max="1041" width="8.7109375" style="14" bestFit="1" customWidth="1"/>
    <col min="1042" max="1280" width="9.140625" style="14"/>
    <col min="1281" max="1281" width="4.42578125" style="14" bestFit="1" customWidth="1"/>
    <col min="1282" max="1282" width="13.85546875" style="14" bestFit="1" customWidth="1"/>
    <col min="1283" max="1283" width="11.28515625" style="14" bestFit="1" customWidth="1"/>
    <col min="1284" max="1284" width="14.5703125" style="14" bestFit="1" customWidth="1"/>
    <col min="1285" max="1285" width="4.5703125" style="14" bestFit="1" customWidth="1"/>
    <col min="1286" max="1286" width="22.140625" style="14" bestFit="1" customWidth="1"/>
    <col min="1287" max="1287" width="24.140625" style="14" bestFit="1" customWidth="1"/>
    <col min="1288" max="1288" width="10.7109375" style="14" bestFit="1" customWidth="1"/>
    <col min="1289" max="1289" width="20" style="14" bestFit="1" customWidth="1"/>
    <col min="1290" max="1290" width="11.85546875" style="14" bestFit="1" customWidth="1"/>
    <col min="1291" max="1291" width="10.42578125" style="14" bestFit="1" customWidth="1"/>
    <col min="1292" max="1292" width="42.28515625" style="14" bestFit="1" customWidth="1"/>
    <col min="1293" max="1293" width="13.5703125" style="14" bestFit="1" customWidth="1"/>
    <col min="1294" max="1294" width="7.7109375" style="14" bestFit="1" customWidth="1"/>
    <col min="1295" max="1295" width="10.7109375" style="14" bestFit="1" customWidth="1"/>
    <col min="1296" max="1296" width="9.28515625" style="14" bestFit="1" customWidth="1"/>
    <col min="1297" max="1297" width="8.7109375" style="14" bestFit="1" customWidth="1"/>
    <col min="1298" max="1536" width="9.140625" style="14"/>
    <col min="1537" max="1537" width="4.42578125" style="14" bestFit="1" customWidth="1"/>
    <col min="1538" max="1538" width="13.85546875" style="14" bestFit="1" customWidth="1"/>
    <col min="1539" max="1539" width="11.28515625" style="14" bestFit="1" customWidth="1"/>
    <col min="1540" max="1540" width="14.5703125" style="14" bestFit="1" customWidth="1"/>
    <col min="1541" max="1541" width="4.5703125" style="14" bestFit="1" customWidth="1"/>
    <col min="1542" max="1542" width="22.140625" style="14" bestFit="1" customWidth="1"/>
    <col min="1543" max="1543" width="24.140625" style="14" bestFit="1" customWidth="1"/>
    <col min="1544" max="1544" width="10.7109375" style="14" bestFit="1" customWidth="1"/>
    <col min="1545" max="1545" width="20" style="14" bestFit="1" customWidth="1"/>
    <col min="1546" max="1546" width="11.85546875" style="14" bestFit="1" customWidth="1"/>
    <col min="1547" max="1547" width="10.42578125" style="14" bestFit="1" customWidth="1"/>
    <col min="1548" max="1548" width="42.28515625" style="14" bestFit="1" customWidth="1"/>
    <col min="1549" max="1549" width="13.5703125" style="14" bestFit="1" customWidth="1"/>
    <col min="1550" max="1550" width="7.7109375" style="14" bestFit="1" customWidth="1"/>
    <col min="1551" max="1551" width="10.7109375" style="14" bestFit="1" customWidth="1"/>
    <col min="1552" max="1552" width="9.28515625" style="14" bestFit="1" customWidth="1"/>
    <col min="1553" max="1553" width="8.7109375" style="14" bestFit="1" customWidth="1"/>
    <col min="1554" max="1792" width="9.140625" style="14"/>
    <col min="1793" max="1793" width="4.42578125" style="14" bestFit="1" customWidth="1"/>
    <col min="1794" max="1794" width="13.85546875" style="14" bestFit="1" customWidth="1"/>
    <col min="1795" max="1795" width="11.28515625" style="14" bestFit="1" customWidth="1"/>
    <col min="1796" max="1796" width="14.5703125" style="14" bestFit="1" customWidth="1"/>
    <col min="1797" max="1797" width="4.5703125" style="14" bestFit="1" customWidth="1"/>
    <col min="1798" max="1798" width="22.140625" style="14" bestFit="1" customWidth="1"/>
    <col min="1799" max="1799" width="24.140625" style="14" bestFit="1" customWidth="1"/>
    <col min="1800" max="1800" width="10.7109375" style="14" bestFit="1" customWidth="1"/>
    <col min="1801" max="1801" width="20" style="14" bestFit="1" customWidth="1"/>
    <col min="1802" max="1802" width="11.85546875" style="14" bestFit="1" customWidth="1"/>
    <col min="1803" max="1803" width="10.42578125" style="14" bestFit="1" customWidth="1"/>
    <col min="1804" max="1804" width="42.28515625" style="14" bestFit="1" customWidth="1"/>
    <col min="1805" max="1805" width="13.5703125" style="14" bestFit="1" customWidth="1"/>
    <col min="1806" max="1806" width="7.7109375" style="14" bestFit="1" customWidth="1"/>
    <col min="1807" max="1807" width="10.7109375" style="14" bestFit="1" customWidth="1"/>
    <col min="1808" max="1808" width="9.28515625" style="14" bestFit="1" customWidth="1"/>
    <col min="1809" max="1809" width="8.7109375" style="14" bestFit="1" customWidth="1"/>
    <col min="1810" max="2048" width="9.140625" style="14"/>
    <col min="2049" max="2049" width="4.42578125" style="14" bestFit="1" customWidth="1"/>
    <col min="2050" max="2050" width="13.85546875" style="14" bestFit="1" customWidth="1"/>
    <col min="2051" max="2051" width="11.28515625" style="14" bestFit="1" customWidth="1"/>
    <col min="2052" max="2052" width="14.5703125" style="14" bestFit="1" customWidth="1"/>
    <col min="2053" max="2053" width="4.5703125" style="14" bestFit="1" customWidth="1"/>
    <col min="2054" max="2054" width="22.140625" style="14" bestFit="1" customWidth="1"/>
    <col min="2055" max="2055" width="24.140625" style="14" bestFit="1" customWidth="1"/>
    <col min="2056" max="2056" width="10.7109375" style="14" bestFit="1" customWidth="1"/>
    <col min="2057" max="2057" width="20" style="14" bestFit="1" customWidth="1"/>
    <col min="2058" max="2058" width="11.85546875" style="14" bestFit="1" customWidth="1"/>
    <col min="2059" max="2059" width="10.42578125" style="14" bestFit="1" customWidth="1"/>
    <col min="2060" max="2060" width="42.28515625" style="14" bestFit="1" customWidth="1"/>
    <col min="2061" max="2061" width="13.5703125" style="14" bestFit="1" customWidth="1"/>
    <col min="2062" max="2062" width="7.7109375" style="14" bestFit="1" customWidth="1"/>
    <col min="2063" max="2063" width="10.7109375" style="14" bestFit="1" customWidth="1"/>
    <col min="2064" max="2064" width="9.28515625" style="14" bestFit="1" customWidth="1"/>
    <col min="2065" max="2065" width="8.7109375" style="14" bestFit="1" customWidth="1"/>
    <col min="2066" max="2304" width="9.140625" style="14"/>
    <col min="2305" max="2305" width="4.42578125" style="14" bestFit="1" customWidth="1"/>
    <col min="2306" max="2306" width="13.85546875" style="14" bestFit="1" customWidth="1"/>
    <col min="2307" max="2307" width="11.28515625" style="14" bestFit="1" customWidth="1"/>
    <col min="2308" max="2308" width="14.5703125" style="14" bestFit="1" customWidth="1"/>
    <col min="2309" max="2309" width="4.5703125" style="14" bestFit="1" customWidth="1"/>
    <col min="2310" max="2310" width="22.140625" style="14" bestFit="1" customWidth="1"/>
    <col min="2311" max="2311" width="24.140625" style="14" bestFit="1" customWidth="1"/>
    <col min="2312" max="2312" width="10.7109375" style="14" bestFit="1" customWidth="1"/>
    <col min="2313" max="2313" width="20" style="14" bestFit="1" customWidth="1"/>
    <col min="2314" max="2314" width="11.85546875" style="14" bestFit="1" customWidth="1"/>
    <col min="2315" max="2315" width="10.42578125" style="14" bestFit="1" customWidth="1"/>
    <col min="2316" max="2316" width="42.28515625" style="14" bestFit="1" customWidth="1"/>
    <col min="2317" max="2317" width="13.5703125" style="14" bestFit="1" customWidth="1"/>
    <col min="2318" max="2318" width="7.7109375" style="14" bestFit="1" customWidth="1"/>
    <col min="2319" max="2319" width="10.7109375" style="14" bestFit="1" customWidth="1"/>
    <col min="2320" max="2320" width="9.28515625" style="14" bestFit="1" customWidth="1"/>
    <col min="2321" max="2321" width="8.7109375" style="14" bestFit="1" customWidth="1"/>
    <col min="2322" max="2560" width="9.140625" style="14"/>
    <col min="2561" max="2561" width="4.42578125" style="14" bestFit="1" customWidth="1"/>
    <col min="2562" max="2562" width="13.85546875" style="14" bestFit="1" customWidth="1"/>
    <col min="2563" max="2563" width="11.28515625" style="14" bestFit="1" customWidth="1"/>
    <col min="2564" max="2564" width="14.5703125" style="14" bestFit="1" customWidth="1"/>
    <col min="2565" max="2565" width="4.5703125" style="14" bestFit="1" customWidth="1"/>
    <col min="2566" max="2566" width="22.140625" style="14" bestFit="1" customWidth="1"/>
    <col min="2567" max="2567" width="24.140625" style="14" bestFit="1" customWidth="1"/>
    <col min="2568" max="2568" width="10.7109375" style="14" bestFit="1" customWidth="1"/>
    <col min="2569" max="2569" width="20" style="14" bestFit="1" customWidth="1"/>
    <col min="2570" max="2570" width="11.85546875" style="14" bestFit="1" customWidth="1"/>
    <col min="2571" max="2571" width="10.42578125" style="14" bestFit="1" customWidth="1"/>
    <col min="2572" max="2572" width="42.28515625" style="14" bestFit="1" customWidth="1"/>
    <col min="2573" max="2573" width="13.5703125" style="14" bestFit="1" customWidth="1"/>
    <col min="2574" max="2574" width="7.7109375" style="14" bestFit="1" customWidth="1"/>
    <col min="2575" max="2575" width="10.7109375" style="14" bestFit="1" customWidth="1"/>
    <col min="2576" max="2576" width="9.28515625" style="14" bestFit="1" customWidth="1"/>
    <col min="2577" max="2577" width="8.7109375" style="14" bestFit="1" customWidth="1"/>
    <col min="2578" max="2816" width="9.140625" style="14"/>
    <col min="2817" max="2817" width="4.42578125" style="14" bestFit="1" customWidth="1"/>
    <col min="2818" max="2818" width="13.85546875" style="14" bestFit="1" customWidth="1"/>
    <col min="2819" max="2819" width="11.28515625" style="14" bestFit="1" customWidth="1"/>
    <col min="2820" max="2820" width="14.5703125" style="14" bestFit="1" customWidth="1"/>
    <col min="2821" max="2821" width="4.5703125" style="14" bestFit="1" customWidth="1"/>
    <col min="2822" max="2822" width="22.140625" style="14" bestFit="1" customWidth="1"/>
    <col min="2823" max="2823" width="24.140625" style="14" bestFit="1" customWidth="1"/>
    <col min="2824" max="2824" width="10.7109375" style="14" bestFit="1" customWidth="1"/>
    <col min="2825" max="2825" width="20" style="14" bestFit="1" customWidth="1"/>
    <col min="2826" max="2826" width="11.85546875" style="14" bestFit="1" customWidth="1"/>
    <col min="2827" max="2827" width="10.42578125" style="14" bestFit="1" customWidth="1"/>
    <col min="2828" max="2828" width="42.28515625" style="14" bestFit="1" customWidth="1"/>
    <col min="2829" max="2829" width="13.5703125" style="14" bestFit="1" customWidth="1"/>
    <col min="2830" max="2830" width="7.7109375" style="14" bestFit="1" customWidth="1"/>
    <col min="2831" max="2831" width="10.7109375" style="14" bestFit="1" customWidth="1"/>
    <col min="2832" max="2832" width="9.28515625" style="14" bestFit="1" customWidth="1"/>
    <col min="2833" max="2833" width="8.7109375" style="14" bestFit="1" customWidth="1"/>
    <col min="2834" max="3072" width="9.140625" style="14"/>
    <col min="3073" max="3073" width="4.42578125" style="14" bestFit="1" customWidth="1"/>
    <col min="3074" max="3074" width="13.85546875" style="14" bestFit="1" customWidth="1"/>
    <col min="3075" max="3075" width="11.28515625" style="14" bestFit="1" customWidth="1"/>
    <col min="3076" max="3076" width="14.5703125" style="14" bestFit="1" customWidth="1"/>
    <col min="3077" max="3077" width="4.5703125" style="14" bestFit="1" customWidth="1"/>
    <col min="3078" max="3078" width="22.140625" style="14" bestFit="1" customWidth="1"/>
    <col min="3079" max="3079" width="24.140625" style="14" bestFit="1" customWidth="1"/>
    <col min="3080" max="3080" width="10.7109375" style="14" bestFit="1" customWidth="1"/>
    <col min="3081" max="3081" width="20" style="14" bestFit="1" customWidth="1"/>
    <col min="3082" max="3082" width="11.85546875" style="14" bestFit="1" customWidth="1"/>
    <col min="3083" max="3083" width="10.42578125" style="14" bestFit="1" customWidth="1"/>
    <col min="3084" max="3084" width="42.28515625" style="14" bestFit="1" customWidth="1"/>
    <col min="3085" max="3085" width="13.5703125" style="14" bestFit="1" customWidth="1"/>
    <col min="3086" max="3086" width="7.7109375" style="14" bestFit="1" customWidth="1"/>
    <col min="3087" max="3087" width="10.7109375" style="14" bestFit="1" customWidth="1"/>
    <col min="3088" max="3088" width="9.28515625" style="14" bestFit="1" customWidth="1"/>
    <col min="3089" max="3089" width="8.7109375" style="14" bestFit="1" customWidth="1"/>
    <col min="3090" max="3328" width="9.140625" style="14"/>
    <col min="3329" max="3329" width="4.42578125" style="14" bestFit="1" customWidth="1"/>
    <col min="3330" max="3330" width="13.85546875" style="14" bestFit="1" customWidth="1"/>
    <col min="3331" max="3331" width="11.28515625" style="14" bestFit="1" customWidth="1"/>
    <col min="3332" max="3332" width="14.5703125" style="14" bestFit="1" customWidth="1"/>
    <col min="3333" max="3333" width="4.5703125" style="14" bestFit="1" customWidth="1"/>
    <col min="3334" max="3334" width="22.140625" style="14" bestFit="1" customWidth="1"/>
    <col min="3335" max="3335" width="24.140625" style="14" bestFit="1" customWidth="1"/>
    <col min="3336" max="3336" width="10.7109375" style="14" bestFit="1" customWidth="1"/>
    <col min="3337" max="3337" width="20" style="14" bestFit="1" customWidth="1"/>
    <col min="3338" max="3338" width="11.85546875" style="14" bestFit="1" customWidth="1"/>
    <col min="3339" max="3339" width="10.42578125" style="14" bestFit="1" customWidth="1"/>
    <col min="3340" max="3340" width="42.28515625" style="14" bestFit="1" customWidth="1"/>
    <col min="3341" max="3341" width="13.5703125" style="14" bestFit="1" customWidth="1"/>
    <col min="3342" max="3342" width="7.7109375" style="14" bestFit="1" customWidth="1"/>
    <col min="3343" max="3343" width="10.7109375" style="14" bestFit="1" customWidth="1"/>
    <col min="3344" max="3344" width="9.28515625" style="14" bestFit="1" customWidth="1"/>
    <col min="3345" max="3345" width="8.7109375" style="14" bestFit="1" customWidth="1"/>
    <col min="3346" max="3584" width="9.140625" style="14"/>
    <col min="3585" max="3585" width="4.42578125" style="14" bestFit="1" customWidth="1"/>
    <col min="3586" max="3586" width="13.85546875" style="14" bestFit="1" customWidth="1"/>
    <col min="3587" max="3587" width="11.28515625" style="14" bestFit="1" customWidth="1"/>
    <col min="3588" max="3588" width="14.5703125" style="14" bestFit="1" customWidth="1"/>
    <col min="3589" max="3589" width="4.5703125" style="14" bestFit="1" customWidth="1"/>
    <col min="3590" max="3590" width="22.140625" style="14" bestFit="1" customWidth="1"/>
    <col min="3591" max="3591" width="24.140625" style="14" bestFit="1" customWidth="1"/>
    <col min="3592" max="3592" width="10.7109375" style="14" bestFit="1" customWidth="1"/>
    <col min="3593" max="3593" width="20" style="14" bestFit="1" customWidth="1"/>
    <col min="3594" max="3594" width="11.85546875" style="14" bestFit="1" customWidth="1"/>
    <col min="3595" max="3595" width="10.42578125" style="14" bestFit="1" customWidth="1"/>
    <col min="3596" max="3596" width="42.28515625" style="14" bestFit="1" customWidth="1"/>
    <col min="3597" max="3597" width="13.5703125" style="14" bestFit="1" customWidth="1"/>
    <col min="3598" max="3598" width="7.7109375" style="14" bestFit="1" customWidth="1"/>
    <col min="3599" max="3599" width="10.7109375" style="14" bestFit="1" customWidth="1"/>
    <col min="3600" max="3600" width="9.28515625" style="14" bestFit="1" customWidth="1"/>
    <col min="3601" max="3601" width="8.7109375" style="14" bestFit="1" customWidth="1"/>
    <col min="3602" max="3840" width="9.140625" style="14"/>
    <col min="3841" max="3841" width="4.42578125" style="14" bestFit="1" customWidth="1"/>
    <col min="3842" max="3842" width="13.85546875" style="14" bestFit="1" customWidth="1"/>
    <col min="3843" max="3843" width="11.28515625" style="14" bestFit="1" customWidth="1"/>
    <col min="3844" max="3844" width="14.5703125" style="14" bestFit="1" customWidth="1"/>
    <col min="3845" max="3845" width="4.5703125" style="14" bestFit="1" customWidth="1"/>
    <col min="3846" max="3846" width="22.140625" style="14" bestFit="1" customWidth="1"/>
    <col min="3847" max="3847" width="24.140625" style="14" bestFit="1" customWidth="1"/>
    <col min="3848" max="3848" width="10.7109375" style="14" bestFit="1" customWidth="1"/>
    <col min="3849" max="3849" width="20" style="14" bestFit="1" customWidth="1"/>
    <col min="3850" max="3850" width="11.85546875" style="14" bestFit="1" customWidth="1"/>
    <col min="3851" max="3851" width="10.42578125" style="14" bestFit="1" customWidth="1"/>
    <col min="3852" max="3852" width="42.28515625" style="14" bestFit="1" customWidth="1"/>
    <col min="3853" max="3853" width="13.5703125" style="14" bestFit="1" customWidth="1"/>
    <col min="3854" max="3854" width="7.7109375" style="14" bestFit="1" customWidth="1"/>
    <col min="3855" max="3855" width="10.7109375" style="14" bestFit="1" customWidth="1"/>
    <col min="3856" max="3856" width="9.28515625" style="14" bestFit="1" customWidth="1"/>
    <col min="3857" max="3857" width="8.7109375" style="14" bestFit="1" customWidth="1"/>
    <col min="3858" max="4096" width="9.140625" style="14"/>
    <col min="4097" max="4097" width="4.42578125" style="14" bestFit="1" customWidth="1"/>
    <col min="4098" max="4098" width="13.85546875" style="14" bestFit="1" customWidth="1"/>
    <col min="4099" max="4099" width="11.28515625" style="14" bestFit="1" customWidth="1"/>
    <col min="4100" max="4100" width="14.5703125" style="14" bestFit="1" customWidth="1"/>
    <col min="4101" max="4101" width="4.5703125" style="14" bestFit="1" customWidth="1"/>
    <col min="4102" max="4102" width="22.140625" style="14" bestFit="1" customWidth="1"/>
    <col min="4103" max="4103" width="24.140625" style="14" bestFit="1" customWidth="1"/>
    <col min="4104" max="4104" width="10.7109375" style="14" bestFit="1" customWidth="1"/>
    <col min="4105" max="4105" width="20" style="14" bestFit="1" customWidth="1"/>
    <col min="4106" max="4106" width="11.85546875" style="14" bestFit="1" customWidth="1"/>
    <col min="4107" max="4107" width="10.42578125" style="14" bestFit="1" customWidth="1"/>
    <col min="4108" max="4108" width="42.28515625" style="14" bestFit="1" customWidth="1"/>
    <col min="4109" max="4109" width="13.5703125" style="14" bestFit="1" customWidth="1"/>
    <col min="4110" max="4110" width="7.7109375" style="14" bestFit="1" customWidth="1"/>
    <col min="4111" max="4111" width="10.7109375" style="14" bestFit="1" customWidth="1"/>
    <col min="4112" max="4112" width="9.28515625" style="14" bestFit="1" customWidth="1"/>
    <col min="4113" max="4113" width="8.7109375" style="14" bestFit="1" customWidth="1"/>
    <col min="4114" max="4352" width="9.140625" style="14"/>
    <col min="4353" max="4353" width="4.42578125" style="14" bestFit="1" customWidth="1"/>
    <col min="4354" max="4354" width="13.85546875" style="14" bestFit="1" customWidth="1"/>
    <col min="4355" max="4355" width="11.28515625" style="14" bestFit="1" customWidth="1"/>
    <col min="4356" max="4356" width="14.5703125" style="14" bestFit="1" customWidth="1"/>
    <col min="4357" max="4357" width="4.5703125" style="14" bestFit="1" customWidth="1"/>
    <col min="4358" max="4358" width="22.140625" style="14" bestFit="1" customWidth="1"/>
    <col min="4359" max="4359" width="24.140625" style="14" bestFit="1" customWidth="1"/>
    <col min="4360" max="4360" width="10.7109375" style="14" bestFit="1" customWidth="1"/>
    <col min="4361" max="4361" width="20" style="14" bestFit="1" customWidth="1"/>
    <col min="4362" max="4362" width="11.85546875" style="14" bestFit="1" customWidth="1"/>
    <col min="4363" max="4363" width="10.42578125" style="14" bestFit="1" customWidth="1"/>
    <col min="4364" max="4364" width="42.28515625" style="14" bestFit="1" customWidth="1"/>
    <col min="4365" max="4365" width="13.5703125" style="14" bestFit="1" customWidth="1"/>
    <col min="4366" max="4366" width="7.7109375" style="14" bestFit="1" customWidth="1"/>
    <col min="4367" max="4367" width="10.7109375" style="14" bestFit="1" customWidth="1"/>
    <col min="4368" max="4368" width="9.28515625" style="14" bestFit="1" customWidth="1"/>
    <col min="4369" max="4369" width="8.7109375" style="14" bestFit="1" customWidth="1"/>
    <col min="4370" max="4608" width="9.140625" style="14"/>
    <col min="4609" max="4609" width="4.42578125" style="14" bestFit="1" customWidth="1"/>
    <col min="4610" max="4610" width="13.85546875" style="14" bestFit="1" customWidth="1"/>
    <col min="4611" max="4611" width="11.28515625" style="14" bestFit="1" customWidth="1"/>
    <col min="4612" max="4612" width="14.5703125" style="14" bestFit="1" customWidth="1"/>
    <col min="4613" max="4613" width="4.5703125" style="14" bestFit="1" customWidth="1"/>
    <col min="4614" max="4614" width="22.140625" style="14" bestFit="1" customWidth="1"/>
    <col min="4615" max="4615" width="24.140625" style="14" bestFit="1" customWidth="1"/>
    <col min="4616" max="4616" width="10.7109375" style="14" bestFit="1" customWidth="1"/>
    <col min="4617" max="4617" width="20" style="14" bestFit="1" customWidth="1"/>
    <col min="4618" max="4618" width="11.85546875" style="14" bestFit="1" customWidth="1"/>
    <col min="4619" max="4619" width="10.42578125" style="14" bestFit="1" customWidth="1"/>
    <col min="4620" max="4620" width="42.28515625" style="14" bestFit="1" customWidth="1"/>
    <col min="4621" max="4621" width="13.5703125" style="14" bestFit="1" customWidth="1"/>
    <col min="4622" max="4622" width="7.7109375" style="14" bestFit="1" customWidth="1"/>
    <col min="4623" max="4623" width="10.7109375" style="14" bestFit="1" customWidth="1"/>
    <col min="4624" max="4624" width="9.28515625" style="14" bestFit="1" customWidth="1"/>
    <col min="4625" max="4625" width="8.7109375" style="14" bestFit="1" customWidth="1"/>
    <col min="4626" max="4864" width="9.140625" style="14"/>
    <col min="4865" max="4865" width="4.42578125" style="14" bestFit="1" customWidth="1"/>
    <col min="4866" max="4866" width="13.85546875" style="14" bestFit="1" customWidth="1"/>
    <col min="4867" max="4867" width="11.28515625" style="14" bestFit="1" customWidth="1"/>
    <col min="4868" max="4868" width="14.5703125" style="14" bestFit="1" customWidth="1"/>
    <col min="4869" max="4869" width="4.5703125" style="14" bestFit="1" customWidth="1"/>
    <col min="4870" max="4870" width="22.140625" style="14" bestFit="1" customWidth="1"/>
    <col min="4871" max="4871" width="24.140625" style="14" bestFit="1" customWidth="1"/>
    <col min="4872" max="4872" width="10.7109375" style="14" bestFit="1" customWidth="1"/>
    <col min="4873" max="4873" width="20" style="14" bestFit="1" customWidth="1"/>
    <col min="4874" max="4874" width="11.85546875" style="14" bestFit="1" customWidth="1"/>
    <col min="4875" max="4875" width="10.42578125" style="14" bestFit="1" customWidth="1"/>
    <col min="4876" max="4876" width="42.28515625" style="14" bestFit="1" customWidth="1"/>
    <col min="4877" max="4877" width="13.5703125" style="14" bestFit="1" customWidth="1"/>
    <col min="4878" max="4878" width="7.7109375" style="14" bestFit="1" customWidth="1"/>
    <col min="4879" max="4879" width="10.7109375" style="14" bestFit="1" customWidth="1"/>
    <col min="4880" max="4880" width="9.28515625" style="14" bestFit="1" customWidth="1"/>
    <col min="4881" max="4881" width="8.7109375" style="14" bestFit="1" customWidth="1"/>
    <col min="4882" max="5120" width="9.140625" style="14"/>
    <col min="5121" max="5121" width="4.42578125" style="14" bestFit="1" customWidth="1"/>
    <col min="5122" max="5122" width="13.85546875" style="14" bestFit="1" customWidth="1"/>
    <col min="5123" max="5123" width="11.28515625" style="14" bestFit="1" customWidth="1"/>
    <col min="5124" max="5124" width="14.5703125" style="14" bestFit="1" customWidth="1"/>
    <col min="5125" max="5125" width="4.5703125" style="14" bestFit="1" customWidth="1"/>
    <col min="5126" max="5126" width="22.140625" style="14" bestFit="1" customWidth="1"/>
    <col min="5127" max="5127" width="24.140625" style="14" bestFit="1" customWidth="1"/>
    <col min="5128" max="5128" width="10.7109375" style="14" bestFit="1" customWidth="1"/>
    <col min="5129" max="5129" width="20" style="14" bestFit="1" customWidth="1"/>
    <col min="5130" max="5130" width="11.85546875" style="14" bestFit="1" customWidth="1"/>
    <col min="5131" max="5131" width="10.42578125" style="14" bestFit="1" customWidth="1"/>
    <col min="5132" max="5132" width="42.28515625" style="14" bestFit="1" customWidth="1"/>
    <col min="5133" max="5133" width="13.5703125" style="14" bestFit="1" customWidth="1"/>
    <col min="5134" max="5134" width="7.7109375" style="14" bestFit="1" customWidth="1"/>
    <col min="5135" max="5135" width="10.7109375" style="14" bestFit="1" customWidth="1"/>
    <col min="5136" max="5136" width="9.28515625" style="14" bestFit="1" customWidth="1"/>
    <col min="5137" max="5137" width="8.7109375" style="14" bestFit="1" customWidth="1"/>
    <col min="5138" max="5376" width="9.140625" style="14"/>
    <col min="5377" max="5377" width="4.42578125" style="14" bestFit="1" customWidth="1"/>
    <col min="5378" max="5378" width="13.85546875" style="14" bestFit="1" customWidth="1"/>
    <col min="5379" max="5379" width="11.28515625" style="14" bestFit="1" customWidth="1"/>
    <col min="5380" max="5380" width="14.5703125" style="14" bestFit="1" customWidth="1"/>
    <col min="5381" max="5381" width="4.5703125" style="14" bestFit="1" customWidth="1"/>
    <col min="5382" max="5382" width="22.140625" style="14" bestFit="1" customWidth="1"/>
    <col min="5383" max="5383" width="24.140625" style="14" bestFit="1" customWidth="1"/>
    <col min="5384" max="5384" width="10.7109375" style="14" bestFit="1" customWidth="1"/>
    <col min="5385" max="5385" width="20" style="14" bestFit="1" customWidth="1"/>
    <col min="5386" max="5386" width="11.85546875" style="14" bestFit="1" customWidth="1"/>
    <col min="5387" max="5387" width="10.42578125" style="14" bestFit="1" customWidth="1"/>
    <col min="5388" max="5388" width="42.28515625" style="14" bestFit="1" customWidth="1"/>
    <col min="5389" max="5389" width="13.5703125" style="14" bestFit="1" customWidth="1"/>
    <col min="5390" max="5390" width="7.7109375" style="14" bestFit="1" customWidth="1"/>
    <col min="5391" max="5391" width="10.7109375" style="14" bestFit="1" customWidth="1"/>
    <col min="5392" max="5392" width="9.28515625" style="14" bestFit="1" customWidth="1"/>
    <col min="5393" max="5393" width="8.7109375" style="14" bestFit="1" customWidth="1"/>
    <col min="5394" max="5632" width="9.140625" style="14"/>
    <col min="5633" max="5633" width="4.42578125" style="14" bestFit="1" customWidth="1"/>
    <col min="5634" max="5634" width="13.85546875" style="14" bestFit="1" customWidth="1"/>
    <col min="5635" max="5635" width="11.28515625" style="14" bestFit="1" customWidth="1"/>
    <col min="5636" max="5636" width="14.5703125" style="14" bestFit="1" customWidth="1"/>
    <col min="5637" max="5637" width="4.5703125" style="14" bestFit="1" customWidth="1"/>
    <col min="5638" max="5638" width="22.140625" style="14" bestFit="1" customWidth="1"/>
    <col min="5639" max="5639" width="24.140625" style="14" bestFit="1" customWidth="1"/>
    <col min="5640" max="5640" width="10.7109375" style="14" bestFit="1" customWidth="1"/>
    <col min="5641" max="5641" width="20" style="14" bestFit="1" customWidth="1"/>
    <col min="5642" max="5642" width="11.85546875" style="14" bestFit="1" customWidth="1"/>
    <col min="5643" max="5643" width="10.42578125" style="14" bestFit="1" customWidth="1"/>
    <col min="5644" max="5644" width="42.28515625" style="14" bestFit="1" customWidth="1"/>
    <col min="5645" max="5645" width="13.5703125" style="14" bestFit="1" customWidth="1"/>
    <col min="5646" max="5646" width="7.7109375" style="14" bestFit="1" customWidth="1"/>
    <col min="5647" max="5647" width="10.7109375" style="14" bestFit="1" customWidth="1"/>
    <col min="5648" max="5648" width="9.28515625" style="14" bestFit="1" customWidth="1"/>
    <col min="5649" max="5649" width="8.7109375" style="14" bestFit="1" customWidth="1"/>
    <col min="5650" max="5888" width="9.140625" style="14"/>
    <col min="5889" max="5889" width="4.42578125" style="14" bestFit="1" customWidth="1"/>
    <col min="5890" max="5890" width="13.85546875" style="14" bestFit="1" customWidth="1"/>
    <col min="5891" max="5891" width="11.28515625" style="14" bestFit="1" customWidth="1"/>
    <col min="5892" max="5892" width="14.5703125" style="14" bestFit="1" customWidth="1"/>
    <col min="5893" max="5893" width="4.5703125" style="14" bestFit="1" customWidth="1"/>
    <col min="5894" max="5894" width="22.140625" style="14" bestFit="1" customWidth="1"/>
    <col min="5895" max="5895" width="24.140625" style="14" bestFit="1" customWidth="1"/>
    <col min="5896" max="5896" width="10.7109375" style="14" bestFit="1" customWidth="1"/>
    <col min="5897" max="5897" width="20" style="14" bestFit="1" customWidth="1"/>
    <col min="5898" max="5898" width="11.85546875" style="14" bestFit="1" customWidth="1"/>
    <col min="5899" max="5899" width="10.42578125" style="14" bestFit="1" customWidth="1"/>
    <col min="5900" max="5900" width="42.28515625" style="14" bestFit="1" customWidth="1"/>
    <col min="5901" max="5901" width="13.5703125" style="14" bestFit="1" customWidth="1"/>
    <col min="5902" max="5902" width="7.7109375" style="14" bestFit="1" customWidth="1"/>
    <col min="5903" max="5903" width="10.7109375" style="14" bestFit="1" customWidth="1"/>
    <col min="5904" max="5904" width="9.28515625" style="14" bestFit="1" customWidth="1"/>
    <col min="5905" max="5905" width="8.7109375" style="14" bestFit="1" customWidth="1"/>
    <col min="5906" max="6144" width="9.140625" style="14"/>
    <col min="6145" max="6145" width="4.42578125" style="14" bestFit="1" customWidth="1"/>
    <col min="6146" max="6146" width="13.85546875" style="14" bestFit="1" customWidth="1"/>
    <col min="6147" max="6147" width="11.28515625" style="14" bestFit="1" customWidth="1"/>
    <col min="6148" max="6148" width="14.5703125" style="14" bestFit="1" customWidth="1"/>
    <col min="6149" max="6149" width="4.5703125" style="14" bestFit="1" customWidth="1"/>
    <col min="6150" max="6150" width="22.140625" style="14" bestFit="1" customWidth="1"/>
    <col min="6151" max="6151" width="24.140625" style="14" bestFit="1" customWidth="1"/>
    <col min="6152" max="6152" width="10.7109375" style="14" bestFit="1" customWidth="1"/>
    <col min="6153" max="6153" width="20" style="14" bestFit="1" customWidth="1"/>
    <col min="6154" max="6154" width="11.85546875" style="14" bestFit="1" customWidth="1"/>
    <col min="6155" max="6155" width="10.42578125" style="14" bestFit="1" customWidth="1"/>
    <col min="6156" max="6156" width="42.28515625" style="14" bestFit="1" customWidth="1"/>
    <col min="6157" max="6157" width="13.5703125" style="14" bestFit="1" customWidth="1"/>
    <col min="6158" max="6158" width="7.7109375" style="14" bestFit="1" customWidth="1"/>
    <col min="6159" max="6159" width="10.7109375" style="14" bestFit="1" customWidth="1"/>
    <col min="6160" max="6160" width="9.28515625" style="14" bestFit="1" customWidth="1"/>
    <col min="6161" max="6161" width="8.7109375" style="14" bestFit="1" customWidth="1"/>
    <col min="6162" max="6400" width="9.140625" style="14"/>
    <col min="6401" max="6401" width="4.42578125" style="14" bestFit="1" customWidth="1"/>
    <col min="6402" max="6402" width="13.85546875" style="14" bestFit="1" customWidth="1"/>
    <col min="6403" max="6403" width="11.28515625" style="14" bestFit="1" customWidth="1"/>
    <col min="6404" max="6404" width="14.5703125" style="14" bestFit="1" customWidth="1"/>
    <col min="6405" max="6405" width="4.5703125" style="14" bestFit="1" customWidth="1"/>
    <col min="6406" max="6406" width="22.140625" style="14" bestFit="1" customWidth="1"/>
    <col min="6407" max="6407" width="24.140625" style="14" bestFit="1" customWidth="1"/>
    <col min="6408" max="6408" width="10.7109375" style="14" bestFit="1" customWidth="1"/>
    <col min="6409" max="6409" width="20" style="14" bestFit="1" customWidth="1"/>
    <col min="6410" max="6410" width="11.85546875" style="14" bestFit="1" customWidth="1"/>
    <col min="6411" max="6411" width="10.42578125" style="14" bestFit="1" customWidth="1"/>
    <col min="6412" max="6412" width="42.28515625" style="14" bestFit="1" customWidth="1"/>
    <col min="6413" max="6413" width="13.5703125" style="14" bestFit="1" customWidth="1"/>
    <col min="6414" max="6414" width="7.7109375" style="14" bestFit="1" customWidth="1"/>
    <col min="6415" max="6415" width="10.7109375" style="14" bestFit="1" customWidth="1"/>
    <col min="6416" max="6416" width="9.28515625" style="14" bestFit="1" customWidth="1"/>
    <col min="6417" max="6417" width="8.7109375" style="14" bestFit="1" customWidth="1"/>
    <col min="6418" max="6656" width="9.140625" style="14"/>
    <col min="6657" max="6657" width="4.42578125" style="14" bestFit="1" customWidth="1"/>
    <col min="6658" max="6658" width="13.85546875" style="14" bestFit="1" customWidth="1"/>
    <col min="6659" max="6659" width="11.28515625" style="14" bestFit="1" customWidth="1"/>
    <col min="6660" max="6660" width="14.5703125" style="14" bestFit="1" customWidth="1"/>
    <col min="6661" max="6661" width="4.5703125" style="14" bestFit="1" customWidth="1"/>
    <col min="6662" max="6662" width="22.140625" style="14" bestFit="1" customWidth="1"/>
    <col min="6663" max="6663" width="24.140625" style="14" bestFit="1" customWidth="1"/>
    <col min="6664" max="6664" width="10.7109375" style="14" bestFit="1" customWidth="1"/>
    <col min="6665" max="6665" width="20" style="14" bestFit="1" customWidth="1"/>
    <col min="6666" max="6666" width="11.85546875" style="14" bestFit="1" customWidth="1"/>
    <col min="6667" max="6667" width="10.42578125" style="14" bestFit="1" customWidth="1"/>
    <col min="6668" max="6668" width="42.28515625" style="14" bestFit="1" customWidth="1"/>
    <col min="6669" max="6669" width="13.5703125" style="14" bestFit="1" customWidth="1"/>
    <col min="6670" max="6670" width="7.7109375" style="14" bestFit="1" customWidth="1"/>
    <col min="6671" max="6671" width="10.7109375" style="14" bestFit="1" customWidth="1"/>
    <col min="6672" max="6672" width="9.28515625" style="14" bestFit="1" customWidth="1"/>
    <col min="6673" max="6673" width="8.7109375" style="14" bestFit="1" customWidth="1"/>
    <col min="6674" max="6912" width="9.140625" style="14"/>
    <col min="6913" max="6913" width="4.42578125" style="14" bestFit="1" customWidth="1"/>
    <col min="6914" max="6914" width="13.85546875" style="14" bestFit="1" customWidth="1"/>
    <col min="6915" max="6915" width="11.28515625" style="14" bestFit="1" customWidth="1"/>
    <col min="6916" max="6916" width="14.5703125" style="14" bestFit="1" customWidth="1"/>
    <col min="6917" max="6917" width="4.5703125" style="14" bestFit="1" customWidth="1"/>
    <col min="6918" max="6918" width="22.140625" style="14" bestFit="1" customWidth="1"/>
    <col min="6919" max="6919" width="24.140625" style="14" bestFit="1" customWidth="1"/>
    <col min="6920" max="6920" width="10.7109375" style="14" bestFit="1" customWidth="1"/>
    <col min="6921" max="6921" width="20" style="14" bestFit="1" customWidth="1"/>
    <col min="6922" max="6922" width="11.85546875" style="14" bestFit="1" customWidth="1"/>
    <col min="6923" max="6923" width="10.42578125" style="14" bestFit="1" customWidth="1"/>
    <col min="6924" max="6924" width="42.28515625" style="14" bestFit="1" customWidth="1"/>
    <col min="6925" max="6925" width="13.5703125" style="14" bestFit="1" customWidth="1"/>
    <col min="6926" max="6926" width="7.7109375" style="14" bestFit="1" customWidth="1"/>
    <col min="6927" max="6927" width="10.7109375" style="14" bestFit="1" customWidth="1"/>
    <col min="6928" max="6928" width="9.28515625" style="14" bestFit="1" customWidth="1"/>
    <col min="6929" max="6929" width="8.7109375" style="14" bestFit="1" customWidth="1"/>
    <col min="6930" max="7168" width="9.140625" style="14"/>
    <col min="7169" max="7169" width="4.42578125" style="14" bestFit="1" customWidth="1"/>
    <col min="7170" max="7170" width="13.85546875" style="14" bestFit="1" customWidth="1"/>
    <col min="7171" max="7171" width="11.28515625" style="14" bestFit="1" customWidth="1"/>
    <col min="7172" max="7172" width="14.5703125" style="14" bestFit="1" customWidth="1"/>
    <col min="7173" max="7173" width="4.5703125" style="14" bestFit="1" customWidth="1"/>
    <col min="7174" max="7174" width="22.140625" style="14" bestFit="1" customWidth="1"/>
    <col min="7175" max="7175" width="24.140625" style="14" bestFit="1" customWidth="1"/>
    <col min="7176" max="7176" width="10.7109375" style="14" bestFit="1" customWidth="1"/>
    <col min="7177" max="7177" width="20" style="14" bestFit="1" customWidth="1"/>
    <col min="7178" max="7178" width="11.85546875" style="14" bestFit="1" customWidth="1"/>
    <col min="7179" max="7179" width="10.42578125" style="14" bestFit="1" customWidth="1"/>
    <col min="7180" max="7180" width="42.28515625" style="14" bestFit="1" customWidth="1"/>
    <col min="7181" max="7181" width="13.5703125" style="14" bestFit="1" customWidth="1"/>
    <col min="7182" max="7182" width="7.7109375" style="14" bestFit="1" customWidth="1"/>
    <col min="7183" max="7183" width="10.7109375" style="14" bestFit="1" customWidth="1"/>
    <col min="7184" max="7184" width="9.28515625" style="14" bestFit="1" customWidth="1"/>
    <col min="7185" max="7185" width="8.7109375" style="14" bestFit="1" customWidth="1"/>
    <col min="7186" max="7424" width="9.140625" style="14"/>
    <col min="7425" max="7425" width="4.42578125" style="14" bestFit="1" customWidth="1"/>
    <col min="7426" max="7426" width="13.85546875" style="14" bestFit="1" customWidth="1"/>
    <col min="7427" max="7427" width="11.28515625" style="14" bestFit="1" customWidth="1"/>
    <col min="7428" max="7428" width="14.5703125" style="14" bestFit="1" customWidth="1"/>
    <col min="7429" max="7429" width="4.5703125" style="14" bestFit="1" customWidth="1"/>
    <col min="7430" max="7430" width="22.140625" style="14" bestFit="1" customWidth="1"/>
    <col min="7431" max="7431" width="24.140625" style="14" bestFit="1" customWidth="1"/>
    <col min="7432" max="7432" width="10.7109375" style="14" bestFit="1" customWidth="1"/>
    <col min="7433" max="7433" width="20" style="14" bestFit="1" customWidth="1"/>
    <col min="7434" max="7434" width="11.85546875" style="14" bestFit="1" customWidth="1"/>
    <col min="7435" max="7435" width="10.42578125" style="14" bestFit="1" customWidth="1"/>
    <col min="7436" max="7436" width="42.28515625" style="14" bestFit="1" customWidth="1"/>
    <col min="7437" max="7437" width="13.5703125" style="14" bestFit="1" customWidth="1"/>
    <col min="7438" max="7438" width="7.7109375" style="14" bestFit="1" customWidth="1"/>
    <col min="7439" max="7439" width="10.7109375" style="14" bestFit="1" customWidth="1"/>
    <col min="7440" max="7440" width="9.28515625" style="14" bestFit="1" customWidth="1"/>
    <col min="7441" max="7441" width="8.7109375" style="14" bestFit="1" customWidth="1"/>
    <col min="7442" max="7680" width="9.140625" style="14"/>
    <col min="7681" max="7681" width="4.42578125" style="14" bestFit="1" customWidth="1"/>
    <col min="7682" max="7682" width="13.85546875" style="14" bestFit="1" customWidth="1"/>
    <col min="7683" max="7683" width="11.28515625" style="14" bestFit="1" customWidth="1"/>
    <col min="7684" max="7684" width="14.5703125" style="14" bestFit="1" customWidth="1"/>
    <col min="7685" max="7685" width="4.5703125" style="14" bestFit="1" customWidth="1"/>
    <col min="7686" max="7686" width="22.140625" style="14" bestFit="1" customWidth="1"/>
    <col min="7687" max="7687" width="24.140625" style="14" bestFit="1" customWidth="1"/>
    <col min="7688" max="7688" width="10.7109375" style="14" bestFit="1" customWidth="1"/>
    <col min="7689" max="7689" width="20" style="14" bestFit="1" customWidth="1"/>
    <col min="7690" max="7690" width="11.85546875" style="14" bestFit="1" customWidth="1"/>
    <col min="7691" max="7691" width="10.42578125" style="14" bestFit="1" customWidth="1"/>
    <col min="7692" max="7692" width="42.28515625" style="14" bestFit="1" customWidth="1"/>
    <col min="7693" max="7693" width="13.5703125" style="14" bestFit="1" customWidth="1"/>
    <col min="7694" max="7694" width="7.7109375" style="14" bestFit="1" customWidth="1"/>
    <col min="7695" max="7695" width="10.7109375" style="14" bestFit="1" customWidth="1"/>
    <col min="7696" max="7696" width="9.28515625" style="14" bestFit="1" customWidth="1"/>
    <col min="7697" max="7697" width="8.7109375" style="14" bestFit="1" customWidth="1"/>
    <col min="7698" max="7936" width="9.140625" style="14"/>
    <col min="7937" max="7937" width="4.42578125" style="14" bestFit="1" customWidth="1"/>
    <col min="7938" max="7938" width="13.85546875" style="14" bestFit="1" customWidth="1"/>
    <col min="7939" max="7939" width="11.28515625" style="14" bestFit="1" customWidth="1"/>
    <col min="7940" max="7940" width="14.5703125" style="14" bestFit="1" customWidth="1"/>
    <col min="7941" max="7941" width="4.5703125" style="14" bestFit="1" customWidth="1"/>
    <col min="7942" max="7942" width="22.140625" style="14" bestFit="1" customWidth="1"/>
    <col min="7943" max="7943" width="24.140625" style="14" bestFit="1" customWidth="1"/>
    <col min="7944" max="7944" width="10.7109375" style="14" bestFit="1" customWidth="1"/>
    <col min="7945" max="7945" width="20" style="14" bestFit="1" customWidth="1"/>
    <col min="7946" max="7946" width="11.85546875" style="14" bestFit="1" customWidth="1"/>
    <col min="7947" max="7947" width="10.42578125" style="14" bestFit="1" customWidth="1"/>
    <col min="7948" max="7948" width="42.28515625" style="14" bestFit="1" customWidth="1"/>
    <col min="7949" max="7949" width="13.5703125" style="14" bestFit="1" customWidth="1"/>
    <col min="7950" max="7950" width="7.7109375" style="14" bestFit="1" customWidth="1"/>
    <col min="7951" max="7951" width="10.7109375" style="14" bestFit="1" customWidth="1"/>
    <col min="7952" max="7952" width="9.28515625" style="14" bestFit="1" customWidth="1"/>
    <col min="7953" max="7953" width="8.7109375" style="14" bestFit="1" customWidth="1"/>
    <col min="7954" max="8192" width="9.140625" style="14"/>
    <col min="8193" max="8193" width="4.42578125" style="14" bestFit="1" customWidth="1"/>
    <col min="8194" max="8194" width="13.85546875" style="14" bestFit="1" customWidth="1"/>
    <col min="8195" max="8195" width="11.28515625" style="14" bestFit="1" customWidth="1"/>
    <col min="8196" max="8196" width="14.5703125" style="14" bestFit="1" customWidth="1"/>
    <col min="8197" max="8197" width="4.5703125" style="14" bestFit="1" customWidth="1"/>
    <col min="8198" max="8198" width="22.140625" style="14" bestFit="1" customWidth="1"/>
    <col min="8199" max="8199" width="24.140625" style="14" bestFit="1" customWidth="1"/>
    <col min="8200" max="8200" width="10.7109375" style="14" bestFit="1" customWidth="1"/>
    <col min="8201" max="8201" width="20" style="14" bestFit="1" customWidth="1"/>
    <col min="8202" max="8202" width="11.85546875" style="14" bestFit="1" customWidth="1"/>
    <col min="8203" max="8203" width="10.42578125" style="14" bestFit="1" customWidth="1"/>
    <col min="8204" max="8204" width="42.28515625" style="14" bestFit="1" customWidth="1"/>
    <col min="8205" max="8205" width="13.5703125" style="14" bestFit="1" customWidth="1"/>
    <col min="8206" max="8206" width="7.7109375" style="14" bestFit="1" customWidth="1"/>
    <col min="8207" max="8207" width="10.7109375" style="14" bestFit="1" customWidth="1"/>
    <col min="8208" max="8208" width="9.28515625" style="14" bestFit="1" customWidth="1"/>
    <col min="8209" max="8209" width="8.7109375" style="14" bestFit="1" customWidth="1"/>
    <col min="8210" max="8448" width="9.140625" style="14"/>
    <col min="8449" max="8449" width="4.42578125" style="14" bestFit="1" customWidth="1"/>
    <col min="8450" max="8450" width="13.85546875" style="14" bestFit="1" customWidth="1"/>
    <col min="8451" max="8451" width="11.28515625" style="14" bestFit="1" customWidth="1"/>
    <col min="8452" max="8452" width="14.5703125" style="14" bestFit="1" customWidth="1"/>
    <col min="8453" max="8453" width="4.5703125" style="14" bestFit="1" customWidth="1"/>
    <col min="8454" max="8454" width="22.140625" style="14" bestFit="1" customWidth="1"/>
    <col min="8455" max="8455" width="24.140625" style="14" bestFit="1" customWidth="1"/>
    <col min="8456" max="8456" width="10.7109375" style="14" bestFit="1" customWidth="1"/>
    <col min="8457" max="8457" width="20" style="14" bestFit="1" customWidth="1"/>
    <col min="8458" max="8458" width="11.85546875" style="14" bestFit="1" customWidth="1"/>
    <col min="8459" max="8459" width="10.42578125" style="14" bestFit="1" customWidth="1"/>
    <col min="8460" max="8460" width="42.28515625" style="14" bestFit="1" customWidth="1"/>
    <col min="8461" max="8461" width="13.5703125" style="14" bestFit="1" customWidth="1"/>
    <col min="8462" max="8462" width="7.7109375" style="14" bestFit="1" customWidth="1"/>
    <col min="8463" max="8463" width="10.7109375" style="14" bestFit="1" customWidth="1"/>
    <col min="8464" max="8464" width="9.28515625" style="14" bestFit="1" customWidth="1"/>
    <col min="8465" max="8465" width="8.7109375" style="14" bestFit="1" customWidth="1"/>
    <col min="8466" max="8704" width="9.140625" style="14"/>
    <col min="8705" max="8705" width="4.42578125" style="14" bestFit="1" customWidth="1"/>
    <col min="8706" max="8706" width="13.85546875" style="14" bestFit="1" customWidth="1"/>
    <col min="8707" max="8707" width="11.28515625" style="14" bestFit="1" customWidth="1"/>
    <col min="8708" max="8708" width="14.5703125" style="14" bestFit="1" customWidth="1"/>
    <col min="8709" max="8709" width="4.5703125" style="14" bestFit="1" customWidth="1"/>
    <col min="8710" max="8710" width="22.140625" style="14" bestFit="1" customWidth="1"/>
    <col min="8711" max="8711" width="24.140625" style="14" bestFit="1" customWidth="1"/>
    <col min="8712" max="8712" width="10.7109375" style="14" bestFit="1" customWidth="1"/>
    <col min="8713" max="8713" width="20" style="14" bestFit="1" customWidth="1"/>
    <col min="8714" max="8714" width="11.85546875" style="14" bestFit="1" customWidth="1"/>
    <col min="8715" max="8715" width="10.42578125" style="14" bestFit="1" customWidth="1"/>
    <col min="8716" max="8716" width="42.28515625" style="14" bestFit="1" customWidth="1"/>
    <col min="8717" max="8717" width="13.5703125" style="14" bestFit="1" customWidth="1"/>
    <col min="8718" max="8718" width="7.7109375" style="14" bestFit="1" customWidth="1"/>
    <col min="8719" max="8719" width="10.7109375" style="14" bestFit="1" customWidth="1"/>
    <col min="8720" max="8720" width="9.28515625" style="14" bestFit="1" customWidth="1"/>
    <col min="8721" max="8721" width="8.7109375" style="14" bestFit="1" customWidth="1"/>
    <col min="8722" max="8960" width="9.140625" style="14"/>
    <col min="8961" max="8961" width="4.42578125" style="14" bestFit="1" customWidth="1"/>
    <col min="8962" max="8962" width="13.85546875" style="14" bestFit="1" customWidth="1"/>
    <col min="8963" max="8963" width="11.28515625" style="14" bestFit="1" customWidth="1"/>
    <col min="8964" max="8964" width="14.5703125" style="14" bestFit="1" customWidth="1"/>
    <col min="8965" max="8965" width="4.5703125" style="14" bestFit="1" customWidth="1"/>
    <col min="8966" max="8966" width="22.140625" style="14" bestFit="1" customWidth="1"/>
    <col min="8967" max="8967" width="24.140625" style="14" bestFit="1" customWidth="1"/>
    <col min="8968" max="8968" width="10.7109375" style="14" bestFit="1" customWidth="1"/>
    <col min="8969" max="8969" width="20" style="14" bestFit="1" customWidth="1"/>
    <col min="8970" max="8970" width="11.85546875" style="14" bestFit="1" customWidth="1"/>
    <col min="8971" max="8971" width="10.42578125" style="14" bestFit="1" customWidth="1"/>
    <col min="8972" max="8972" width="42.28515625" style="14" bestFit="1" customWidth="1"/>
    <col min="8973" max="8973" width="13.5703125" style="14" bestFit="1" customWidth="1"/>
    <col min="8974" max="8974" width="7.7109375" style="14" bestFit="1" customWidth="1"/>
    <col min="8975" max="8975" width="10.7109375" style="14" bestFit="1" customWidth="1"/>
    <col min="8976" max="8976" width="9.28515625" style="14" bestFit="1" customWidth="1"/>
    <col min="8977" max="8977" width="8.7109375" style="14" bestFit="1" customWidth="1"/>
    <col min="8978" max="9216" width="9.140625" style="14"/>
    <col min="9217" max="9217" width="4.42578125" style="14" bestFit="1" customWidth="1"/>
    <col min="9218" max="9218" width="13.85546875" style="14" bestFit="1" customWidth="1"/>
    <col min="9219" max="9219" width="11.28515625" style="14" bestFit="1" customWidth="1"/>
    <col min="9220" max="9220" width="14.5703125" style="14" bestFit="1" customWidth="1"/>
    <col min="9221" max="9221" width="4.5703125" style="14" bestFit="1" customWidth="1"/>
    <col min="9222" max="9222" width="22.140625" style="14" bestFit="1" customWidth="1"/>
    <col min="9223" max="9223" width="24.140625" style="14" bestFit="1" customWidth="1"/>
    <col min="9224" max="9224" width="10.7109375" style="14" bestFit="1" customWidth="1"/>
    <col min="9225" max="9225" width="20" style="14" bestFit="1" customWidth="1"/>
    <col min="9226" max="9226" width="11.85546875" style="14" bestFit="1" customWidth="1"/>
    <col min="9227" max="9227" width="10.42578125" style="14" bestFit="1" customWidth="1"/>
    <col min="9228" max="9228" width="42.28515625" style="14" bestFit="1" customWidth="1"/>
    <col min="9229" max="9229" width="13.5703125" style="14" bestFit="1" customWidth="1"/>
    <col min="9230" max="9230" width="7.7109375" style="14" bestFit="1" customWidth="1"/>
    <col min="9231" max="9231" width="10.7109375" style="14" bestFit="1" customWidth="1"/>
    <col min="9232" max="9232" width="9.28515625" style="14" bestFit="1" customWidth="1"/>
    <col min="9233" max="9233" width="8.7109375" style="14" bestFit="1" customWidth="1"/>
    <col min="9234" max="9472" width="9.140625" style="14"/>
    <col min="9473" max="9473" width="4.42578125" style="14" bestFit="1" customWidth="1"/>
    <col min="9474" max="9474" width="13.85546875" style="14" bestFit="1" customWidth="1"/>
    <col min="9475" max="9475" width="11.28515625" style="14" bestFit="1" customWidth="1"/>
    <col min="9476" max="9476" width="14.5703125" style="14" bestFit="1" customWidth="1"/>
    <col min="9477" max="9477" width="4.5703125" style="14" bestFit="1" customWidth="1"/>
    <col min="9478" max="9478" width="22.140625" style="14" bestFit="1" customWidth="1"/>
    <col min="9479" max="9479" width="24.140625" style="14" bestFit="1" customWidth="1"/>
    <col min="9480" max="9480" width="10.7109375" style="14" bestFit="1" customWidth="1"/>
    <col min="9481" max="9481" width="20" style="14" bestFit="1" customWidth="1"/>
    <col min="9482" max="9482" width="11.85546875" style="14" bestFit="1" customWidth="1"/>
    <col min="9483" max="9483" width="10.42578125" style="14" bestFit="1" customWidth="1"/>
    <col min="9484" max="9484" width="42.28515625" style="14" bestFit="1" customWidth="1"/>
    <col min="9485" max="9485" width="13.5703125" style="14" bestFit="1" customWidth="1"/>
    <col min="9486" max="9486" width="7.7109375" style="14" bestFit="1" customWidth="1"/>
    <col min="9487" max="9487" width="10.7109375" style="14" bestFit="1" customWidth="1"/>
    <col min="9488" max="9488" width="9.28515625" style="14" bestFit="1" customWidth="1"/>
    <col min="9489" max="9489" width="8.7109375" style="14" bestFit="1" customWidth="1"/>
    <col min="9490" max="9728" width="9.140625" style="14"/>
    <col min="9729" max="9729" width="4.42578125" style="14" bestFit="1" customWidth="1"/>
    <col min="9730" max="9730" width="13.85546875" style="14" bestFit="1" customWidth="1"/>
    <col min="9731" max="9731" width="11.28515625" style="14" bestFit="1" customWidth="1"/>
    <col min="9732" max="9732" width="14.5703125" style="14" bestFit="1" customWidth="1"/>
    <col min="9733" max="9733" width="4.5703125" style="14" bestFit="1" customWidth="1"/>
    <col min="9734" max="9734" width="22.140625" style="14" bestFit="1" customWidth="1"/>
    <col min="9735" max="9735" width="24.140625" style="14" bestFit="1" customWidth="1"/>
    <col min="9736" max="9736" width="10.7109375" style="14" bestFit="1" customWidth="1"/>
    <col min="9737" max="9737" width="20" style="14" bestFit="1" customWidth="1"/>
    <col min="9738" max="9738" width="11.85546875" style="14" bestFit="1" customWidth="1"/>
    <col min="9739" max="9739" width="10.42578125" style="14" bestFit="1" customWidth="1"/>
    <col min="9740" max="9740" width="42.28515625" style="14" bestFit="1" customWidth="1"/>
    <col min="9741" max="9741" width="13.5703125" style="14" bestFit="1" customWidth="1"/>
    <col min="9742" max="9742" width="7.7109375" style="14" bestFit="1" customWidth="1"/>
    <col min="9743" max="9743" width="10.7109375" style="14" bestFit="1" customWidth="1"/>
    <col min="9744" max="9744" width="9.28515625" style="14" bestFit="1" customWidth="1"/>
    <col min="9745" max="9745" width="8.7109375" style="14" bestFit="1" customWidth="1"/>
    <col min="9746" max="9984" width="9.140625" style="14"/>
    <col min="9985" max="9985" width="4.42578125" style="14" bestFit="1" customWidth="1"/>
    <col min="9986" max="9986" width="13.85546875" style="14" bestFit="1" customWidth="1"/>
    <col min="9987" max="9987" width="11.28515625" style="14" bestFit="1" customWidth="1"/>
    <col min="9988" max="9988" width="14.5703125" style="14" bestFit="1" customWidth="1"/>
    <col min="9989" max="9989" width="4.5703125" style="14" bestFit="1" customWidth="1"/>
    <col min="9990" max="9990" width="22.140625" style="14" bestFit="1" customWidth="1"/>
    <col min="9991" max="9991" width="24.140625" style="14" bestFit="1" customWidth="1"/>
    <col min="9992" max="9992" width="10.7109375" style="14" bestFit="1" customWidth="1"/>
    <col min="9993" max="9993" width="20" style="14" bestFit="1" customWidth="1"/>
    <col min="9994" max="9994" width="11.85546875" style="14" bestFit="1" customWidth="1"/>
    <col min="9995" max="9995" width="10.42578125" style="14" bestFit="1" customWidth="1"/>
    <col min="9996" max="9996" width="42.28515625" style="14" bestFit="1" customWidth="1"/>
    <col min="9997" max="9997" width="13.5703125" style="14" bestFit="1" customWidth="1"/>
    <col min="9998" max="9998" width="7.7109375" style="14" bestFit="1" customWidth="1"/>
    <col min="9999" max="9999" width="10.7109375" style="14" bestFit="1" customWidth="1"/>
    <col min="10000" max="10000" width="9.28515625" style="14" bestFit="1" customWidth="1"/>
    <col min="10001" max="10001" width="8.7109375" style="14" bestFit="1" customWidth="1"/>
    <col min="10002" max="10240" width="9.140625" style="14"/>
    <col min="10241" max="10241" width="4.42578125" style="14" bestFit="1" customWidth="1"/>
    <col min="10242" max="10242" width="13.85546875" style="14" bestFit="1" customWidth="1"/>
    <col min="10243" max="10243" width="11.28515625" style="14" bestFit="1" customWidth="1"/>
    <col min="10244" max="10244" width="14.5703125" style="14" bestFit="1" customWidth="1"/>
    <col min="10245" max="10245" width="4.5703125" style="14" bestFit="1" customWidth="1"/>
    <col min="10246" max="10246" width="22.140625" style="14" bestFit="1" customWidth="1"/>
    <col min="10247" max="10247" width="24.140625" style="14" bestFit="1" customWidth="1"/>
    <col min="10248" max="10248" width="10.7109375" style="14" bestFit="1" customWidth="1"/>
    <col min="10249" max="10249" width="20" style="14" bestFit="1" customWidth="1"/>
    <col min="10250" max="10250" width="11.85546875" style="14" bestFit="1" customWidth="1"/>
    <col min="10251" max="10251" width="10.42578125" style="14" bestFit="1" customWidth="1"/>
    <col min="10252" max="10252" width="42.28515625" style="14" bestFit="1" customWidth="1"/>
    <col min="10253" max="10253" width="13.5703125" style="14" bestFit="1" customWidth="1"/>
    <col min="10254" max="10254" width="7.7109375" style="14" bestFit="1" customWidth="1"/>
    <col min="10255" max="10255" width="10.7109375" style="14" bestFit="1" customWidth="1"/>
    <col min="10256" max="10256" width="9.28515625" style="14" bestFit="1" customWidth="1"/>
    <col min="10257" max="10257" width="8.7109375" style="14" bestFit="1" customWidth="1"/>
    <col min="10258" max="10496" width="9.140625" style="14"/>
    <col min="10497" max="10497" width="4.42578125" style="14" bestFit="1" customWidth="1"/>
    <col min="10498" max="10498" width="13.85546875" style="14" bestFit="1" customWidth="1"/>
    <col min="10499" max="10499" width="11.28515625" style="14" bestFit="1" customWidth="1"/>
    <col min="10500" max="10500" width="14.5703125" style="14" bestFit="1" customWidth="1"/>
    <col min="10501" max="10501" width="4.5703125" style="14" bestFit="1" customWidth="1"/>
    <col min="10502" max="10502" width="22.140625" style="14" bestFit="1" customWidth="1"/>
    <col min="10503" max="10503" width="24.140625" style="14" bestFit="1" customWidth="1"/>
    <col min="10504" max="10504" width="10.7109375" style="14" bestFit="1" customWidth="1"/>
    <col min="10505" max="10505" width="20" style="14" bestFit="1" customWidth="1"/>
    <col min="10506" max="10506" width="11.85546875" style="14" bestFit="1" customWidth="1"/>
    <col min="10507" max="10507" width="10.42578125" style="14" bestFit="1" customWidth="1"/>
    <col min="10508" max="10508" width="42.28515625" style="14" bestFit="1" customWidth="1"/>
    <col min="10509" max="10509" width="13.5703125" style="14" bestFit="1" customWidth="1"/>
    <col min="10510" max="10510" width="7.7109375" style="14" bestFit="1" customWidth="1"/>
    <col min="10511" max="10511" width="10.7109375" style="14" bestFit="1" customWidth="1"/>
    <col min="10512" max="10512" width="9.28515625" style="14" bestFit="1" customWidth="1"/>
    <col min="10513" max="10513" width="8.7109375" style="14" bestFit="1" customWidth="1"/>
    <col min="10514" max="10752" width="9.140625" style="14"/>
    <col min="10753" max="10753" width="4.42578125" style="14" bestFit="1" customWidth="1"/>
    <col min="10754" max="10754" width="13.85546875" style="14" bestFit="1" customWidth="1"/>
    <col min="10755" max="10755" width="11.28515625" style="14" bestFit="1" customWidth="1"/>
    <col min="10756" max="10756" width="14.5703125" style="14" bestFit="1" customWidth="1"/>
    <col min="10757" max="10757" width="4.5703125" style="14" bestFit="1" customWidth="1"/>
    <col min="10758" max="10758" width="22.140625" style="14" bestFit="1" customWidth="1"/>
    <col min="10759" max="10759" width="24.140625" style="14" bestFit="1" customWidth="1"/>
    <col min="10760" max="10760" width="10.7109375" style="14" bestFit="1" customWidth="1"/>
    <col min="10761" max="10761" width="20" style="14" bestFit="1" customWidth="1"/>
    <col min="10762" max="10762" width="11.85546875" style="14" bestFit="1" customWidth="1"/>
    <col min="10763" max="10763" width="10.42578125" style="14" bestFit="1" customWidth="1"/>
    <col min="10764" max="10764" width="42.28515625" style="14" bestFit="1" customWidth="1"/>
    <col min="10765" max="10765" width="13.5703125" style="14" bestFit="1" customWidth="1"/>
    <col min="10766" max="10766" width="7.7109375" style="14" bestFit="1" customWidth="1"/>
    <col min="10767" max="10767" width="10.7109375" style="14" bestFit="1" customWidth="1"/>
    <col min="10768" max="10768" width="9.28515625" style="14" bestFit="1" customWidth="1"/>
    <col min="10769" max="10769" width="8.7109375" style="14" bestFit="1" customWidth="1"/>
    <col min="10770" max="11008" width="9.140625" style="14"/>
    <col min="11009" max="11009" width="4.42578125" style="14" bestFit="1" customWidth="1"/>
    <col min="11010" max="11010" width="13.85546875" style="14" bestFit="1" customWidth="1"/>
    <col min="11011" max="11011" width="11.28515625" style="14" bestFit="1" customWidth="1"/>
    <col min="11012" max="11012" width="14.5703125" style="14" bestFit="1" customWidth="1"/>
    <col min="11013" max="11013" width="4.5703125" style="14" bestFit="1" customWidth="1"/>
    <col min="11014" max="11014" width="22.140625" style="14" bestFit="1" customWidth="1"/>
    <col min="11015" max="11015" width="24.140625" style="14" bestFit="1" customWidth="1"/>
    <col min="11016" max="11016" width="10.7109375" style="14" bestFit="1" customWidth="1"/>
    <col min="11017" max="11017" width="20" style="14" bestFit="1" customWidth="1"/>
    <col min="11018" max="11018" width="11.85546875" style="14" bestFit="1" customWidth="1"/>
    <col min="11019" max="11019" width="10.42578125" style="14" bestFit="1" customWidth="1"/>
    <col min="11020" max="11020" width="42.28515625" style="14" bestFit="1" customWidth="1"/>
    <col min="11021" max="11021" width="13.5703125" style="14" bestFit="1" customWidth="1"/>
    <col min="11022" max="11022" width="7.7109375" style="14" bestFit="1" customWidth="1"/>
    <col min="11023" max="11023" width="10.7109375" style="14" bestFit="1" customWidth="1"/>
    <col min="11024" max="11024" width="9.28515625" style="14" bestFit="1" customWidth="1"/>
    <col min="11025" max="11025" width="8.7109375" style="14" bestFit="1" customWidth="1"/>
    <col min="11026" max="11264" width="9.140625" style="14"/>
    <col min="11265" max="11265" width="4.42578125" style="14" bestFit="1" customWidth="1"/>
    <col min="11266" max="11266" width="13.85546875" style="14" bestFit="1" customWidth="1"/>
    <col min="11267" max="11267" width="11.28515625" style="14" bestFit="1" customWidth="1"/>
    <col min="11268" max="11268" width="14.5703125" style="14" bestFit="1" customWidth="1"/>
    <col min="11269" max="11269" width="4.5703125" style="14" bestFit="1" customWidth="1"/>
    <col min="11270" max="11270" width="22.140625" style="14" bestFit="1" customWidth="1"/>
    <col min="11271" max="11271" width="24.140625" style="14" bestFit="1" customWidth="1"/>
    <col min="11272" max="11272" width="10.7109375" style="14" bestFit="1" customWidth="1"/>
    <col min="11273" max="11273" width="20" style="14" bestFit="1" customWidth="1"/>
    <col min="11274" max="11274" width="11.85546875" style="14" bestFit="1" customWidth="1"/>
    <col min="11275" max="11275" width="10.42578125" style="14" bestFit="1" customWidth="1"/>
    <col min="11276" max="11276" width="42.28515625" style="14" bestFit="1" customWidth="1"/>
    <col min="11277" max="11277" width="13.5703125" style="14" bestFit="1" customWidth="1"/>
    <col min="11278" max="11278" width="7.7109375" style="14" bestFit="1" customWidth="1"/>
    <col min="11279" max="11279" width="10.7109375" style="14" bestFit="1" customWidth="1"/>
    <col min="11280" max="11280" width="9.28515625" style="14" bestFit="1" customWidth="1"/>
    <col min="11281" max="11281" width="8.7109375" style="14" bestFit="1" customWidth="1"/>
    <col min="11282" max="11520" width="9.140625" style="14"/>
    <col min="11521" max="11521" width="4.42578125" style="14" bestFit="1" customWidth="1"/>
    <col min="11522" max="11522" width="13.85546875" style="14" bestFit="1" customWidth="1"/>
    <col min="11523" max="11523" width="11.28515625" style="14" bestFit="1" customWidth="1"/>
    <col min="11524" max="11524" width="14.5703125" style="14" bestFit="1" customWidth="1"/>
    <col min="11525" max="11525" width="4.5703125" style="14" bestFit="1" customWidth="1"/>
    <col min="11526" max="11526" width="22.140625" style="14" bestFit="1" customWidth="1"/>
    <col min="11527" max="11527" width="24.140625" style="14" bestFit="1" customWidth="1"/>
    <col min="11528" max="11528" width="10.7109375" style="14" bestFit="1" customWidth="1"/>
    <col min="11529" max="11529" width="20" style="14" bestFit="1" customWidth="1"/>
    <col min="11530" max="11530" width="11.85546875" style="14" bestFit="1" customWidth="1"/>
    <col min="11531" max="11531" width="10.42578125" style="14" bestFit="1" customWidth="1"/>
    <col min="11532" max="11532" width="42.28515625" style="14" bestFit="1" customWidth="1"/>
    <col min="11533" max="11533" width="13.5703125" style="14" bestFit="1" customWidth="1"/>
    <col min="11534" max="11534" width="7.7109375" style="14" bestFit="1" customWidth="1"/>
    <col min="11535" max="11535" width="10.7109375" style="14" bestFit="1" customWidth="1"/>
    <col min="11536" max="11536" width="9.28515625" style="14" bestFit="1" customWidth="1"/>
    <col min="11537" max="11537" width="8.7109375" style="14" bestFit="1" customWidth="1"/>
    <col min="11538" max="11776" width="9.140625" style="14"/>
    <col min="11777" max="11777" width="4.42578125" style="14" bestFit="1" customWidth="1"/>
    <col min="11778" max="11778" width="13.85546875" style="14" bestFit="1" customWidth="1"/>
    <col min="11779" max="11779" width="11.28515625" style="14" bestFit="1" customWidth="1"/>
    <col min="11780" max="11780" width="14.5703125" style="14" bestFit="1" customWidth="1"/>
    <col min="11781" max="11781" width="4.5703125" style="14" bestFit="1" customWidth="1"/>
    <col min="11782" max="11782" width="22.140625" style="14" bestFit="1" customWidth="1"/>
    <col min="11783" max="11783" width="24.140625" style="14" bestFit="1" customWidth="1"/>
    <col min="11784" max="11784" width="10.7109375" style="14" bestFit="1" customWidth="1"/>
    <col min="11785" max="11785" width="20" style="14" bestFit="1" customWidth="1"/>
    <col min="11786" max="11786" width="11.85546875" style="14" bestFit="1" customWidth="1"/>
    <col min="11787" max="11787" width="10.42578125" style="14" bestFit="1" customWidth="1"/>
    <col min="11788" max="11788" width="42.28515625" style="14" bestFit="1" customWidth="1"/>
    <col min="11789" max="11789" width="13.5703125" style="14" bestFit="1" customWidth="1"/>
    <col min="11790" max="11790" width="7.7109375" style="14" bestFit="1" customWidth="1"/>
    <col min="11791" max="11791" width="10.7109375" style="14" bestFit="1" customWidth="1"/>
    <col min="11792" max="11792" width="9.28515625" style="14" bestFit="1" customWidth="1"/>
    <col min="11793" max="11793" width="8.7109375" style="14" bestFit="1" customWidth="1"/>
    <col min="11794" max="12032" width="9.140625" style="14"/>
    <col min="12033" max="12033" width="4.42578125" style="14" bestFit="1" customWidth="1"/>
    <col min="12034" max="12034" width="13.85546875" style="14" bestFit="1" customWidth="1"/>
    <col min="12035" max="12035" width="11.28515625" style="14" bestFit="1" customWidth="1"/>
    <col min="12036" max="12036" width="14.5703125" style="14" bestFit="1" customWidth="1"/>
    <col min="12037" max="12037" width="4.5703125" style="14" bestFit="1" customWidth="1"/>
    <col min="12038" max="12038" width="22.140625" style="14" bestFit="1" customWidth="1"/>
    <col min="12039" max="12039" width="24.140625" style="14" bestFit="1" customWidth="1"/>
    <col min="12040" max="12040" width="10.7109375" style="14" bestFit="1" customWidth="1"/>
    <col min="12041" max="12041" width="20" style="14" bestFit="1" customWidth="1"/>
    <col min="12042" max="12042" width="11.85546875" style="14" bestFit="1" customWidth="1"/>
    <col min="12043" max="12043" width="10.42578125" style="14" bestFit="1" customWidth="1"/>
    <col min="12044" max="12044" width="42.28515625" style="14" bestFit="1" customWidth="1"/>
    <col min="12045" max="12045" width="13.5703125" style="14" bestFit="1" customWidth="1"/>
    <col min="12046" max="12046" width="7.7109375" style="14" bestFit="1" customWidth="1"/>
    <col min="12047" max="12047" width="10.7109375" style="14" bestFit="1" customWidth="1"/>
    <col min="12048" max="12048" width="9.28515625" style="14" bestFit="1" customWidth="1"/>
    <col min="12049" max="12049" width="8.7109375" style="14" bestFit="1" customWidth="1"/>
    <col min="12050" max="12288" width="9.140625" style="14"/>
    <col min="12289" max="12289" width="4.42578125" style="14" bestFit="1" customWidth="1"/>
    <col min="12290" max="12290" width="13.85546875" style="14" bestFit="1" customWidth="1"/>
    <col min="12291" max="12291" width="11.28515625" style="14" bestFit="1" customWidth="1"/>
    <col min="12292" max="12292" width="14.5703125" style="14" bestFit="1" customWidth="1"/>
    <col min="12293" max="12293" width="4.5703125" style="14" bestFit="1" customWidth="1"/>
    <col min="12294" max="12294" width="22.140625" style="14" bestFit="1" customWidth="1"/>
    <col min="12295" max="12295" width="24.140625" style="14" bestFit="1" customWidth="1"/>
    <col min="12296" max="12296" width="10.7109375" style="14" bestFit="1" customWidth="1"/>
    <col min="12297" max="12297" width="20" style="14" bestFit="1" customWidth="1"/>
    <col min="12298" max="12298" width="11.85546875" style="14" bestFit="1" customWidth="1"/>
    <col min="12299" max="12299" width="10.42578125" style="14" bestFit="1" customWidth="1"/>
    <col min="12300" max="12300" width="42.28515625" style="14" bestFit="1" customWidth="1"/>
    <col min="12301" max="12301" width="13.5703125" style="14" bestFit="1" customWidth="1"/>
    <col min="12302" max="12302" width="7.7109375" style="14" bestFit="1" customWidth="1"/>
    <col min="12303" max="12303" width="10.7109375" style="14" bestFit="1" customWidth="1"/>
    <col min="12304" max="12304" width="9.28515625" style="14" bestFit="1" customWidth="1"/>
    <col min="12305" max="12305" width="8.7109375" style="14" bestFit="1" customWidth="1"/>
    <col min="12306" max="12544" width="9.140625" style="14"/>
    <col min="12545" max="12545" width="4.42578125" style="14" bestFit="1" customWidth="1"/>
    <col min="12546" max="12546" width="13.85546875" style="14" bestFit="1" customWidth="1"/>
    <col min="12547" max="12547" width="11.28515625" style="14" bestFit="1" customWidth="1"/>
    <col min="12548" max="12548" width="14.5703125" style="14" bestFit="1" customWidth="1"/>
    <col min="12549" max="12549" width="4.5703125" style="14" bestFit="1" customWidth="1"/>
    <col min="12550" max="12550" width="22.140625" style="14" bestFit="1" customWidth="1"/>
    <col min="12551" max="12551" width="24.140625" style="14" bestFit="1" customWidth="1"/>
    <col min="12552" max="12552" width="10.7109375" style="14" bestFit="1" customWidth="1"/>
    <col min="12553" max="12553" width="20" style="14" bestFit="1" customWidth="1"/>
    <col min="12554" max="12554" width="11.85546875" style="14" bestFit="1" customWidth="1"/>
    <col min="12555" max="12555" width="10.42578125" style="14" bestFit="1" customWidth="1"/>
    <col min="12556" max="12556" width="42.28515625" style="14" bestFit="1" customWidth="1"/>
    <col min="12557" max="12557" width="13.5703125" style="14" bestFit="1" customWidth="1"/>
    <col min="12558" max="12558" width="7.7109375" style="14" bestFit="1" customWidth="1"/>
    <col min="12559" max="12559" width="10.7109375" style="14" bestFit="1" customWidth="1"/>
    <col min="12560" max="12560" width="9.28515625" style="14" bestFit="1" customWidth="1"/>
    <col min="12561" max="12561" width="8.7109375" style="14" bestFit="1" customWidth="1"/>
    <col min="12562" max="12800" width="9.140625" style="14"/>
    <col min="12801" max="12801" width="4.42578125" style="14" bestFit="1" customWidth="1"/>
    <col min="12802" max="12802" width="13.85546875" style="14" bestFit="1" customWidth="1"/>
    <col min="12803" max="12803" width="11.28515625" style="14" bestFit="1" customWidth="1"/>
    <col min="12804" max="12804" width="14.5703125" style="14" bestFit="1" customWidth="1"/>
    <col min="12805" max="12805" width="4.5703125" style="14" bestFit="1" customWidth="1"/>
    <col min="12806" max="12806" width="22.140625" style="14" bestFit="1" customWidth="1"/>
    <col min="12807" max="12807" width="24.140625" style="14" bestFit="1" customWidth="1"/>
    <col min="12808" max="12808" width="10.7109375" style="14" bestFit="1" customWidth="1"/>
    <col min="12809" max="12809" width="20" style="14" bestFit="1" customWidth="1"/>
    <col min="12810" max="12810" width="11.85546875" style="14" bestFit="1" customWidth="1"/>
    <col min="12811" max="12811" width="10.42578125" style="14" bestFit="1" customWidth="1"/>
    <col min="12812" max="12812" width="42.28515625" style="14" bestFit="1" customWidth="1"/>
    <col min="12813" max="12813" width="13.5703125" style="14" bestFit="1" customWidth="1"/>
    <col min="12814" max="12814" width="7.7109375" style="14" bestFit="1" customWidth="1"/>
    <col min="12815" max="12815" width="10.7109375" style="14" bestFit="1" customWidth="1"/>
    <col min="12816" max="12816" width="9.28515625" style="14" bestFit="1" customWidth="1"/>
    <col min="12817" max="12817" width="8.7109375" style="14" bestFit="1" customWidth="1"/>
    <col min="12818" max="13056" width="9.140625" style="14"/>
    <col min="13057" max="13057" width="4.42578125" style="14" bestFit="1" customWidth="1"/>
    <col min="13058" max="13058" width="13.85546875" style="14" bestFit="1" customWidth="1"/>
    <col min="13059" max="13059" width="11.28515625" style="14" bestFit="1" customWidth="1"/>
    <col min="13060" max="13060" width="14.5703125" style="14" bestFit="1" customWidth="1"/>
    <col min="13061" max="13061" width="4.5703125" style="14" bestFit="1" customWidth="1"/>
    <col min="13062" max="13062" width="22.140625" style="14" bestFit="1" customWidth="1"/>
    <col min="13063" max="13063" width="24.140625" style="14" bestFit="1" customWidth="1"/>
    <col min="13064" max="13064" width="10.7109375" style="14" bestFit="1" customWidth="1"/>
    <col min="13065" max="13065" width="20" style="14" bestFit="1" customWidth="1"/>
    <col min="13066" max="13066" width="11.85546875" style="14" bestFit="1" customWidth="1"/>
    <col min="13067" max="13067" width="10.42578125" style="14" bestFit="1" customWidth="1"/>
    <col min="13068" max="13068" width="42.28515625" style="14" bestFit="1" customWidth="1"/>
    <col min="13069" max="13069" width="13.5703125" style="14" bestFit="1" customWidth="1"/>
    <col min="13070" max="13070" width="7.7109375" style="14" bestFit="1" customWidth="1"/>
    <col min="13071" max="13071" width="10.7109375" style="14" bestFit="1" customWidth="1"/>
    <col min="13072" max="13072" width="9.28515625" style="14" bestFit="1" customWidth="1"/>
    <col min="13073" max="13073" width="8.7109375" style="14" bestFit="1" customWidth="1"/>
    <col min="13074" max="13312" width="9.140625" style="14"/>
    <col min="13313" max="13313" width="4.42578125" style="14" bestFit="1" customWidth="1"/>
    <col min="13314" max="13314" width="13.85546875" style="14" bestFit="1" customWidth="1"/>
    <col min="13315" max="13315" width="11.28515625" style="14" bestFit="1" customWidth="1"/>
    <col min="13316" max="13316" width="14.5703125" style="14" bestFit="1" customWidth="1"/>
    <col min="13317" max="13317" width="4.5703125" style="14" bestFit="1" customWidth="1"/>
    <col min="13318" max="13318" width="22.140625" style="14" bestFit="1" customWidth="1"/>
    <col min="13319" max="13319" width="24.140625" style="14" bestFit="1" customWidth="1"/>
    <col min="13320" max="13320" width="10.7109375" style="14" bestFit="1" customWidth="1"/>
    <col min="13321" max="13321" width="20" style="14" bestFit="1" customWidth="1"/>
    <col min="13322" max="13322" width="11.85546875" style="14" bestFit="1" customWidth="1"/>
    <col min="13323" max="13323" width="10.42578125" style="14" bestFit="1" customWidth="1"/>
    <col min="13324" max="13324" width="42.28515625" style="14" bestFit="1" customWidth="1"/>
    <col min="13325" max="13325" width="13.5703125" style="14" bestFit="1" customWidth="1"/>
    <col min="13326" max="13326" width="7.7109375" style="14" bestFit="1" customWidth="1"/>
    <col min="13327" max="13327" width="10.7109375" style="14" bestFit="1" customWidth="1"/>
    <col min="13328" max="13328" width="9.28515625" style="14" bestFit="1" customWidth="1"/>
    <col min="13329" max="13329" width="8.7109375" style="14" bestFit="1" customWidth="1"/>
    <col min="13330" max="13568" width="9.140625" style="14"/>
    <col min="13569" max="13569" width="4.42578125" style="14" bestFit="1" customWidth="1"/>
    <col min="13570" max="13570" width="13.85546875" style="14" bestFit="1" customWidth="1"/>
    <col min="13571" max="13571" width="11.28515625" style="14" bestFit="1" customWidth="1"/>
    <col min="13572" max="13572" width="14.5703125" style="14" bestFit="1" customWidth="1"/>
    <col min="13573" max="13573" width="4.5703125" style="14" bestFit="1" customWidth="1"/>
    <col min="13574" max="13574" width="22.140625" style="14" bestFit="1" customWidth="1"/>
    <col min="13575" max="13575" width="24.140625" style="14" bestFit="1" customWidth="1"/>
    <col min="13576" max="13576" width="10.7109375" style="14" bestFit="1" customWidth="1"/>
    <col min="13577" max="13577" width="20" style="14" bestFit="1" customWidth="1"/>
    <col min="13578" max="13578" width="11.85546875" style="14" bestFit="1" customWidth="1"/>
    <col min="13579" max="13579" width="10.42578125" style="14" bestFit="1" customWidth="1"/>
    <col min="13580" max="13580" width="42.28515625" style="14" bestFit="1" customWidth="1"/>
    <col min="13581" max="13581" width="13.5703125" style="14" bestFit="1" customWidth="1"/>
    <col min="13582" max="13582" width="7.7109375" style="14" bestFit="1" customWidth="1"/>
    <col min="13583" max="13583" width="10.7109375" style="14" bestFit="1" customWidth="1"/>
    <col min="13584" max="13584" width="9.28515625" style="14" bestFit="1" customWidth="1"/>
    <col min="13585" max="13585" width="8.7109375" style="14" bestFit="1" customWidth="1"/>
    <col min="13586" max="13824" width="9.140625" style="14"/>
    <col min="13825" max="13825" width="4.42578125" style="14" bestFit="1" customWidth="1"/>
    <col min="13826" max="13826" width="13.85546875" style="14" bestFit="1" customWidth="1"/>
    <col min="13827" max="13827" width="11.28515625" style="14" bestFit="1" customWidth="1"/>
    <col min="13828" max="13828" width="14.5703125" style="14" bestFit="1" customWidth="1"/>
    <col min="13829" max="13829" width="4.5703125" style="14" bestFit="1" customWidth="1"/>
    <col min="13830" max="13830" width="22.140625" style="14" bestFit="1" customWidth="1"/>
    <col min="13831" max="13831" width="24.140625" style="14" bestFit="1" customWidth="1"/>
    <col min="13832" max="13832" width="10.7109375" style="14" bestFit="1" customWidth="1"/>
    <col min="13833" max="13833" width="20" style="14" bestFit="1" customWidth="1"/>
    <col min="13834" max="13834" width="11.85546875" style="14" bestFit="1" customWidth="1"/>
    <col min="13835" max="13835" width="10.42578125" style="14" bestFit="1" customWidth="1"/>
    <col min="13836" max="13836" width="42.28515625" style="14" bestFit="1" customWidth="1"/>
    <col min="13837" max="13837" width="13.5703125" style="14" bestFit="1" customWidth="1"/>
    <col min="13838" max="13838" width="7.7109375" style="14" bestFit="1" customWidth="1"/>
    <col min="13839" max="13839" width="10.7109375" style="14" bestFit="1" customWidth="1"/>
    <col min="13840" max="13840" width="9.28515625" style="14" bestFit="1" customWidth="1"/>
    <col min="13841" max="13841" width="8.7109375" style="14" bestFit="1" customWidth="1"/>
    <col min="13842" max="14080" width="9.140625" style="14"/>
    <col min="14081" max="14081" width="4.42578125" style="14" bestFit="1" customWidth="1"/>
    <col min="14082" max="14082" width="13.85546875" style="14" bestFit="1" customWidth="1"/>
    <col min="14083" max="14083" width="11.28515625" style="14" bestFit="1" customWidth="1"/>
    <col min="14084" max="14084" width="14.5703125" style="14" bestFit="1" customWidth="1"/>
    <col min="14085" max="14085" width="4.5703125" style="14" bestFit="1" customWidth="1"/>
    <col min="14086" max="14086" width="22.140625" style="14" bestFit="1" customWidth="1"/>
    <col min="14087" max="14087" width="24.140625" style="14" bestFit="1" customWidth="1"/>
    <col min="14088" max="14088" width="10.7109375" style="14" bestFit="1" customWidth="1"/>
    <col min="14089" max="14089" width="20" style="14" bestFit="1" customWidth="1"/>
    <col min="14090" max="14090" width="11.85546875" style="14" bestFit="1" customWidth="1"/>
    <col min="14091" max="14091" width="10.42578125" style="14" bestFit="1" customWidth="1"/>
    <col min="14092" max="14092" width="42.28515625" style="14" bestFit="1" customWidth="1"/>
    <col min="14093" max="14093" width="13.5703125" style="14" bestFit="1" customWidth="1"/>
    <col min="14094" max="14094" width="7.7109375" style="14" bestFit="1" customWidth="1"/>
    <col min="14095" max="14095" width="10.7109375" style="14" bestFit="1" customWidth="1"/>
    <col min="14096" max="14096" width="9.28515625" style="14" bestFit="1" customWidth="1"/>
    <col min="14097" max="14097" width="8.7109375" style="14" bestFit="1" customWidth="1"/>
    <col min="14098" max="14336" width="9.140625" style="14"/>
    <col min="14337" max="14337" width="4.42578125" style="14" bestFit="1" customWidth="1"/>
    <col min="14338" max="14338" width="13.85546875" style="14" bestFit="1" customWidth="1"/>
    <col min="14339" max="14339" width="11.28515625" style="14" bestFit="1" customWidth="1"/>
    <col min="14340" max="14340" width="14.5703125" style="14" bestFit="1" customWidth="1"/>
    <col min="14341" max="14341" width="4.5703125" style="14" bestFit="1" customWidth="1"/>
    <col min="14342" max="14342" width="22.140625" style="14" bestFit="1" customWidth="1"/>
    <col min="14343" max="14343" width="24.140625" style="14" bestFit="1" customWidth="1"/>
    <col min="14344" max="14344" width="10.7109375" style="14" bestFit="1" customWidth="1"/>
    <col min="14345" max="14345" width="20" style="14" bestFit="1" customWidth="1"/>
    <col min="14346" max="14346" width="11.85546875" style="14" bestFit="1" customWidth="1"/>
    <col min="14347" max="14347" width="10.42578125" style="14" bestFit="1" customWidth="1"/>
    <col min="14348" max="14348" width="42.28515625" style="14" bestFit="1" customWidth="1"/>
    <col min="14349" max="14349" width="13.5703125" style="14" bestFit="1" customWidth="1"/>
    <col min="14350" max="14350" width="7.7109375" style="14" bestFit="1" customWidth="1"/>
    <col min="14351" max="14351" width="10.7109375" style="14" bestFit="1" customWidth="1"/>
    <col min="14352" max="14352" width="9.28515625" style="14" bestFit="1" customWidth="1"/>
    <col min="14353" max="14353" width="8.7109375" style="14" bestFit="1" customWidth="1"/>
    <col min="14354" max="14592" width="9.140625" style="14"/>
    <col min="14593" max="14593" width="4.42578125" style="14" bestFit="1" customWidth="1"/>
    <col min="14594" max="14594" width="13.85546875" style="14" bestFit="1" customWidth="1"/>
    <col min="14595" max="14595" width="11.28515625" style="14" bestFit="1" customWidth="1"/>
    <col min="14596" max="14596" width="14.5703125" style="14" bestFit="1" customWidth="1"/>
    <col min="14597" max="14597" width="4.5703125" style="14" bestFit="1" customWidth="1"/>
    <col min="14598" max="14598" width="22.140625" style="14" bestFit="1" customWidth="1"/>
    <col min="14599" max="14599" width="24.140625" style="14" bestFit="1" customWidth="1"/>
    <col min="14600" max="14600" width="10.7109375" style="14" bestFit="1" customWidth="1"/>
    <col min="14601" max="14601" width="20" style="14" bestFit="1" customWidth="1"/>
    <col min="14602" max="14602" width="11.85546875" style="14" bestFit="1" customWidth="1"/>
    <col min="14603" max="14603" width="10.42578125" style="14" bestFit="1" customWidth="1"/>
    <col min="14604" max="14604" width="42.28515625" style="14" bestFit="1" customWidth="1"/>
    <col min="14605" max="14605" width="13.5703125" style="14" bestFit="1" customWidth="1"/>
    <col min="14606" max="14606" width="7.7109375" style="14" bestFit="1" customWidth="1"/>
    <col min="14607" max="14607" width="10.7109375" style="14" bestFit="1" customWidth="1"/>
    <col min="14608" max="14608" width="9.28515625" style="14" bestFit="1" customWidth="1"/>
    <col min="14609" max="14609" width="8.7109375" style="14" bestFit="1" customWidth="1"/>
    <col min="14610" max="14848" width="9.140625" style="14"/>
    <col min="14849" max="14849" width="4.42578125" style="14" bestFit="1" customWidth="1"/>
    <col min="14850" max="14850" width="13.85546875" style="14" bestFit="1" customWidth="1"/>
    <col min="14851" max="14851" width="11.28515625" style="14" bestFit="1" customWidth="1"/>
    <col min="14852" max="14852" width="14.5703125" style="14" bestFit="1" customWidth="1"/>
    <col min="14853" max="14853" width="4.5703125" style="14" bestFit="1" customWidth="1"/>
    <col min="14854" max="14854" width="22.140625" style="14" bestFit="1" customWidth="1"/>
    <col min="14855" max="14855" width="24.140625" style="14" bestFit="1" customWidth="1"/>
    <col min="14856" max="14856" width="10.7109375" style="14" bestFit="1" customWidth="1"/>
    <col min="14857" max="14857" width="20" style="14" bestFit="1" customWidth="1"/>
    <col min="14858" max="14858" width="11.85546875" style="14" bestFit="1" customWidth="1"/>
    <col min="14859" max="14859" width="10.42578125" style="14" bestFit="1" customWidth="1"/>
    <col min="14860" max="14860" width="42.28515625" style="14" bestFit="1" customWidth="1"/>
    <col min="14861" max="14861" width="13.5703125" style="14" bestFit="1" customWidth="1"/>
    <col min="14862" max="14862" width="7.7109375" style="14" bestFit="1" customWidth="1"/>
    <col min="14863" max="14863" width="10.7109375" style="14" bestFit="1" customWidth="1"/>
    <col min="14864" max="14864" width="9.28515625" style="14" bestFit="1" customWidth="1"/>
    <col min="14865" max="14865" width="8.7109375" style="14" bestFit="1" customWidth="1"/>
    <col min="14866" max="15104" width="9.140625" style="14"/>
    <col min="15105" max="15105" width="4.42578125" style="14" bestFit="1" customWidth="1"/>
    <col min="15106" max="15106" width="13.85546875" style="14" bestFit="1" customWidth="1"/>
    <col min="15107" max="15107" width="11.28515625" style="14" bestFit="1" customWidth="1"/>
    <col min="15108" max="15108" width="14.5703125" style="14" bestFit="1" customWidth="1"/>
    <col min="15109" max="15109" width="4.5703125" style="14" bestFit="1" customWidth="1"/>
    <col min="15110" max="15110" width="22.140625" style="14" bestFit="1" customWidth="1"/>
    <col min="15111" max="15111" width="24.140625" style="14" bestFit="1" customWidth="1"/>
    <col min="15112" max="15112" width="10.7109375" style="14" bestFit="1" customWidth="1"/>
    <col min="15113" max="15113" width="20" style="14" bestFit="1" customWidth="1"/>
    <col min="15114" max="15114" width="11.85546875" style="14" bestFit="1" customWidth="1"/>
    <col min="15115" max="15115" width="10.42578125" style="14" bestFit="1" customWidth="1"/>
    <col min="15116" max="15116" width="42.28515625" style="14" bestFit="1" customWidth="1"/>
    <col min="15117" max="15117" width="13.5703125" style="14" bestFit="1" customWidth="1"/>
    <col min="15118" max="15118" width="7.7109375" style="14" bestFit="1" customWidth="1"/>
    <col min="15119" max="15119" width="10.7109375" style="14" bestFit="1" customWidth="1"/>
    <col min="15120" max="15120" width="9.28515625" style="14" bestFit="1" customWidth="1"/>
    <col min="15121" max="15121" width="8.7109375" style="14" bestFit="1" customWidth="1"/>
    <col min="15122" max="15360" width="9.140625" style="14"/>
    <col min="15361" max="15361" width="4.42578125" style="14" bestFit="1" customWidth="1"/>
    <col min="15362" max="15362" width="13.85546875" style="14" bestFit="1" customWidth="1"/>
    <col min="15363" max="15363" width="11.28515625" style="14" bestFit="1" customWidth="1"/>
    <col min="15364" max="15364" width="14.5703125" style="14" bestFit="1" customWidth="1"/>
    <col min="15365" max="15365" width="4.5703125" style="14" bestFit="1" customWidth="1"/>
    <col min="15366" max="15366" width="22.140625" style="14" bestFit="1" customWidth="1"/>
    <col min="15367" max="15367" width="24.140625" style="14" bestFit="1" customWidth="1"/>
    <col min="15368" max="15368" width="10.7109375" style="14" bestFit="1" customWidth="1"/>
    <col min="15369" max="15369" width="20" style="14" bestFit="1" customWidth="1"/>
    <col min="15370" max="15370" width="11.85546875" style="14" bestFit="1" customWidth="1"/>
    <col min="15371" max="15371" width="10.42578125" style="14" bestFit="1" customWidth="1"/>
    <col min="15372" max="15372" width="42.28515625" style="14" bestFit="1" customWidth="1"/>
    <col min="15373" max="15373" width="13.5703125" style="14" bestFit="1" customWidth="1"/>
    <col min="15374" max="15374" width="7.7109375" style="14" bestFit="1" customWidth="1"/>
    <col min="15375" max="15375" width="10.7109375" style="14" bestFit="1" customWidth="1"/>
    <col min="15376" max="15376" width="9.28515625" style="14" bestFit="1" customWidth="1"/>
    <col min="15377" max="15377" width="8.7109375" style="14" bestFit="1" customWidth="1"/>
    <col min="15378" max="15616" width="9.140625" style="14"/>
    <col min="15617" max="15617" width="4.42578125" style="14" bestFit="1" customWidth="1"/>
    <col min="15618" max="15618" width="13.85546875" style="14" bestFit="1" customWidth="1"/>
    <col min="15619" max="15619" width="11.28515625" style="14" bestFit="1" customWidth="1"/>
    <col min="15620" max="15620" width="14.5703125" style="14" bestFit="1" customWidth="1"/>
    <col min="15621" max="15621" width="4.5703125" style="14" bestFit="1" customWidth="1"/>
    <col min="15622" max="15622" width="22.140625" style="14" bestFit="1" customWidth="1"/>
    <col min="15623" max="15623" width="24.140625" style="14" bestFit="1" customWidth="1"/>
    <col min="15624" max="15624" width="10.7109375" style="14" bestFit="1" customWidth="1"/>
    <col min="15625" max="15625" width="20" style="14" bestFit="1" customWidth="1"/>
    <col min="15626" max="15626" width="11.85546875" style="14" bestFit="1" customWidth="1"/>
    <col min="15627" max="15627" width="10.42578125" style="14" bestFit="1" customWidth="1"/>
    <col min="15628" max="15628" width="42.28515625" style="14" bestFit="1" customWidth="1"/>
    <col min="15629" max="15629" width="13.5703125" style="14" bestFit="1" customWidth="1"/>
    <col min="15630" max="15630" width="7.7109375" style="14" bestFit="1" customWidth="1"/>
    <col min="15631" max="15631" width="10.7109375" style="14" bestFit="1" customWidth="1"/>
    <col min="15632" max="15632" width="9.28515625" style="14" bestFit="1" customWidth="1"/>
    <col min="15633" max="15633" width="8.7109375" style="14" bestFit="1" customWidth="1"/>
    <col min="15634" max="15872" width="9.140625" style="14"/>
    <col min="15873" max="15873" width="4.42578125" style="14" bestFit="1" customWidth="1"/>
    <col min="15874" max="15874" width="13.85546875" style="14" bestFit="1" customWidth="1"/>
    <col min="15875" max="15875" width="11.28515625" style="14" bestFit="1" customWidth="1"/>
    <col min="15876" max="15876" width="14.5703125" style="14" bestFit="1" customWidth="1"/>
    <col min="15877" max="15877" width="4.5703125" style="14" bestFit="1" customWidth="1"/>
    <col min="15878" max="15878" width="22.140625" style="14" bestFit="1" customWidth="1"/>
    <col min="15879" max="15879" width="24.140625" style="14" bestFit="1" customWidth="1"/>
    <col min="15880" max="15880" width="10.7109375" style="14" bestFit="1" customWidth="1"/>
    <col min="15881" max="15881" width="20" style="14" bestFit="1" customWidth="1"/>
    <col min="15882" max="15882" width="11.85546875" style="14" bestFit="1" customWidth="1"/>
    <col min="15883" max="15883" width="10.42578125" style="14" bestFit="1" customWidth="1"/>
    <col min="15884" max="15884" width="42.28515625" style="14" bestFit="1" customWidth="1"/>
    <col min="15885" max="15885" width="13.5703125" style="14" bestFit="1" customWidth="1"/>
    <col min="15886" max="15886" width="7.7109375" style="14" bestFit="1" customWidth="1"/>
    <col min="15887" max="15887" width="10.7109375" style="14" bestFit="1" customWidth="1"/>
    <col min="15888" max="15888" width="9.28515625" style="14" bestFit="1" customWidth="1"/>
    <col min="15889" max="15889" width="8.7109375" style="14" bestFit="1" customWidth="1"/>
    <col min="15890" max="16128" width="9.140625" style="14"/>
    <col min="16129" max="16129" width="4.42578125" style="14" bestFit="1" customWidth="1"/>
    <col min="16130" max="16130" width="13.85546875" style="14" bestFit="1" customWidth="1"/>
    <col min="16131" max="16131" width="11.28515625" style="14" bestFit="1" customWidth="1"/>
    <col min="16132" max="16132" width="14.5703125" style="14" bestFit="1" customWidth="1"/>
    <col min="16133" max="16133" width="4.5703125" style="14" bestFit="1" customWidth="1"/>
    <col min="16134" max="16134" width="22.140625" style="14" bestFit="1" customWidth="1"/>
    <col min="16135" max="16135" width="24.140625" style="14" bestFit="1" customWidth="1"/>
    <col min="16136" max="16136" width="10.7109375" style="14" bestFit="1" customWidth="1"/>
    <col min="16137" max="16137" width="20" style="14" bestFit="1" customWidth="1"/>
    <col min="16138" max="16138" width="11.85546875" style="14" bestFit="1" customWidth="1"/>
    <col min="16139" max="16139" width="10.42578125" style="14" bestFit="1" customWidth="1"/>
    <col min="16140" max="16140" width="42.28515625" style="14" bestFit="1" customWidth="1"/>
    <col min="16141" max="16141" width="13.5703125" style="14" bestFit="1" customWidth="1"/>
    <col min="16142" max="16142" width="7.7109375" style="14" bestFit="1" customWidth="1"/>
    <col min="16143" max="16143" width="10.7109375" style="14" bestFit="1" customWidth="1"/>
    <col min="16144" max="16144" width="9.28515625" style="14" bestFit="1" customWidth="1"/>
    <col min="16145" max="16145" width="8.7109375" style="14" bestFit="1" customWidth="1"/>
    <col min="16146" max="16384" width="9.140625" style="14"/>
  </cols>
  <sheetData>
    <row r="1" spans="1:17" ht="25.5" x14ac:dyDescent="0.2">
      <c r="A1" s="10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0</v>
      </c>
      <c r="I1" s="11" t="s">
        <v>37</v>
      </c>
      <c r="J1" s="11" t="s">
        <v>38</v>
      </c>
      <c r="K1" s="12" t="s">
        <v>39</v>
      </c>
      <c r="L1" s="11" t="s">
        <v>40</v>
      </c>
      <c r="M1" s="11" t="s">
        <v>41</v>
      </c>
      <c r="N1" s="10" t="s">
        <v>42</v>
      </c>
      <c r="O1" s="10" t="s">
        <v>43</v>
      </c>
      <c r="P1" s="10" t="s">
        <v>44</v>
      </c>
      <c r="Q1" s="13" t="s">
        <v>45</v>
      </c>
    </row>
    <row r="2" spans="1:17" ht="15" hidden="1" outlineLevel="2" x14ac:dyDescent="0.25">
      <c r="A2" s="15" t="s">
        <v>58</v>
      </c>
      <c r="B2" s="14" t="s">
        <v>59</v>
      </c>
      <c r="C2" s="14" t="s">
        <v>60</v>
      </c>
      <c r="D2" s="14" t="s">
        <v>61</v>
      </c>
      <c r="E2" s="16" t="s">
        <v>50</v>
      </c>
      <c r="F2" s="14" t="s">
        <v>51</v>
      </c>
      <c r="G2" s="14" t="s">
        <v>62</v>
      </c>
      <c r="H2" s="17">
        <v>12707.398332184133</v>
      </c>
      <c r="I2" s="14" t="s">
        <v>63</v>
      </c>
      <c r="J2" s="18">
        <v>34380</v>
      </c>
      <c r="K2" s="18">
        <v>25186</v>
      </c>
      <c r="L2" s="14" t="s">
        <v>64</v>
      </c>
      <c r="M2" s="14" t="s">
        <v>55</v>
      </c>
      <c r="N2" s="19">
        <v>150020</v>
      </c>
      <c r="O2" s="19" t="s">
        <v>65</v>
      </c>
      <c r="P2" s="20" t="s">
        <v>57</v>
      </c>
      <c r="Q2" s="14">
        <v>1</v>
      </c>
    </row>
    <row r="3" spans="1:17" ht="15" hidden="1" outlineLevel="2" x14ac:dyDescent="0.25">
      <c r="A3" s="15" t="s">
        <v>66</v>
      </c>
      <c r="B3" s="14" t="s">
        <v>67</v>
      </c>
      <c r="C3" s="14" t="s">
        <v>68</v>
      </c>
      <c r="D3" s="14" t="s">
        <v>69</v>
      </c>
      <c r="E3" s="16" t="s">
        <v>50</v>
      </c>
      <c r="F3" s="14" t="s">
        <v>51</v>
      </c>
      <c r="G3" s="14" t="s">
        <v>70</v>
      </c>
      <c r="H3" s="17">
        <v>7041.4857976093836</v>
      </c>
      <c r="I3" s="14" t="s">
        <v>63</v>
      </c>
      <c r="J3" s="18">
        <v>35292</v>
      </c>
      <c r="K3" s="18">
        <v>21979</v>
      </c>
      <c r="L3" s="14" t="s">
        <v>71</v>
      </c>
      <c r="M3" s="14" t="s">
        <v>72</v>
      </c>
      <c r="N3" s="19" t="s">
        <v>73</v>
      </c>
      <c r="O3" s="19" t="s">
        <v>74</v>
      </c>
      <c r="P3" s="20" t="s">
        <v>57</v>
      </c>
      <c r="Q3" s="14">
        <v>1</v>
      </c>
    </row>
    <row r="4" spans="1:17" ht="15" hidden="1" outlineLevel="2" x14ac:dyDescent="0.25">
      <c r="A4" s="15" t="s">
        <v>107</v>
      </c>
      <c r="B4" s="14" t="s">
        <v>5</v>
      </c>
      <c r="C4" s="14" t="s">
        <v>108</v>
      </c>
      <c r="D4" s="14" t="s">
        <v>109</v>
      </c>
      <c r="E4" s="16" t="s">
        <v>87</v>
      </c>
      <c r="F4" s="14" t="s">
        <v>103</v>
      </c>
      <c r="G4" s="14" t="s">
        <v>110</v>
      </c>
      <c r="H4" s="17">
        <v>14613.372183667399</v>
      </c>
      <c r="I4" s="14" t="s">
        <v>63</v>
      </c>
      <c r="J4" s="18">
        <v>35292</v>
      </c>
      <c r="K4" s="18">
        <v>21194</v>
      </c>
      <c r="L4" s="14" t="s">
        <v>111</v>
      </c>
      <c r="M4" s="14" t="s">
        <v>72</v>
      </c>
      <c r="N4" s="19" t="s">
        <v>112</v>
      </c>
      <c r="O4" s="19" t="s">
        <v>113</v>
      </c>
      <c r="P4" s="20" t="s">
        <v>106</v>
      </c>
      <c r="Q4" s="14">
        <v>2</v>
      </c>
    </row>
    <row r="5" spans="1:17" ht="15" hidden="1" outlineLevel="2" x14ac:dyDescent="0.25">
      <c r="A5" s="15" t="s">
        <v>114</v>
      </c>
      <c r="B5" s="14" t="s">
        <v>115</v>
      </c>
      <c r="C5" s="14" t="s">
        <v>85</v>
      </c>
      <c r="D5" s="14" t="s">
        <v>116</v>
      </c>
      <c r="E5" s="16" t="s">
        <v>87</v>
      </c>
      <c r="F5" s="14" t="s">
        <v>103</v>
      </c>
      <c r="G5" s="14" t="s">
        <v>117</v>
      </c>
      <c r="H5" s="17">
        <v>13587.3733966329</v>
      </c>
      <c r="I5" s="14" t="s">
        <v>63</v>
      </c>
      <c r="J5" s="18">
        <v>35451</v>
      </c>
      <c r="K5" s="18">
        <v>24134</v>
      </c>
      <c r="L5" s="14" t="s">
        <v>118</v>
      </c>
      <c r="M5" s="14" t="s">
        <v>55</v>
      </c>
      <c r="N5" s="19">
        <v>154041</v>
      </c>
      <c r="O5" s="19" t="s">
        <v>119</v>
      </c>
      <c r="P5" s="20" t="s">
        <v>120</v>
      </c>
      <c r="Q5" s="14">
        <v>3</v>
      </c>
    </row>
    <row r="6" spans="1:17" ht="15" hidden="1" outlineLevel="2" x14ac:dyDescent="0.25">
      <c r="A6" s="15" t="s">
        <v>121</v>
      </c>
      <c r="B6" s="14" t="s">
        <v>122</v>
      </c>
      <c r="C6" s="14" t="s">
        <v>123</v>
      </c>
      <c r="D6" s="14" t="s">
        <v>124</v>
      </c>
      <c r="E6" s="16" t="s">
        <v>50</v>
      </c>
      <c r="F6" s="14" t="s">
        <v>103</v>
      </c>
      <c r="G6" s="14" t="s">
        <v>125</v>
      </c>
      <c r="H6" s="17">
        <v>15190.4570729188</v>
      </c>
      <c r="I6" s="14" t="s">
        <v>63</v>
      </c>
      <c r="J6" s="18">
        <v>34436</v>
      </c>
      <c r="K6" s="18">
        <v>26821</v>
      </c>
      <c r="L6" s="14" t="s">
        <v>126</v>
      </c>
      <c r="M6" s="14" t="s">
        <v>127</v>
      </c>
      <c r="N6" s="19">
        <v>114099</v>
      </c>
      <c r="O6" s="19" t="s">
        <v>128</v>
      </c>
      <c r="P6" s="20" t="s">
        <v>129</v>
      </c>
      <c r="Q6" s="14">
        <v>4</v>
      </c>
    </row>
    <row r="7" spans="1:17" ht="15" hidden="1" outlineLevel="2" x14ac:dyDescent="0.25">
      <c r="A7" s="15" t="s">
        <v>149</v>
      </c>
      <c r="B7" s="14" t="s">
        <v>150</v>
      </c>
      <c r="C7" s="14" t="s">
        <v>132</v>
      </c>
      <c r="D7" s="14" t="s">
        <v>151</v>
      </c>
      <c r="E7" s="16" t="s">
        <v>50</v>
      </c>
      <c r="F7" s="14" t="s">
        <v>143</v>
      </c>
      <c r="G7" s="14" t="s">
        <v>152</v>
      </c>
      <c r="H7" s="17">
        <v>10687.814774165099</v>
      </c>
      <c r="I7" s="14" t="s">
        <v>63</v>
      </c>
      <c r="J7" s="18">
        <v>34788</v>
      </c>
      <c r="K7" s="18">
        <v>25186</v>
      </c>
      <c r="L7" s="14" t="s">
        <v>153</v>
      </c>
      <c r="M7" s="14" t="s">
        <v>154</v>
      </c>
      <c r="N7" s="19">
        <v>145037</v>
      </c>
      <c r="O7" s="19" t="s">
        <v>155</v>
      </c>
      <c r="P7" s="20" t="s">
        <v>156</v>
      </c>
      <c r="Q7" s="14">
        <v>13</v>
      </c>
    </row>
    <row r="8" spans="1:17" ht="15" hidden="1" outlineLevel="2" x14ac:dyDescent="0.25">
      <c r="A8" s="15" t="s">
        <v>157</v>
      </c>
      <c r="B8" s="14" t="s">
        <v>158</v>
      </c>
      <c r="C8" s="14" t="s">
        <v>159</v>
      </c>
      <c r="D8" s="14" t="s">
        <v>160</v>
      </c>
      <c r="E8" s="16" t="s">
        <v>50</v>
      </c>
      <c r="F8" s="14" t="s">
        <v>161</v>
      </c>
      <c r="G8" s="14" t="s">
        <v>162</v>
      </c>
      <c r="H8" s="17">
        <v>10721.362397126901</v>
      </c>
      <c r="I8" s="14" t="s">
        <v>63</v>
      </c>
      <c r="J8" s="18">
        <v>35321</v>
      </c>
      <c r="K8" s="18">
        <v>24300</v>
      </c>
      <c r="L8" s="14" t="s">
        <v>163</v>
      </c>
      <c r="M8" s="14" t="s">
        <v>55</v>
      </c>
      <c r="N8" s="19">
        <v>108110</v>
      </c>
      <c r="O8" s="19" t="s">
        <v>164</v>
      </c>
      <c r="P8" s="20" t="s">
        <v>165</v>
      </c>
      <c r="Q8" s="14">
        <v>14</v>
      </c>
    </row>
    <row r="9" spans="1:17" ht="15" hidden="1" outlineLevel="2" x14ac:dyDescent="0.25">
      <c r="A9" s="15" t="s">
        <v>190</v>
      </c>
      <c r="B9" s="14" t="s">
        <v>191</v>
      </c>
      <c r="C9" s="14" t="s">
        <v>192</v>
      </c>
      <c r="D9" s="14" t="s">
        <v>49</v>
      </c>
      <c r="E9" s="16" t="s">
        <v>50</v>
      </c>
      <c r="F9" s="14" t="s">
        <v>161</v>
      </c>
      <c r="G9" s="14" t="s">
        <v>193</v>
      </c>
      <c r="H9" s="17">
        <v>11788.046787464711</v>
      </c>
      <c r="I9" s="14" t="s">
        <v>63</v>
      </c>
      <c r="J9" s="18">
        <v>34436</v>
      </c>
      <c r="K9" s="18">
        <v>21115</v>
      </c>
      <c r="L9" s="14" t="s">
        <v>194</v>
      </c>
      <c r="M9" s="14" t="s">
        <v>55</v>
      </c>
      <c r="N9" s="19">
        <v>112192</v>
      </c>
      <c r="O9" s="19" t="s">
        <v>195</v>
      </c>
      <c r="P9" s="20" t="s">
        <v>165</v>
      </c>
      <c r="Q9" s="14">
        <v>14</v>
      </c>
    </row>
    <row r="10" spans="1:17" ht="15" hidden="1" outlineLevel="2" x14ac:dyDescent="0.25">
      <c r="A10" s="15" t="s">
        <v>212</v>
      </c>
      <c r="B10" s="14" t="s">
        <v>213</v>
      </c>
      <c r="C10" s="14" t="s">
        <v>185</v>
      </c>
      <c r="D10" s="14" t="s">
        <v>151</v>
      </c>
      <c r="E10" s="16" t="s">
        <v>50</v>
      </c>
      <c r="F10" s="14" t="s">
        <v>161</v>
      </c>
      <c r="G10" s="14" t="s">
        <v>187</v>
      </c>
      <c r="H10" s="17">
        <v>12649.177735950938</v>
      </c>
      <c r="I10" s="14" t="s">
        <v>63</v>
      </c>
      <c r="J10" s="18">
        <v>35290</v>
      </c>
      <c r="K10" s="18">
        <v>22280</v>
      </c>
      <c r="L10" s="14" t="s">
        <v>214</v>
      </c>
      <c r="M10" s="14" t="s">
        <v>215</v>
      </c>
      <c r="N10" s="19" t="s">
        <v>216</v>
      </c>
      <c r="O10" s="19" t="s">
        <v>217</v>
      </c>
      <c r="P10" s="20" t="s">
        <v>165</v>
      </c>
      <c r="Q10" s="14">
        <v>14</v>
      </c>
    </row>
    <row r="11" spans="1:17" ht="15" hidden="1" outlineLevel="2" x14ac:dyDescent="0.25">
      <c r="A11" s="15" t="s">
        <v>229</v>
      </c>
      <c r="B11" s="14" t="s">
        <v>230</v>
      </c>
      <c r="C11" s="14" t="s">
        <v>231</v>
      </c>
      <c r="D11" s="14" t="s">
        <v>142</v>
      </c>
      <c r="E11" s="16" t="s">
        <v>87</v>
      </c>
      <c r="F11" s="14" t="s">
        <v>161</v>
      </c>
      <c r="G11" s="14" t="s">
        <v>144</v>
      </c>
      <c r="H11" s="17">
        <v>13552.180889683978</v>
      </c>
      <c r="I11" s="14" t="s">
        <v>63</v>
      </c>
      <c r="J11" s="18">
        <v>35208</v>
      </c>
      <c r="K11" s="18">
        <v>22927</v>
      </c>
      <c r="L11" s="14" t="s">
        <v>232</v>
      </c>
      <c r="M11" s="14" t="s">
        <v>233</v>
      </c>
      <c r="N11" s="19">
        <v>113020</v>
      </c>
      <c r="O11" s="19" t="s">
        <v>234</v>
      </c>
      <c r="P11" s="20" t="s">
        <v>165</v>
      </c>
      <c r="Q11" s="14">
        <v>14</v>
      </c>
    </row>
    <row r="12" spans="1:17" ht="15" hidden="1" outlineLevel="2" x14ac:dyDescent="0.25">
      <c r="A12" s="15" t="s">
        <v>235</v>
      </c>
      <c r="B12" s="14" t="s">
        <v>236</v>
      </c>
      <c r="C12" s="14" t="s">
        <v>237</v>
      </c>
      <c r="D12" s="14" t="s">
        <v>238</v>
      </c>
      <c r="E12" s="16" t="s">
        <v>87</v>
      </c>
      <c r="F12" s="14" t="s">
        <v>161</v>
      </c>
      <c r="G12" s="14" t="s">
        <v>239</v>
      </c>
      <c r="H12" s="17">
        <v>11129.8708790295</v>
      </c>
      <c r="I12" s="14" t="s">
        <v>63</v>
      </c>
      <c r="J12" s="18">
        <v>35332</v>
      </c>
      <c r="K12" s="18">
        <v>24085</v>
      </c>
      <c r="L12" s="14" t="s">
        <v>240</v>
      </c>
      <c r="M12" s="14" t="s">
        <v>241</v>
      </c>
      <c r="N12" s="19">
        <v>143430</v>
      </c>
      <c r="O12" s="19" t="s">
        <v>242</v>
      </c>
      <c r="P12" s="20" t="s">
        <v>165</v>
      </c>
      <c r="Q12" s="14">
        <v>14</v>
      </c>
    </row>
    <row r="13" spans="1:17" ht="15" hidden="1" outlineLevel="2" x14ac:dyDescent="0.25">
      <c r="A13" s="15" t="s">
        <v>249</v>
      </c>
      <c r="B13" s="14" t="s">
        <v>250</v>
      </c>
      <c r="C13" s="14" t="s">
        <v>251</v>
      </c>
      <c r="D13" s="14" t="s">
        <v>252</v>
      </c>
      <c r="E13" s="16" t="s">
        <v>87</v>
      </c>
      <c r="F13" s="14" t="s">
        <v>143</v>
      </c>
      <c r="G13" s="14" t="s">
        <v>253</v>
      </c>
      <c r="H13" s="17">
        <v>12924.048181149799</v>
      </c>
      <c r="I13" s="14" t="s">
        <v>63</v>
      </c>
      <c r="J13" s="18">
        <v>35032</v>
      </c>
      <c r="K13" s="18">
        <v>22893</v>
      </c>
      <c r="L13" s="14" t="s">
        <v>254</v>
      </c>
      <c r="M13" s="14" t="s">
        <v>55</v>
      </c>
      <c r="N13" s="19">
        <v>117740</v>
      </c>
      <c r="O13" s="19" t="s">
        <v>255</v>
      </c>
      <c r="P13" s="20" t="s">
        <v>248</v>
      </c>
      <c r="Q13" s="14">
        <v>15</v>
      </c>
    </row>
    <row r="14" spans="1:17" ht="15" hidden="1" outlineLevel="2" x14ac:dyDescent="0.25">
      <c r="A14" s="15" t="s">
        <v>280</v>
      </c>
      <c r="B14" s="14" t="s">
        <v>281</v>
      </c>
      <c r="C14" s="14" t="s">
        <v>94</v>
      </c>
      <c r="D14" s="14" t="s">
        <v>282</v>
      </c>
      <c r="E14" s="16" t="s">
        <v>87</v>
      </c>
      <c r="F14" s="14" t="s">
        <v>268</v>
      </c>
      <c r="G14" s="14" t="s">
        <v>253</v>
      </c>
      <c r="H14" s="17">
        <v>11142.1670754684</v>
      </c>
      <c r="I14" s="14" t="s">
        <v>63</v>
      </c>
      <c r="J14" s="18">
        <v>35208</v>
      </c>
      <c r="K14" s="18">
        <v>22913</v>
      </c>
      <c r="L14" s="14" t="s">
        <v>283</v>
      </c>
      <c r="M14" s="14" t="s">
        <v>72</v>
      </c>
      <c r="N14" s="19">
        <v>193001</v>
      </c>
      <c r="O14" s="19" t="s">
        <v>284</v>
      </c>
      <c r="P14" s="20" t="s">
        <v>279</v>
      </c>
      <c r="Q14" s="14">
        <v>18</v>
      </c>
    </row>
    <row r="15" spans="1:17" ht="15" hidden="1" outlineLevel="2" x14ac:dyDescent="0.25">
      <c r="A15" s="15" t="s">
        <v>285</v>
      </c>
      <c r="B15" s="14" t="s">
        <v>286</v>
      </c>
      <c r="C15" s="14" t="s">
        <v>287</v>
      </c>
      <c r="D15" s="14" t="s">
        <v>288</v>
      </c>
      <c r="E15" s="16" t="s">
        <v>50</v>
      </c>
      <c r="F15" s="14" t="s">
        <v>289</v>
      </c>
      <c r="G15" s="14" t="s">
        <v>239</v>
      </c>
      <c r="H15" s="17">
        <v>11477.095535836535</v>
      </c>
      <c r="I15" s="14" t="s">
        <v>63</v>
      </c>
      <c r="J15" s="18">
        <v>35208</v>
      </c>
      <c r="K15" s="18">
        <v>25186</v>
      </c>
      <c r="L15" s="14" t="s">
        <v>290</v>
      </c>
      <c r="M15" s="14" t="s">
        <v>55</v>
      </c>
      <c r="N15" s="19">
        <v>112378</v>
      </c>
      <c r="O15" s="19" t="s">
        <v>291</v>
      </c>
      <c r="P15" s="20" t="s">
        <v>292</v>
      </c>
      <c r="Q15" s="14">
        <v>19</v>
      </c>
    </row>
    <row r="16" spans="1:17" ht="15" hidden="1" outlineLevel="2" x14ac:dyDescent="0.25">
      <c r="A16" s="15" t="s">
        <v>293</v>
      </c>
      <c r="B16" s="14" t="s">
        <v>294</v>
      </c>
      <c r="C16" s="14" t="s">
        <v>68</v>
      </c>
      <c r="D16" s="14" t="s">
        <v>124</v>
      </c>
      <c r="E16" s="16" t="s">
        <v>50</v>
      </c>
      <c r="F16" s="14" t="s">
        <v>289</v>
      </c>
      <c r="G16" s="14" t="s">
        <v>239</v>
      </c>
      <c r="H16" s="17">
        <v>5742.2490484559476</v>
      </c>
      <c r="I16" s="14" t="s">
        <v>63</v>
      </c>
      <c r="J16" s="18">
        <v>35290</v>
      </c>
      <c r="K16" s="18">
        <v>23891</v>
      </c>
      <c r="L16" s="14" t="s">
        <v>295</v>
      </c>
      <c r="M16" s="14" t="s">
        <v>55</v>
      </c>
      <c r="N16" s="19">
        <v>112432</v>
      </c>
      <c r="O16" s="19" t="s">
        <v>296</v>
      </c>
      <c r="P16" s="20" t="s">
        <v>292</v>
      </c>
      <c r="Q16" s="14">
        <v>19</v>
      </c>
    </row>
    <row r="17" spans="1:17" ht="15" hidden="1" outlineLevel="2" x14ac:dyDescent="0.25">
      <c r="A17" s="15" t="s">
        <v>308</v>
      </c>
      <c r="B17" s="14" t="s">
        <v>309</v>
      </c>
      <c r="C17" s="14" t="s">
        <v>168</v>
      </c>
      <c r="D17" s="14" t="s">
        <v>310</v>
      </c>
      <c r="E17" s="16" t="s">
        <v>50</v>
      </c>
      <c r="F17" s="14" t="s">
        <v>289</v>
      </c>
      <c r="G17" s="14" t="s">
        <v>311</v>
      </c>
      <c r="H17" s="17">
        <v>14336.118175428066</v>
      </c>
      <c r="I17" s="14" t="s">
        <v>63</v>
      </c>
      <c r="J17" s="18">
        <v>34380</v>
      </c>
      <c r="K17" s="18">
        <v>23757</v>
      </c>
      <c r="L17" s="14" t="s">
        <v>312</v>
      </c>
      <c r="M17" s="14" t="s">
        <v>55</v>
      </c>
      <c r="N17" s="19">
        <v>122307</v>
      </c>
      <c r="O17" s="19" t="s">
        <v>313</v>
      </c>
      <c r="P17" s="20" t="s">
        <v>292</v>
      </c>
      <c r="Q17" s="14">
        <v>19</v>
      </c>
    </row>
    <row r="18" spans="1:17" ht="15" hidden="1" outlineLevel="2" x14ac:dyDescent="0.25">
      <c r="A18" s="15" t="s">
        <v>329</v>
      </c>
      <c r="B18" s="14" t="s">
        <v>330</v>
      </c>
      <c r="C18" s="14" t="s">
        <v>331</v>
      </c>
      <c r="D18" s="14" t="s">
        <v>116</v>
      </c>
      <c r="E18" s="16" t="s">
        <v>87</v>
      </c>
      <c r="F18" s="14" t="s">
        <v>268</v>
      </c>
      <c r="G18" s="14" t="s">
        <v>311</v>
      </c>
      <c r="H18" s="17">
        <v>12247.747148017401</v>
      </c>
      <c r="I18" s="14" t="s">
        <v>63</v>
      </c>
      <c r="J18" s="18">
        <v>35290</v>
      </c>
      <c r="K18" s="18">
        <v>20100</v>
      </c>
      <c r="L18" s="14" t="s">
        <v>332</v>
      </c>
      <c r="M18" s="14" t="s">
        <v>55</v>
      </c>
      <c r="N18" s="19" t="s">
        <v>333</v>
      </c>
      <c r="O18" s="19" t="s">
        <v>334</v>
      </c>
      <c r="P18" s="20" t="s">
        <v>322</v>
      </c>
      <c r="Q18" s="14">
        <v>20</v>
      </c>
    </row>
    <row r="19" spans="1:17" ht="15" hidden="1" outlineLevel="2" x14ac:dyDescent="0.25">
      <c r="A19" s="15" t="s">
        <v>373</v>
      </c>
      <c r="B19" s="14" t="s">
        <v>374</v>
      </c>
      <c r="C19" s="14" t="s">
        <v>375</v>
      </c>
      <c r="D19" s="14" t="s">
        <v>142</v>
      </c>
      <c r="E19" s="16" t="s">
        <v>87</v>
      </c>
      <c r="F19" s="14" t="s">
        <v>376</v>
      </c>
      <c r="G19" s="14" t="s">
        <v>144</v>
      </c>
      <c r="H19" s="17">
        <v>12592.183135589101</v>
      </c>
      <c r="I19" s="14" t="s">
        <v>63</v>
      </c>
      <c r="J19" s="18">
        <v>35504</v>
      </c>
      <c r="K19" s="18">
        <v>24085</v>
      </c>
      <c r="L19" s="14" t="s">
        <v>377</v>
      </c>
      <c r="M19" s="14" t="s">
        <v>55</v>
      </c>
      <c r="N19" s="19">
        <v>193006</v>
      </c>
      <c r="O19" s="19" t="s">
        <v>378</v>
      </c>
      <c r="P19" s="20" t="s">
        <v>379</v>
      </c>
      <c r="Q19" s="14">
        <v>29</v>
      </c>
    </row>
    <row r="20" spans="1:17" ht="15" hidden="1" outlineLevel="2" x14ac:dyDescent="0.25">
      <c r="A20" s="15" t="s">
        <v>388</v>
      </c>
      <c r="B20" s="14" t="s">
        <v>389</v>
      </c>
      <c r="C20" s="14" t="s">
        <v>68</v>
      </c>
      <c r="D20" s="14" t="s">
        <v>69</v>
      </c>
      <c r="E20" s="16" t="s">
        <v>50</v>
      </c>
      <c r="F20" s="14" t="s">
        <v>390</v>
      </c>
      <c r="G20" s="14" t="s">
        <v>391</v>
      </c>
      <c r="H20" s="17">
        <v>9453.2607782707091</v>
      </c>
      <c r="I20" s="14" t="s">
        <v>63</v>
      </c>
      <c r="J20" s="18">
        <v>34714</v>
      </c>
      <c r="K20" s="18">
        <v>22250</v>
      </c>
      <c r="L20" s="14" t="s">
        <v>301</v>
      </c>
      <c r="M20" s="14" t="s">
        <v>55</v>
      </c>
      <c r="N20" s="19">
        <v>101888</v>
      </c>
      <c r="O20" s="19" t="s">
        <v>392</v>
      </c>
      <c r="P20" s="20" t="s">
        <v>393</v>
      </c>
      <c r="Q20" s="14">
        <v>31</v>
      </c>
    </row>
    <row r="21" spans="1:17" ht="15" hidden="1" outlineLevel="2" x14ac:dyDescent="0.25">
      <c r="A21" s="15" t="s">
        <v>406</v>
      </c>
      <c r="B21" s="14" t="s">
        <v>407</v>
      </c>
      <c r="C21" s="14" t="s">
        <v>316</v>
      </c>
      <c r="D21" s="14" t="s">
        <v>174</v>
      </c>
      <c r="E21" s="16" t="s">
        <v>50</v>
      </c>
      <c r="F21" s="14" t="s">
        <v>390</v>
      </c>
      <c r="G21" s="14" t="s">
        <v>391</v>
      </c>
      <c r="H21" s="17">
        <v>12616.153463888215</v>
      </c>
      <c r="I21" s="14" t="s">
        <v>63</v>
      </c>
      <c r="J21" s="18">
        <v>34759</v>
      </c>
      <c r="K21" s="18">
        <v>22927</v>
      </c>
      <c r="L21" s="14" t="s">
        <v>408</v>
      </c>
      <c r="M21" s="14" t="s">
        <v>55</v>
      </c>
      <c r="N21" s="19">
        <v>126765</v>
      </c>
      <c r="O21" s="19" t="s">
        <v>409</v>
      </c>
      <c r="P21" s="20" t="s">
        <v>393</v>
      </c>
      <c r="Q21" s="14">
        <v>31</v>
      </c>
    </row>
    <row r="22" spans="1:17" ht="15" hidden="1" outlineLevel="2" x14ac:dyDescent="0.25">
      <c r="A22" s="15" t="s">
        <v>410</v>
      </c>
      <c r="B22" s="21" t="s">
        <v>411</v>
      </c>
      <c r="C22" s="21" t="s">
        <v>412</v>
      </c>
      <c r="D22" s="14" t="s">
        <v>326</v>
      </c>
      <c r="E22" s="16" t="s">
        <v>50</v>
      </c>
      <c r="F22" s="14" t="s">
        <v>390</v>
      </c>
      <c r="G22" s="21" t="s">
        <v>403</v>
      </c>
      <c r="H22" s="17">
        <v>5356.4388461651015</v>
      </c>
      <c r="I22" s="14" t="s">
        <v>63</v>
      </c>
      <c r="J22" s="18">
        <v>35258</v>
      </c>
      <c r="K22" s="18">
        <v>21600</v>
      </c>
      <c r="L22" s="14" t="s">
        <v>413</v>
      </c>
      <c r="M22" s="14" t="s">
        <v>55</v>
      </c>
      <c r="N22" s="19">
        <v>121644</v>
      </c>
      <c r="O22" s="19" t="s">
        <v>74</v>
      </c>
      <c r="P22" s="20" t="s">
        <v>393</v>
      </c>
      <c r="Q22" s="14">
        <v>31</v>
      </c>
    </row>
    <row r="23" spans="1:17" ht="15" hidden="1" outlineLevel="2" x14ac:dyDescent="0.25">
      <c r="A23" s="15" t="s">
        <v>414</v>
      </c>
      <c r="B23" s="21" t="s">
        <v>415</v>
      </c>
      <c r="C23" s="21" t="s">
        <v>416</v>
      </c>
      <c r="D23" s="14" t="s">
        <v>417</v>
      </c>
      <c r="E23" s="16" t="s">
        <v>50</v>
      </c>
      <c r="F23" s="14" t="s">
        <v>390</v>
      </c>
      <c r="G23" s="21" t="s">
        <v>418</v>
      </c>
      <c r="H23" s="17">
        <v>7699.1781874603867</v>
      </c>
      <c r="I23" s="14" t="s">
        <v>63</v>
      </c>
      <c r="J23" s="18">
        <v>35442</v>
      </c>
      <c r="K23" s="18">
        <v>24134</v>
      </c>
      <c r="L23" s="14" t="s">
        <v>419</v>
      </c>
      <c r="M23" s="14" t="s">
        <v>55</v>
      </c>
      <c r="N23" s="19">
        <v>104255</v>
      </c>
      <c r="O23" s="19" t="s">
        <v>420</v>
      </c>
      <c r="P23" s="20" t="s">
        <v>393</v>
      </c>
      <c r="Q23" s="14">
        <v>31</v>
      </c>
    </row>
    <row r="24" spans="1:17" ht="15" hidden="1" outlineLevel="2" x14ac:dyDescent="0.25">
      <c r="A24" s="15" t="s">
        <v>431</v>
      </c>
      <c r="B24" s="21" t="s">
        <v>432</v>
      </c>
      <c r="C24" s="21" t="s">
        <v>433</v>
      </c>
      <c r="D24" s="14" t="s">
        <v>317</v>
      </c>
      <c r="E24" s="16" t="s">
        <v>50</v>
      </c>
      <c r="F24" s="14" t="s">
        <v>390</v>
      </c>
      <c r="G24" s="21" t="s">
        <v>403</v>
      </c>
      <c r="H24" s="17">
        <v>13349.155517093794</v>
      </c>
      <c r="I24" s="14" t="s">
        <v>63</v>
      </c>
      <c r="J24" s="18">
        <v>35122</v>
      </c>
      <c r="K24" s="18">
        <v>23253</v>
      </c>
      <c r="L24" s="14" t="s">
        <v>434</v>
      </c>
      <c r="M24" s="14" t="s">
        <v>127</v>
      </c>
      <c r="N24" s="19">
        <v>102008</v>
      </c>
      <c r="O24" s="19" t="s">
        <v>435</v>
      </c>
      <c r="P24" s="20" t="s">
        <v>393</v>
      </c>
      <c r="Q24" s="14">
        <v>31</v>
      </c>
    </row>
    <row r="25" spans="1:17" ht="15" hidden="1" outlineLevel="2" x14ac:dyDescent="0.25">
      <c r="A25" s="15" t="s">
        <v>436</v>
      </c>
      <c r="B25" s="21" t="s">
        <v>437</v>
      </c>
      <c r="C25" s="21" t="s">
        <v>316</v>
      </c>
      <c r="D25" s="14" t="s">
        <v>438</v>
      </c>
      <c r="E25" s="16" t="s">
        <v>50</v>
      </c>
      <c r="F25" s="14" t="s">
        <v>390</v>
      </c>
      <c r="G25" s="21" t="s">
        <v>418</v>
      </c>
      <c r="H25" s="17">
        <v>7045.2632223453566</v>
      </c>
      <c r="I25" s="14" t="s">
        <v>63</v>
      </c>
      <c r="J25" s="18">
        <v>35032</v>
      </c>
      <c r="K25" s="18">
        <v>22065</v>
      </c>
      <c r="L25" s="14" t="s">
        <v>439</v>
      </c>
      <c r="M25" s="14" t="s">
        <v>55</v>
      </c>
      <c r="N25" s="19">
        <v>128708</v>
      </c>
      <c r="O25" s="19" t="s">
        <v>440</v>
      </c>
      <c r="P25" s="20" t="s">
        <v>393</v>
      </c>
      <c r="Q25" s="14">
        <v>31</v>
      </c>
    </row>
    <row r="26" spans="1:17" ht="15" hidden="1" outlineLevel="2" x14ac:dyDescent="0.25">
      <c r="A26" s="15" t="s">
        <v>441</v>
      </c>
      <c r="B26" s="21" t="s">
        <v>442</v>
      </c>
      <c r="C26" s="21" t="s">
        <v>443</v>
      </c>
      <c r="D26" s="14" t="s">
        <v>225</v>
      </c>
      <c r="E26" s="16" t="s">
        <v>50</v>
      </c>
      <c r="F26" s="14" t="s">
        <v>390</v>
      </c>
      <c r="G26" s="21" t="s">
        <v>418</v>
      </c>
      <c r="H26" s="17">
        <v>6943.8446212997997</v>
      </c>
      <c r="I26" s="14" t="s">
        <v>63</v>
      </c>
      <c r="J26" s="18">
        <v>34955</v>
      </c>
      <c r="K26" s="18">
        <v>21979</v>
      </c>
      <c r="L26" s="14" t="s">
        <v>404</v>
      </c>
      <c r="M26" s="14" t="s">
        <v>55</v>
      </c>
      <c r="N26" s="19">
        <v>186599</v>
      </c>
      <c r="O26" s="19" t="s">
        <v>444</v>
      </c>
      <c r="P26" s="20" t="s">
        <v>393</v>
      </c>
      <c r="Q26" s="14">
        <v>31</v>
      </c>
    </row>
    <row r="27" spans="1:17" ht="15" hidden="1" outlineLevel="2" x14ac:dyDescent="0.25">
      <c r="A27" s="15" t="s">
        <v>456</v>
      </c>
      <c r="B27" s="21" t="s">
        <v>457</v>
      </c>
      <c r="C27" s="21" t="s">
        <v>458</v>
      </c>
      <c r="D27" s="14" t="s">
        <v>116</v>
      </c>
      <c r="E27" s="16" t="s">
        <v>87</v>
      </c>
      <c r="F27" s="14" t="s">
        <v>390</v>
      </c>
      <c r="G27" s="21" t="s">
        <v>459</v>
      </c>
      <c r="H27" s="17">
        <v>14142.038140808014</v>
      </c>
      <c r="I27" s="14" t="s">
        <v>63</v>
      </c>
      <c r="J27" s="18">
        <v>35153</v>
      </c>
      <c r="K27" s="18">
        <v>24814</v>
      </c>
      <c r="L27" s="14" t="s">
        <v>460</v>
      </c>
      <c r="M27" s="14" t="s">
        <v>55</v>
      </c>
      <c r="N27" s="19">
        <v>108644</v>
      </c>
      <c r="O27" s="19" t="s">
        <v>461</v>
      </c>
      <c r="P27" s="20" t="s">
        <v>393</v>
      </c>
      <c r="Q27" s="14">
        <v>31</v>
      </c>
    </row>
    <row r="28" spans="1:17" ht="15" outlineLevel="1" collapsed="1" x14ac:dyDescent="0.25">
      <c r="A28" s="15"/>
      <c r="B28" s="21"/>
      <c r="C28" s="21"/>
      <c r="G28" s="21"/>
      <c r="H28" s="17">
        <f>SUBTOTAL(1,H2:H27)</f>
        <v>11182.133897065785</v>
      </c>
      <c r="I28" s="28" t="s">
        <v>604</v>
      </c>
      <c r="J28" s="18"/>
      <c r="K28" s="18"/>
      <c r="N28" s="19"/>
      <c r="O28" s="19"/>
      <c r="P28" s="20"/>
    </row>
    <row r="29" spans="1:17" ht="15" hidden="1" outlineLevel="2" x14ac:dyDescent="0.25">
      <c r="A29" s="15" t="s">
        <v>130</v>
      </c>
      <c r="B29" s="14" t="s">
        <v>131</v>
      </c>
      <c r="C29" s="14" t="s">
        <v>132</v>
      </c>
      <c r="D29" s="14" t="s">
        <v>69</v>
      </c>
      <c r="E29" s="16" t="s">
        <v>50</v>
      </c>
      <c r="F29" s="14" t="s">
        <v>103</v>
      </c>
      <c r="G29" s="14" t="s">
        <v>133</v>
      </c>
      <c r="H29" s="17">
        <v>12169.6033781476</v>
      </c>
      <c r="I29" s="14" t="s">
        <v>134</v>
      </c>
      <c r="J29" s="18">
        <v>35290</v>
      </c>
      <c r="K29" s="18">
        <v>22250</v>
      </c>
      <c r="L29" s="14" t="s">
        <v>135</v>
      </c>
      <c r="M29" s="14" t="s">
        <v>136</v>
      </c>
      <c r="N29" s="19">
        <v>155006</v>
      </c>
      <c r="O29" s="19" t="s">
        <v>137</v>
      </c>
      <c r="P29" s="20" t="s">
        <v>138</v>
      </c>
      <c r="Q29" s="14">
        <v>5</v>
      </c>
    </row>
    <row r="30" spans="1:17" ht="15" hidden="1" outlineLevel="2" x14ac:dyDescent="0.25">
      <c r="A30" s="15" t="s">
        <v>139</v>
      </c>
      <c r="B30" s="14" t="s">
        <v>140</v>
      </c>
      <c r="C30" s="14" t="s">
        <v>141</v>
      </c>
      <c r="D30" s="14" t="s">
        <v>142</v>
      </c>
      <c r="E30" s="16" t="s">
        <v>87</v>
      </c>
      <c r="F30" s="14" t="s">
        <v>143</v>
      </c>
      <c r="G30" s="14" t="s">
        <v>144</v>
      </c>
      <c r="H30" s="17">
        <v>11744.058764424301</v>
      </c>
      <c r="I30" s="14" t="s">
        <v>134</v>
      </c>
      <c r="J30" s="18">
        <v>35122</v>
      </c>
      <c r="K30" s="18">
        <v>24085</v>
      </c>
      <c r="L30" s="14" t="s">
        <v>145</v>
      </c>
      <c r="M30" s="14" t="s">
        <v>55</v>
      </c>
      <c r="N30" s="19" t="s">
        <v>146</v>
      </c>
      <c r="O30" s="19" t="s">
        <v>147</v>
      </c>
      <c r="P30" s="20" t="s">
        <v>148</v>
      </c>
      <c r="Q30" s="14">
        <v>12</v>
      </c>
    </row>
    <row r="31" spans="1:17" ht="15" hidden="1" outlineLevel="2" x14ac:dyDescent="0.25">
      <c r="A31" s="15" t="s">
        <v>256</v>
      </c>
      <c r="B31" s="14" t="s">
        <v>257</v>
      </c>
      <c r="C31" s="14" t="s">
        <v>258</v>
      </c>
      <c r="D31" s="14" t="s">
        <v>259</v>
      </c>
      <c r="E31" s="16" t="s">
        <v>50</v>
      </c>
      <c r="F31" s="14" t="s">
        <v>143</v>
      </c>
      <c r="G31" s="14" t="s">
        <v>104</v>
      </c>
      <c r="H31" s="17">
        <v>11395.712607802161</v>
      </c>
      <c r="I31" s="14" t="s">
        <v>134</v>
      </c>
      <c r="J31" s="18">
        <v>35460</v>
      </c>
      <c r="K31" s="18">
        <v>20104</v>
      </c>
      <c r="L31" s="14" t="s">
        <v>260</v>
      </c>
      <c r="M31" s="14" t="s">
        <v>261</v>
      </c>
      <c r="N31" s="19" t="s">
        <v>262</v>
      </c>
      <c r="O31" s="19" t="s">
        <v>74</v>
      </c>
      <c r="P31" s="20" t="s">
        <v>263</v>
      </c>
      <c r="Q31" s="14">
        <v>16</v>
      </c>
    </row>
    <row r="32" spans="1:17" ht="15" hidden="1" outlineLevel="2" x14ac:dyDescent="0.25">
      <c r="A32" s="15" t="s">
        <v>264</v>
      </c>
      <c r="B32" s="14" t="s">
        <v>265</v>
      </c>
      <c r="C32" s="14" t="s">
        <v>266</v>
      </c>
      <c r="D32" s="14" t="s">
        <v>267</v>
      </c>
      <c r="E32" s="16" t="s">
        <v>87</v>
      </c>
      <c r="F32" s="14" t="s">
        <v>268</v>
      </c>
      <c r="G32" s="14" t="s">
        <v>144</v>
      </c>
      <c r="H32" s="17">
        <v>10238.0106795096</v>
      </c>
      <c r="I32" s="14" t="s">
        <v>134</v>
      </c>
      <c r="J32" s="18">
        <v>35442</v>
      </c>
      <c r="K32" s="18">
        <v>24300</v>
      </c>
      <c r="L32" s="14" t="s">
        <v>269</v>
      </c>
      <c r="M32" s="14" t="s">
        <v>270</v>
      </c>
      <c r="N32" s="19">
        <v>193000</v>
      </c>
      <c r="O32" s="19" t="s">
        <v>271</v>
      </c>
      <c r="P32" s="20" t="s">
        <v>272</v>
      </c>
      <c r="Q32" s="14">
        <v>17</v>
      </c>
    </row>
    <row r="33" spans="1:17" ht="15" hidden="1" outlineLevel="2" x14ac:dyDescent="0.25">
      <c r="A33" s="15" t="s">
        <v>297</v>
      </c>
      <c r="B33" s="14" t="s">
        <v>298</v>
      </c>
      <c r="C33" s="14" t="s">
        <v>299</v>
      </c>
      <c r="D33" s="14" t="s">
        <v>300</v>
      </c>
      <c r="E33" s="16" t="s">
        <v>50</v>
      </c>
      <c r="F33" s="14" t="s">
        <v>289</v>
      </c>
      <c r="G33" s="14" t="s">
        <v>144</v>
      </c>
      <c r="H33" s="17">
        <v>8081.7875863473264</v>
      </c>
      <c r="I33" s="14" t="s">
        <v>134</v>
      </c>
      <c r="J33" s="18">
        <v>35096</v>
      </c>
      <c r="K33" s="18">
        <v>24085</v>
      </c>
      <c r="L33" s="14" t="s">
        <v>301</v>
      </c>
      <c r="M33" s="14" t="s">
        <v>55</v>
      </c>
      <c r="N33" s="19">
        <v>132098</v>
      </c>
      <c r="O33" s="19" t="s">
        <v>302</v>
      </c>
      <c r="P33" s="20" t="s">
        <v>292</v>
      </c>
      <c r="Q33" s="14">
        <v>19</v>
      </c>
    </row>
    <row r="34" spans="1:17" ht="15" hidden="1" outlineLevel="2" x14ac:dyDescent="0.25">
      <c r="A34" s="15" t="s">
        <v>303</v>
      </c>
      <c r="B34" s="14" t="s">
        <v>304</v>
      </c>
      <c r="C34" s="14" t="s">
        <v>185</v>
      </c>
      <c r="D34" s="14" t="s">
        <v>305</v>
      </c>
      <c r="E34" s="16" t="s">
        <v>50</v>
      </c>
      <c r="F34" s="14" t="s">
        <v>289</v>
      </c>
      <c r="G34" s="14" t="s">
        <v>104</v>
      </c>
      <c r="H34" s="17">
        <v>7611.2957853310199</v>
      </c>
      <c r="I34" s="14" t="s">
        <v>134</v>
      </c>
      <c r="J34" s="18">
        <v>35332</v>
      </c>
      <c r="K34" s="18">
        <v>22893</v>
      </c>
      <c r="L34" s="14" t="s">
        <v>306</v>
      </c>
      <c r="M34" s="14" t="s">
        <v>55</v>
      </c>
      <c r="N34" s="19">
        <v>101765</v>
      </c>
      <c r="O34" s="19" t="s">
        <v>307</v>
      </c>
      <c r="P34" s="20" t="s">
        <v>292</v>
      </c>
      <c r="Q34" s="14">
        <v>19</v>
      </c>
    </row>
    <row r="35" spans="1:17" ht="15" hidden="1" outlineLevel="2" x14ac:dyDescent="0.25">
      <c r="A35" s="15" t="s">
        <v>323</v>
      </c>
      <c r="B35" s="14" t="s">
        <v>324</v>
      </c>
      <c r="C35" s="14" t="s">
        <v>325</v>
      </c>
      <c r="D35" s="14" t="s">
        <v>326</v>
      </c>
      <c r="E35" s="16" t="s">
        <v>50</v>
      </c>
      <c r="F35" s="14" t="s">
        <v>268</v>
      </c>
      <c r="G35" s="14" t="s">
        <v>253</v>
      </c>
      <c r="H35" s="17">
        <v>10117.7278312244</v>
      </c>
      <c r="I35" s="14" t="s">
        <v>134</v>
      </c>
      <c r="J35" s="18">
        <v>35258</v>
      </c>
      <c r="K35" s="18">
        <v>21979</v>
      </c>
      <c r="L35" s="14" t="s">
        <v>327</v>
      </c>
      <c r="M35" s="14" t="s">
        <v>55</v>
      </c>
      <c r="N35" s="19">
        <v>193002</v>
      </c>
      <c r="O35" s="19" t="s">
        <v>328</v>
      </c>
      <c r="P35" s="20" t="s">
        <v>322</v>
      </c>
      <c r="Q35" s="14">
        <v>20</v>
      </c>
    </row>
    <row r="36" spans="1:17" ht="15" hidden="1" outlineLevel="2" x14ac:dyDescent="0.25">
      <c r="A36" s="15" t="s">
        <v>356</v>
      </c>
      <c r="B36" s="14" t="s">
        <v>357</v>
      </c>
      <c r="C36" s="14" t="s">
        <v>237</v>
      </c>
      <c r="D36" s="14" t="s">
        <v>282</v>
      </c>
      <c r="E36" s="16" t="s">
        <v>87</v>
      </c>
      <c r="F36" s="14" t="s">
        <v>338</v>
      </c>
      <c r="G36" s="14" t="s">
        <v>358</v>
      </c>
      <c r="H36" s="17">
        <v>13514.395410585492</v>
      </c>
      <c r="I36" s="14" t="s">
        <v>134</v>
      </c>
      <c r="J36" s="18">
        <v>34788</v>
      </c>
      <c r="K36" s="18">
        <v>21186</v>
      </c>
      <c r="L36" s="14" t="s">
        <v>359</v>
      </c>
      <c r="M36" s="14" t="s">
        <v>55</v>
      </c>
      <c r="N36" s="19">
        <v>193003</v>
      </c>
      <c r="O36" s="19" t="s">
        <v>360</v>
      </c>
      <c r="P36" s="20" t="s">
        <v>342</v>
      </c>
      <c r="Q36" s="14">
        <v>23</v>
      </c>
    </row>
    <row r="37" spans="1:17" ht="15" hidden="1" outlineLevel="2" x14ac:dyDescent="0.25">
      <c r="A37" s="15" t="s">
        <v>366</v>
      </c>
      <c r="B37" s="14" t="s">
        <v>367</v>
      </c>
      <c r="C37" s="14" t="s">
        <v>368</v>
      </c>
      <c r="D37" s="14" t="s">
        <v>369</v>
      </c>
      <c r="E37" s="16" t="s">
        <v>87</v>
      </c>
      <c r="F37" s="14" t="s">
        <v>338</v>
      </c>
      <c r="G37" s="14" t="s">
        <v>347</v>
      </c>
      <c r="H37" s="17">
        <v>11069.850875497006</v>
      </c>
      <c r="I37" s="14" t="s">
        <v>134</v>
      </c>
      <c r="J37" s="18">
        <v>35460</v>
      </c>
      <c r="K37" s="18">
        <v>26553</v>
      </c>
      <c r="L37" s="14" t="s">
        <v>370</v>
      </c>
      <c r="M37" s="14" t="s">
        <v>55</v>
      </c>
      <c r="N37" s="19" t="s">
        <v>371</v>
      </c>
      <c r="O37" s="19" t="s">
        <v>372</v>
      </c>
      <c r="P37" s="20" t="s">
        <v>342</v>
      </c>
      <c r="Q37" s="14">
        <v>23</v>
      </c>
    </row>
    <row r="38" spans="1:17" ht="15" hidden="1" outlineLevel="2" x14ac:dyDescent="0.25">
      <c r="A38" s="15" t="s">
        <v>380</v>
      </c>
      <c r="B38" s="14" t="s">
        <v>381</v>
      </c>
      <c r="C38" s="14" t="s">
        <v>382</v>
      </c>
      <c r="D38" s="14" t="s">
        <v>238</v>
      </c>
      <c r="E38" s="16" t="s">
        <v>87</v>
      </c>
      <c r="F38" s="14" t="s">
        <v>376</v>
      </c>
      <c r="G38" s="14" t="s">
        <v>383</v>
      </c>
      <c r="H38" s="17">
        <v>10643.3766537518</v>
      </c>
      <c r="I38" s="14" t="s">
        <v>134</v>
      </c>
      <c r="J38" s="18">
        <v>34759</v>
      </c>
      <c r="K38" s="18">
        <v>25186</v>
      </c>
      <c r="L38" s="14" t="s">
        <v>384</v>
      </c>
      <c r="M38" s="14" t="s">
        <v>55</v>
      </c>
      <c r="N38" s="19" t="s">
        <v>385</v>
      </c>
      <c r="O38" s="19" t="s">
        <v>386</v>
      </c>
      <c r="P38" s="20" t="s">
        <v>387</v>
      </c>
      <c r="Q38" s="14">
        <v>30</v>
      </c>
    </row>
    <row r="39" spans="1:17" ht="15" hidden="1" outlineLevel="2" x14ac:dyDescent="0.25">
      <c r="A39" s="15" t="s">
        <v>394</v>
      </c>
      <c r="B39" s="21" t="s">
        <v>395</v>
      </c>
      <c r="C39" s="21" t="s">
        <v>325</v>
      </c>
      <c r="D39" s="14" t="s">
        <v>396</v>
      </c>
      <c r="E39" s="16" t="s">
        <v>50</v>
      </c>
      <c r="F39" s="14" t="s">
        <v>390</v>
      </c>
      <c r="G39" s="21" t="s">
        <v>397</v>
      </c>
      <c r="H39" s="17">
        <v>13104.8464892221</v>
      </c>
      <c r="I39" s="14" t="s">
        <v>134</v>
      </c>
      <c r="J39" s="18">
        <v>35445</v>
      </c>
      <c r="K39" s="18">
        <v>26821</v>
      </c>
      <c r="L39" s="14" t="s">
        <v>398</v>
      </c>
      <c r="M39" s="14" t="s">
        <v>72</v>
      </c>
      <c r="N39" s="19">
        <v>155888</v>
      </c>
      <c r="O39" s="19" t="s">
        <v>399</v>
      </c>
      <c r="P39" s="20" t="s">
        <v>393</v>
      </c>
      <c r="Q39" s="14">
        <v>31</v>
      </c>
    </row>
    <row r="40" spans="1:17" ht="15" hidden="1" outlineLevel="2" x14ac:dyDescent="0.25">
      <c r="A40" s="15" t="s">
        <v>400</v>
      </c>
      <c r="B40" s="21" t="s">
        <v>401</v>
      </c>
      <c r="C40" s="21" t="s">
        <v>402</v>
      </c>
      <c r="D40" s="14" t="s">
        <v>69</v>
      </c>
      <c r="E40" s="16" t="s">
        <v>50</v>
      </c>
      <c r="F40" s="14" t="s">
        <v>390</v>
      </c>
      <c r="G40" s="21" t="s">
        <v>403</v>
      </c>
      <c r="H40" s="17">
        <v>8415.0990823491975</v>
      </c>
      <c r="I40" s="14" t="s">
        <v>134</v>
      </c>
      <c r="J40" s="18">
        <v>34788</v>
      </c>
      <c r="K40" s="18">
        <v>22908</v>
      </c>
      <c r="L40" s="14" t="s">
        <v>404</v>
      </c>
      <c r="M40" s="14" t="s">
        <v>55</v>
      </c>
      <c r="N40" s="19">
        <v>129543</v>
      </c>
      <c r="O40" s="19" t="s">
        <v>405</v>
      </c>
      <c r="P40" s="20" t="s">
        <v>393</v>
      </c>
      <c r="Q40" s="14">
        <v>31</v>
      </c>
    </row>
    <row r="41" spans="1:17" ht="15" hidden="1" outlineLevel="2" x14ac:dyDescent="0.25">
      <c r="A41" s="15" t="s">
        <v>421</v>
      </c>
      <c r="B41" s="21" t="s">
        <v>422</v>
      </c>
      <c r="C41" s="21" t="s">
        <v>168</v>
      </c>
      <c r="D41" s="14" t="s">
        <v>423</v>
      </c>
      <c r="E41" s="16" t="s">
        <v>50</v>
      </c>
      <c r="F41" s="14" t="s">
        <v>390</v>
      </c>
      <c r="G41" s="21" t="s">
        <v>418</v>
      </c>
      <c r="H41" s="17">
        <v>6769.9436427326746</v>
      </c>
      <c r="I41" s="14" t="s">
        <v>134</v>
      </c>
      <c r="J41" s="18">
        <v>35460</v>
      </c>
      <c r="K41" s="18">
        <v>21194</v>
      </c>
      <c r="L41" s="14" t="s">
        <v>424</v>
      </c>
      <c r="M41" s="14" t="s">
        <v>425</v>
      </c>
      <c r="N41" s="19">
        <v>111765</v>
      </c>
      <c r="O41" s="19" t="s">
        <v>74</v>
      </c>
      <c r="P41" s="20" t="s">
        <v>393</v>
      </c>
      <c r="Q41" s="14">
        <v>31</v>
      </c>
    </row>
    <row r="42" spans="1:17" ht="15" outlineLevel="1" collapsed="1" x14ac:dyDescent="0.25">
      <c r="A42" s="15"/>
      <c r="B42" s="21"/>
      <c r="C42" s="21"/>
      <c r="G42" s="21"/>
      <c r="H42" s="17">
        <f>SUBTOTAL(1,H29:H41)</f>
        <v>10375.05452207113</v>
      </c>
      <c r="I42" s="28" t="s">
        <v>605</v>
      </c>
      <c r="J42" s="18"/>
      <c r="K42" s="18"/>
      <c r="N42" s="19"/>
      <c r="O42" s="19"/>
      <c r="P42" s="20"/>
    </row>
    <row r="43" spans="1:17" ht="15" hidden="1" outlineLevel="2" x14ac:dyDescent="0.25">
      <c r="A43" s="15" t="s">
        <v>178</v>
      </c>
      <c r="B43" s="14" t="s">
        <v>179</v>
      </c>
      <c r="C43" s="14" t="s">
        <v>60</v>
      </c>
      <c r="D43" s="14" t="s">
        <v>102</v>
      </c>
      <c r="E43" s="16" t="s">
        <v>50</v>
      </c>
      <c r="F43" s="14" t="s">
        <v>161</v>
      </c>
      <c r="G43" s="14" t="s">
        <v>169</v>
      </c>
      <c r="H43" s="17">
        <v>6990.5973601102469</v>
      </c>
      <c r="I43" s="14" t="s">
        <v>180</v>
      </c>
      <c r="J43" s="18">
        <v>35445</v>
      </c>
      <c r="K43" s="18">
        <v>26821</v>
      </c>
      <c r="L43" s="14" t="s">
        <v>181</v>
      </c>
      <c r="M43" s="14" t="s">
        <v>90</v>
      </c>
      <c r="N43" s="19">
        <v>123400</v>
      </c>
      <c r="O43" s="19" t="s">
        <v>182</v>
      </c>
      <c r="P43" s="20" t="s">
        <v>165</v>
      </c>
      <c r="Q43" s="14">
        <v>14</v>
      </c>
    </row>
    <row r="44" spans="1:17" ht="15" hidden="1" outlineLevel="2" x14ac:dyDescent="0.25">
      <c r="A44" s="15" t="s">
        <v>218</v>
      </c>
      <c r="B44" s="14" t="s">
        <v>219</v>
      </c>
      <c r="C44" s="14" t="s">
        <v>220</v>
      </c>
      <c r="D44" s="14" t="s">
        <v>124</v>
      </c>
      <c r="E44" s="16" t="s">
        <v>50</v>
      </c>
      <c r="F44" s="14" t="s">
        <v>161</v>
      </c>
      <c r="G44" s="14" t="s">
        <v>175</v>
      </c>
      <c r="H44" s="17">
        <v>9575.1729492277009</v>
      </c>
      <c r="I44" s="14" t="s">
        <v>180</v>
      </c>
      <c r="J44" s="18">
        <v>35451</v>
      </c>
      <c r="K44" s="18">
        <v>27551</v>
      </c>
      <c r="L44" s="14" t="s">
        <v>221</v>
      </c>
      <c r="M44" s="14" t="s">
        <v>55</v>
      </c>
      <c r="N44" s="19">
        <v>113654</v>
      </c>
      <c r="O44" s="19" t="s">
        <v>222</v>
      </c>
      <c r="P44" s="20" t="s">
        <v>165</v>
      </c>
      <c r="Q44" s="14">
        <v>14</v>
      </c>
    </row>
    <row r="45" spans="1:17" ht="15" hidden="1" outlineLevel="2" x14ac:dyDescent="0.25">
      <c r="A45" s="15" t="s">
        <v>223</v>
      </c>
      <c r="B45" s="14" t="s">
        <v>224</v>
      </c>
      <c r="C45" s="14" t="s">
        <v>132</v>
      </c>
      <c r="D45" s="14" t="s">
        <v>225</v>
      </c>
      <c r="E45" s="16" t="s">
        <v>50</v>
      </c>
      <c r="F45" s="14" t="s">
        <v>161</v>
      </c>
      <c r="G45" s="14" t="s">
        <v>187</v>
      </c>
      <c r="H45" s="17">
        <v>9186.8043650826003</v>
      </c>
      <c r="I45" s="14" t="s">
        <v>180</v>
      </c>
      <c r="J45" s="18">
        <v>35290</v>
      </c>
      <c r="K45" s="18">
        <v>22065</v>
      </c>
      <c r="L45" s="14" t="s">
        <v>226</v>
      </c>
      <c r="M45" s="14" t="s">
        <v>55</v>
      </c>
      <c r="N45" s="19" t="s">
        <v>227</v>
      </c>
      <c r="O45" s="19" t="s">
        <v>228</v>
      </c>
      <c r="P45" s="20" t="s">
        <v>165</v>
      </c>
      <c r="Q45" s="14">
        <v>14</v>
      </c>
    </row>
    <row r="46" spans="1:17" ht="15" hidden="1" outlineLevel="2" x14ac:dyDescent="0.25">
      <c r="A46" s="15" t="s">
        <v>335</v>
      </c>
      <c r="B46" s="14" t="s">
        <v>336</v>
      </c>
      <c r="C46" s="14" t="s">
        <v>337</v>
      </c>
      <c r="D46" s="14" t="s">
        <v>225</v>
      </c>
      <c r="E46" s="16" t="s">
        <v>50</v>
      </c>
      <c r="F46" s="14" t="s">
        <v>338</v>
      </c>
      <c r="G46" s="14" t="s">
        <v>339</v>
      </c>
      <c r="H46" s="17">
        <v>8668.5274506055521</v>
      </c>
      <c r="I46" s="14" t="s">
        <v>180</v>
      </c>
      <c r="J46" s="18">
        <v>34955</v>
      </c>
      <c r="K46" s="18">
        <v>24134</v>
      </c>
      <c r="L46" s="14" t="s">
        <v>340</v>
      </c>
      <c r="M46" s="14" t="s">
        <v>55</v>
      </c>
      <c r="N46" s="19" t="s">
        <v>341</v>
      </c>
      <c r="O46" s="19" t="s">
        <v>74</v>
      </c>
      <c r="P46" s="20" t="s">
        <v>342</v>
      </c>
      <c r="Q46" s="14">
        <v>23</v>
      </c>
    </row>
    <row r="47" spans="1:17" ht="15" hidden="1" outlineLevel="2" x14ac:dyDescent="0.25">
      <c r="A47" s="15" t="s">
        <v>343</v>
      </c>
      <c r="B47" s="14" t="s">
        <v>344</v>
      </c>
      <c r="C47" s="14" t="s">
        <v>345</v>
      </c>
      <c r="D47" s="14" t="s">
        <v>346</v>
      </c>
      <c r="E47" s="16" t="s">
        <v>87</v>
      </c>
      <c r="F47" s="14" t="s">
        <v>338</v>
      </c>
      <c r="G47" s="14" t="s">
        <v>347</v>
      </c>
      <c r="H47" s="17">
        <v>11472.290380362065</v>
      </c>
      <c r="I47" s="14" t="s">
        <v>180</v>
      </c>
      <c r="J47" s="18">
        <v>35442</v>
      </c>
      <c r="K47" s="18">
        <v>22927</v>
      </c>
      <c r="L47" s="14" t="s">
        <v>348</v>
      </c>
      <c r="M47" s="14" t="s">
        <v>55</v>
      </c>
      <c r="N47" s="19">
        <v>193005</v>
      </c>
      <c r="O47" s="19" t="s">
        <v>349</v>
      </c>
      <c r="P47" s="20" t="s">
        <v>342</v>
      </c>
      <c r="Q47" s="14">
        <v>23</v>
      </c>
    </row>
    <row r="48" spans="1:17" ht="15" hidden="1" outlineLevel="2" x14ac:dyDescent="0.25">
      <c r="A48" s="15" t="s">
        <v>350</v>
      </c>
      <c r="B48" s="14" t="s">
        <v>351</v>
      </c>
      <c r="C48" s="14" t="s">
        <v>331</v>
      </c>
      <c r="D48" s="14" t="s">
        <v>352</v>
      </c>
      <c r="E48" s="16" t="s">
        <v>87</v>
      </c>
      <c r="F48" s="14" t="s">
        <v>338</v>
      </c>
      <c r="G48" s="14" t="s">
        <v>347</v>
      </c>
      <c r="H48" s="17">
        <v>6545.2883217567833</v>
      </c>
      <c r="I48" s="14" t="s">
        <v>180</v>
      </c>
      <c r="J48" s="18">
        <v>35445</v>
      </c>
      <c r="K48" s="18">
        <v>22250</v>
      </c>
      <c r="L48" s="14" t="s">
        <v>353</v>
      </c>
      <c r="M48" s="14" t="s">
        <v>55</v>
      </c>
      <c r="N48" s="19" t="s">
        <v>354</v>
      </c>
      <c r="O48" s="19" t="s">
        <v>355</v>
      </c>
      <c r="P48" s="20" t="s">
        <v>342</v>
      </c>
      <c r="Q48" s="14">
        <v>23</v>
      </c>
    </row>
    <row r="49" spans="1:17" ht="15" hidden="1" outlineLevel="2" x14ac:dyDescent="0.25">
      <c r="A49" s="15" t="s">
        <v>361</v>
      </c>
      <c r="B49" s="14" t="s">
        <v>362</v>
      </c>
      <c r="C49" s="14" t="s">
        <v>231</v>
      </c>
      <c r="D49" s="14" t="s">
        <v>363</v>
      </c>
      <c r="E49" s="16" t="s">
        <v>87</v>
      </c>
      <c r="F49" s="14" t="s">
        <v>338</v>
      </c>
      <c r="G49" s="14" t="s">
        <v>339</v>
      </c>
      <c r="H49" s="17">
        <v>5053.6033918022285</v>
      </c>
      <c r="I49" s="14" t="s">
        <v>180</v>
      </c>
      <c r="J49" s="18">
        <v>35032</v>
      </c>
      <c r="K49" s="18">
        <v>26821</v>
      </c>
      <c r="L49" s="14" t="s">
        <v>364</v>
      </c>
      <c r="M49" s="14" t="s">
        <v>154</v>
      </c>
      <c r="N49" s="19">
        <v>193004</v>
      </c>
      <c r="O49" s="19" t="s">
        <v>365</v>
      </c>
      <c r="P49" s="20" t="s">
        <v>342</v>
      </c>
      <c r="Q49" s="14">
        <v>23</v>
      </c>
    </row>
    <row r="50" spans="1:17" ht="15" hidden="1" outlineLevel="2" x14ac:dyDescent="0.25">
      <c r="A50" s="15" t="s">
        <v>462</v>
      </c>
      <c r="B50" s="14" t="s">
        <v>463</v>
      </c>
      <c r="C50" s="14" t="s">
        <v>464</v>
      </c>
      <c r="D50" s="14" t="s">
        <v>288</v>
      </c>
      <c r="E50" s="16" t="s">
        <v>50</v>
      </c>
      <c r="F50" s="14" t="s">
        <v>376</v>
      </c>
      <c r="G50" s="14" t="s">
        <v>465</v>
      </c>
      <c r="H50" s="17">
        <v>5715.3864960983001</v>
      </c>
      <c r="I50" s="14" t="s">
        <v>180</v>
      </c>
      <c r="J50" s="18">
        <v>33211</v>
      </c>
      <c r="K50" s="18">
        <v>20104</v>
      </c>
      <c r="L50" s="14" t="s">
        <v>466</v>
      </c>
      <c r="M50" s="14" t="s">
        <v>55</v>
      </c>
      <c r="N50" s="19">
        <v>193008</v>
      </c>
      <c r="O50" s="19" t="s">
        <v>467</v>
      </c>
      <c r="P50" s="20" t="s">
        <v>468</v>
      </c>
      <c r="Q50" s="14">
        <v>33</v>
      </c>
    </row>
    <row r="51" spans="1:17" ht="15" outlineLevel="1" collapsed="1" x14ac:dyDescent="0.25">
      <c r="A51" s="15"/>
      <c r="H51" s="17">
        <f>SUBTOTAL(1,H43:H50)</f>
        <v>7900.9588393806835</v>
      </c>
      <c r="I51" s="28" t="s">
        <v>606</v>
      </c>
      <c r="J51" s="18"/>
      <c r="K51" s="18"/>
      <c r="N51" s="19"/>
      <c r="O51" s="19"/>
      <c r="P51" s="20"/>
    </row>
    <row r="52" spans="1:17" ht="15" hidden="1" outlineLevel="2" x14ac:dyDescent="0.25">
      <c r="A52" s="15" t="s">
        <v>46</v>
      </c>
      <c r="B52" s="14" t="s">
        <v>47</v>
      </c>
      <c r="C52" s="14" t="s">
        <v>48</v>
      </c>
      <c r="D52" s="14" t="s">
        <v>49</v>
      </c>
      <c r="E52" s="16" t="s">
        <v>50</v>
      </c>
      <c r="F52" s="14" t="s">
        <v>51</v>
      </c>
      <c r="G52" s="14" t="s">
        <v>52</v>
      </c>
      <c r="H52" s="17">
        <v>5418.9394766711184</v>
      </c>
      <c r="I52" s="14" t="s">
        <v>53</v>
      </c>
      <c r="J52" s="18">
        <v>35292</v>
      </c>
      <c r="K52" s="18">
        <v>22893</v>
      </c>
      <c r="L52" s="14" t="s">
        <v>54</v>
      </c>
      <c r="M52" s="14" t="s">
        <v>55</v>
      </c>
      <c r="N52" s="19">
        <v>105000</v>
      </c>
      <c r="O52" s="19" t="s">
        <v>56</v>
      </c>
      <c r="P52" s="20" t="s">
        <v>57</v>
      </c>
      <c r="Q52" s="14">
        <v>1</v>
      </c>
    </row>
    <row r="53" spans="1:17" ht="15" hidden="1" outlineLevel="2" x14ac:dyDescent="0.25">
      <c r="A53" s="15" t="s">
        <v>75</v>
      </c>
      <c r="B53" s="14" t="s">
        <v>76</v>
      </c>
      <c r="C53" s="14" t="s">
        <v>77</v>
      </c>
      <c r="D53" s="14" t="s">
        <v>78</v>
      </c>
      <c r="E53" s="16" t="s">
        <v>50</v>
      </c>
      <c r="F53" s="14" t="s">
        <v>51</v>
      </c>
      <c r="G53" s="14" t="s">
        <v>79</v>
      </c>
      <c r="H53" s="17">
        <v>9017.0352559581006</v>
      </c>
      <c r="I53" s="14" t="s">
        <v>53</v>
      </c>
      <c r="J53" s="18">
        <v>35321</v>
      </c>
      <c r="K53" s="18">
        <v>22059</v>
      </c>
      <c r="L53" s="14" t="s">
        <v>80</v>
      </c>
      <c r="M53" s="14" t="s">
        <v>72</v>
      </c>
      <c r="N53" s="19" t="s">
        <v>81</v>
      </c>
      <c r="O53" s="19" t="s">
        <v>82</v>
      </c>
      <c r="P53" s="20" t="s">
        <v>57</v>
      </c>
      <c r="Q53" s="14">
        <v>1</v>
      </c>
    </row>
    <row r="54" spans="1:17" ht="15" hidden="1" outlineLevel="2" x14ac:dyDescent="0.25">
      <c r="A54" s="15" t="s">
        <v>83</v>
      </c>
      <c r="B54" s="14" t="s">
        <v>84</v>
      </c>
      <c r="C54" s="14" t="s">
        <v>85</v>
      </c>
      <c r="D54" s="14" t="s">
        <v>86</v>
      </c>
      <c r="E54" s="16" t="s">
        <v>87</v>
      </c>
      <c r="F54" s="14" t="s">
        <v>51</v>
      </c>
      <c r="G54" s="14" t="s">
        <v>88</v>
      </c>
      <c r="H54" s="17">
        <v>9510.0582876089993</v>
      </c>
      <c r="I54" s="14" t="s">
        <v>53</v>
      </c>
      <c r="J54" s="18">
        <v>35321</v>
      </c>
      <c r="K54" s="18">
        <v>23891</v>
      </c>
      <c r="L54" s="14" t="s">
        <v>89</v>
      </c>
      <c r="M54" s="14" t="s">
        <v>90</v>
      </c>
      <c r="N54" s="19">
        <v>100034</v>
      </c>
      <c r="O54" s="19" t="s">
        <v>91</v>
      </c>
      <c r="P54" s="20" t="s">
        <v>57</v>
      </c>
      <c r="Q54" s="14">
        <v>1</v>
      </c>
    </row>
    <row r="55" spans="1:17" ht="15" hidden="1" outlineLevel="2" x14ac:dyDescent="0.25">
      <c r="A55" s="15" t="s">
        <v>92</v>
      </c>
      <c r="B55" s="14" t="s">
        <v>93</v>
      </c>
      <c r="C55" s="14" t="s">
        <v>94</v>
      </c>
      <c r="D55" s="14" t="s">
        <v>95</v>
      </c>
      <c r="E55" s="16" t="s">
        <v>87</v>
      </c>
      <c r="F55" s="14" t="s">
        <v>51</v>
      </c>
      <c r="G55" s="14" t="s">
        <v>52</v>
      </c>
      <c r="H55" s="17">
        <v>7191.8240266017674</v>
      </c>
      <c r="I55" s="14" t="s">
        <v>53</v>
      </c>
      <c r="J55" s="18">
        <v>35321</v>
      </c>
      <c r="K55" s="18">
        <v>20104</v>
      </c>
      <c r="L55" s="14" t="s">
        <v>96</v>
      </c>
      <c r="M55" s="14" t="s">
        <v>55</v>
      </c>
      <c r="N55" s="19" t="s">
        <v>97</v>
      </c>
      <c r="O55" s="19" t="s">
        <v>98</v>
      </c>
      <c r="P55" s="20" t="s">
        <v>57</v>
      </c>
      <c r="Q55" s="14">
        <v>1</v>
      </c>
    </row>
    <row r="56" spans="1:17" ht="15" hidden="1" outlineLevel="2" x14ac:dyDescent="0.25">
      <c r="A56" s="15" t="s">
        <v>99</v>
      </c>
      <c r="B56" s="14" t="s">
        <v>100</v>
      </c>
      <c r="C56" s="14" t="s">
        <v>101</v>
      </c>
      <c r="D56" s="14" t="s">
        <v>102</v>
      </c>
      <c r="E56" s="16" t="s">
        <v>50</v>
      </c>
      <c r="F56" s="14" t="s">
        <v>103</v>
      </c>
      <c r="G56" s="14" t="s">
        <v>104</v>
      </c>
      <c r="H56" s="17">
        <v>6209.8910488522833</v>
      </c>
      <c r="I56" s="14" t="s">
        <v>53</v>
      </c>
      <c r="J56" s="18">
        <v>35208</v>
      </c>
      <c r="K56" s="18">
        <v>22949</v>
      </c>
      <c r="L56" s="14" t="s">
        <v>105</v>
      </c>
      <c r="M56" s="14" t="s">
        <v>55</v>
      </c>
      <c r="N56" s="19">
        <v>110002</v>
      </c>
      <c r="O56" s="19" t="s">
        <v>74</v>
      </c>
      <c r="P56" s="20" t="s">
        <v>106</v>
      </c>
      <c r="Q56" s="14">
        <v>2</v>
      </c>
    </row>
    <row r="57" spans="1:17" ht="15" hidden="1" outlineLevel="2" x14ac:dyDescent="0.25">
      <c r="A57" s="15" t="s">
        <v>166</v>
      </c>
      <c r="B57" s="14" t="s">
        <v>167</v>
      </c>
      <c r="C57" s="14" t="s">
        <v>168</v>
      </c>
      <c r="D57" s="14" t="s">
        <v>69</v>
      </c>
      <c r="E57" s="16" t="s">
        <v>50</v>
      </c>
      <c r="F57" s="14" t="s">
        <v>161</v>
      </c>
      <c r="G57" s="14" t="s">
        <v>169</v>
      </c>
      <c r="H57" s="17">
        <v>6801.3577514660437</v>
      </c>
      <c r="I57" s="14" t="s">
        <v>53</v>
      </c>
      <c r="J57" s="18">
        <v>35096</v>
      </c>
      <c r="K57" s="18">
        <v>26553</v>
      </c>
      <c r="L57" s="14" t="s">
        <v>170</v>
      </c>
      <c r="M57" s="14" t="s">
        <v>55</v>
      </c>
      <c r="N57" s="19">
        <v>110000</v>
      </c>
      <c r="O57" s="19" t="s">
        <v>74</v>
      </c>
      <c r="P57" s="20" t="s">
        <v>165</v>
      </c>
      <c r="Q57" s="14">
        <v>14</v>
      </c>
    </row>
    <row r="58" spans="1:17" ht="15" hidden="1" outlineLevel="2" x14ac:dyDescent="0.25">
      <c r="A58" s="15" t="s">
        <v>171</v>
      </c>
      <c r="B58" s="14" t="s">
        <v>172</v>
      </c>
      <c r="C58" s="14" t="s">
        <v>173</v>
      </c>
      <c r="D58" s="14" t="s">
        <v>174</v>
      </c>
      <c r="E58" s="16" t="s">
        <v>50</v>
      </c>
      <c r="F58" s="14" t="s">
        <v>161</v>
      </c>
      <c r="G58" s="14" t="s">
        <v>175</v>
      </c>
      <c r="H58" s="17">
        <v>12416.518764765749</v>
      </c>
      <c r="I58" s="14" t="s">
        <v>53</v>
      </c>
      <c r="J58" s="18">
        <v>35292</v>
      </c>
      <c r="K58" s="18">
        <v>25810</v>
      </c>
      <c r="L58" s="14" t="s">
        <v>176</v>
      </c>
      <c r="M58" s="14" t="s">
        <v>55</v>
      </c>
      <c r="N58" s="19">
        <v>115116</v>
      </c>
      <c r="O58" s="19" t="s">
        <v>177</v>
      </c>
      <c r="P58" s="20" t="s">
        <v>165</v>
      </c>
      <c r="Q58" s="14">
        <v>14</v>
      </c>
    </row>
    <row r="59" spans="1:17" ht="15" hidden="1" outlineLevel="2" x14ac:dyDescent="0.25">
      <c r="A59" s="15" t="s">
        <v>183</v>
      </c>
      <c r="B59" s="14" t="s">
        <v>184</v>
      </c>
      <c r="C59" s="14" t="s">
        <v>185</v>
      </c>
      <c r="D59" s="14" t="s">
        <v>186</v>
      </c>
      <c r="E59" s="16" t="s">
        <v>50</v>
      </c>
      <c r="F59" s="14" t="s">
        <v>161</v>
      </c>
      <c r="G59" s="14" t="s">
        <v>187</v>
      </c>
      <c r="H59" s="17">
        <v>9729.7852775936954</v>
      </c>
      <c r="I59" s="14" t="s">
        <v>53</v>
      </c>
      <c r="J59" s="18">
        <v>35208</v>
      </c>
      <c r="K59" s="18">
        <v>21989</v>
      </c>
      <c r="L59" s="14" t="s">
        <v>188</v>
      </c>
      <c r="M59" s="14" t="s">
        <v>55</v>
      </c>
      <c r="N59" s="19">
        <v>100012</v>
      </c>
      <c r="O59" s="19" t="s">
        <v>189</v>
      </c>
      <c r="P59" s="20" t="s">
        <v>165</v>
      </c>
      <c r="Q59" s="14">
        <v>14</v>
      </c>
    </row>
    <row r="60" spans="1:17" ht="15" hidden="1" outlineLevel="2" x14ac:dyDescent="0.25">
      <c r="A60" s="15" t="s">
        <v>196</v>
      </c>
      <c r="B60" s="14" t="s">
        <v>197</v>
      </c>
      <c r="C60" s="14" t="s">
        <v>132</v>
      </c>
      <c r="D60" s="14" t="s">
        <v>198</v>
      </c>
      <c r="E60" s="16" t="s">
        <v>50</v>
      </c>
      <c r="F60" s="14" t="s">
        <v>161</v>
      </c>
      <c r="G60" s="14" t="s">
        <v>199</v>
      </c>
      <c r="H60" s="17">
        <v>8592.4044860840258</v>
      </c>
      <c r="I60" s="14" t="s">
        <v>53</v>
      </c>
      <c r="J60" s="18">
        <v>35442</v>
      </c>
      <c r="K60" s="18">
        <v>24134</v>
      </c>
      <c r="L60" s="14" t="s">
        <v>200</v>
      </c>
      <c r="M60" s="14" t="s">
        <v>55</v>
      </c>
      <c r="N60" s="19">
        <v>120219</v>
      </c>
      <c r="O60" s="19" t="s">
        <v>201</v>
      </c>
      <c r="P60" s="20" t="s">
        <v>165</v>
      </c>
      <c r="Q60" s="14">
        <v>14</v>
      </c>
    </row>
    <row r="61" spans="1:17" ht="15" hidden="1" outlineLevel="2" x14ac:dyDescent="0.25">
      <c r="A61" s="15" t="s">
        <v>202</v>
      </c>
      <c r="B61" s="14" t="s">
        <v>203</v>
      </c>
      <c r="C61" s="14" t="s">
        <v>68</v>
      </c>
      <c r="D61" s="14" t="s">
        <v>78</v>
      </c>
      <c r="E61" s="16" t="s">
        <v>50</v>
      </c>
      <c r="F61" s="14" t="s">
        <v>161</v>
      </c>
      <c r="G61" s="14" t="s">
        <v>199</v>
      </c>
      <c r="H61" s="17">
        <v>6318.3004549578254</v>
      </c>
      <c r="I61" s="14" t="s">
        <v>53</v>
      </c>
      <c r="J61" s="18">
        <v>35096</v>
      </c>
      <c r="K61" s="18">
        <v>20433</v>
      </c>
      <c r="L61" s="14" t="s">
        <v>204</v>
      </c>
      <c r="M61" s="14" t="s">
        <v>55</v>
      </c>
      <c r="N61" s="19">
        <v>107114</v>
      </c>
      <c r="O61" s="19" t="s">
        <v>205</v>
      </c>
      <c r="P61" s="20" t="s">
        <v>165</v>
      </c>
      <c r="Q61" s="14">
        <v>14</v>
      </c>
    </row>
    <row r="62" spans="1:17" ht="15" hidden="1" outlineLevel="2" x14ac:dyDescent="0.25">
      <c r="A62" s="15" t="s">
        <v>206</v>
      </c>
      <c r="B62" s="14" t="s">
        <v>207</v>
      </c>
      <c r="C62" s="14" t="s">
        <v>208</v>
      </c>
      <c r="D62" s="14" t="s">
        <v>124</v>
      </c>
      <c r="E62" s="16" t="s">
        <v>50</v>
      </c>
      <c r="F62" s="14" t="s">
        <v>161</v>
      </c>
      <c r="G62" s="14" t="s">
        <v>209</v>
      </c>
      <c r="H62" s="17">
        <v>9118.718256106542</v>
      </c>
      <c r="I62" s="14" t="s">
        <v>53</v>
      </c>
      <c r="J62" s="18">
        <v>35332</v>
      </c>
      <c r="K62" s="18">
        <v>21194</v>
      </c>
      <c r="L62" s="14" t="s">
        <v>210</v>
      </c>
      <c r="M62" s="14" t="s">
        <v>55</v>
      </c>
      <c r="N62" s="19">
        <v>157800</v>
      </c>
      <c r="O62" s="19" t="s">
        <v>211</v>
      </c>
      <c r="P62" s="20" t="s">
        <v>165</v>
      </c>
      <c r="Q62" s="14">
        <v>14</v>
      </c>
    </row>
    <row r="63" spans="1:17" ht="15" hidden="1" outlineLevel="2" x14ac:dyDescent="0.25">
      <c r="A63" s="15" t="s">
        <v>243</v>
      </c>
      <c r="B63" s="14" t="s">
        <v>244</v>
      </c>
      <c r="C63" s="14" t="s">
        <v>108</v>
      </c>
      <c r="D63" s="14" t="s">
        <v>238</v>
      </c>
      <c r="E63" s="16" t="s">
        <v>87</v>
      </c>
      <c r="F63" s="14" t="s">
        <v>143</v>
      </c>
      <c r="G63" s="14" t="s">
        <v>245</v>
      </c>
      <c r="H63" s="17">
        <v>6741.1748858595456</v>
      </c>
      <c r="I63" s="14" t="s">
        <v>53</v>
      </c>
      <c r="J63" s="18">
        <v>34955</v>
      </c>
      <c r="K63" s="18">
        <v>23891</v>
      </c>
      <c r="L63" s="14" t="s">
        <v>246</v>
      </c>
      <c r="M63" s="14" t="s">
        <v>55</v>
      </c>
      <c r="N63" s="19">
        <v>125026</v>
      </c>
      <c r="O63" s="19" t="s">
        <v>247</v>
      </c>
      <c r="P63" s="20" t="s">
        <v>248</v>
      </c>
      <c r="Q63" s="14">
        <v>15</v>
      </c>
    </row>
    <row r="64" spans="1:17" ht="15" hidden="1" outlineLevel="2" x14ac:dyDescent="0.25">
      <c r="A64" s="15" t="s">
        <v>273</v>
      </c>
      <c r="B64" s="14" t="s">
        <v>274</v>
      </c>
      <c r="C64" s="14" t="s">
        <v>266</v>
      </c>
      <c r="D64" s="14" t="s">
        <v>95</v>
      </c>
      <c r="E64" s="16" t="s">
        <v>87</v>
      </c>
      <c r="F64" s="14" t="s">
        <v>268</v>
      </c>
      <c r="G64" s="14" t="s">
        <v>275</v>
      </c>
      <c r="H64" s="17">
        <v>10389.8779733723</v>
      </c>
      <c r="I64" s="14" t="s">
        <v>53</v>
      </c>
      <c r="J64" s="18">
        <v>35096</v>
      </c>
      <c r="K64" s="18">
        <v>25810</v>
      </c>
      <c r="L64" s="14" t="s">
        <v>276</v>
      </c>
      <c r="M64" s="14" t="s">
        <v>127</v>
      </c>
      <c r="N64" s="19" t="s">
        <v>277</v>
      </c>
      <c r="O64" s="19" t="s">
        <v>278</v>
      </c>
      <c r="P64" s="20" t="s">
        <v>279</v>
      </c>
      <c r="Q64" s="14">
        <v>18</v>
      </c>
    </row>
    <row r="65" spans="1:17" ht="15" hidden="1" outlineLevel="2" x14ac:dyDescent="0.25">
      <c r="A65" s="15" t="s">
        <v>314</v>
      </c>
      <c r="B65" s="14" t="s">
        <v>315</v>
      </c>
      <c r="C65" s="14" t="s">
        <v>316</v>
      </c>
      <c r="D65" s="14" t="s">
        <v>317</v>
      </c>
      <c r="E65" s="16" t="s">
        <v>50</v>
      </c>
      <c r="F65" s="14" t="s">
        <v>268</v>
      </c>
      <c r="G65" s="14" t="s">
        <v>104</v>
      </c>
      <c r="H65" s="17">
        <v>9406.7912250329755</v>
      </c>
      <c r="I65" s="14" t="s">
        <v>53</v>
      </c>
      <c r="J65" s="18">
        <v>35122</v>
      </c>
      <c r="K65" s="18">
        <v>22065</v>
      </c>
      <c r="L65" s="14" t="s">
        <v>318</v>
      </c>
      <c r="M65" s="14" t="s">
        <v>319</v>
      </c>
      <c r="N65" s="19" t="s">
        <v>320</v>
      </c>
      <c r="O65" s="19" t="s">
        <v>321</v>
      </c>
      <c r="P65" s="20" t="s">
        <v>322</v>
      </c>
      <c r="Q65" s="14">
        <v>20</v>
      </c>
    </row>
    <row r="66" spans="1:17" ht="15" hidden="1" outlineLevel="2" x14ac:dyDescent="0.25">
      <c r="A66" s="15" t="s">
        <v>426</v>
      </c>
      <c r="B66" s="14" t="s">
        <v>427</v>
      </c>
      <c r="C66" s="14" t="s">
        <v>428</v>
      </c>
      <c r="D66" s="14" t="s">
        <v>429</v>
      </c>
      <c r="E66" s="16" t="s">
        <v>50</v>
      </c>
      <c r="F66" s="14" t="s">
        <v>390</v>
      </c>
      <c r="G66" s="14" t="s">
        <v>169</v>
      </c>
      <c r="H66" s="17">
        <v>8334.4812476725183</v>
      </c>
      <c r="I66" s="14" t="s">
        <v>53</v>
      </c>
      <c r="J66" s="18">
        <v>35504</v>
      </c>
      <c r="K66" s="18">
        <v>26553</v>
      </c>
      <c r="L66" s="14" t="s">
        <v>430</v>
      </c>
      <c r="M66" s="14" t="s">
        <v>55</v>
      </c>
      <c r="N66" s="19">
        <v>123454</v>
      </c>
      <c r="O66" s="19" t="s">
        <v>74</v>
      </c>
      <c r="P66" s="20" t="s">
        <v>393</v>
      </c>
      <c r="Q66" s="14">
        <v>31</v>
      </c>
    </row>
    <row r="67" spans="1:17" ht="15" hidden="1" outlineLevel="2" x14ac:dyDescent="0.25">
      <c r="A67" s="15" t="s">
        <v>445</v>
      </c>
      <c r="B67" s="14" t="s">
        <v>446</v>
      </c>
      <c r="C67" s="14" t="s">
        <v>447</v>
      </c>
      <c r="D67" s="14" t="s">
        <v>282</v>
      </c>
      <c r="E67" s="16" t="s">
        <v>87</v>
      </c>
      <c r="F67" s="14" t="s">
        <v>376</v>
      </c>
      <c r="G67" s="14" t="s">
        <v>383</v>
      </c>
      <c r="H67" s="17">
        <v>7810.6406505531404</v>
      </c>
      <c r="I67" s="14" t="s">
        <v>53</v>
      </c>
      <c r="J67" s="18">
        <v>31108</v>
      </c>
      <c r="K67" s="18">
        <v>23891</v>
      </c>
      <c r="L67" s="14" t="s">
        <v>448</v>
      </c>
      <c r="M67" s="14" t="s">
        <v>55</v>
      </c>
      <c r="N67" s="19">
        <v>193007</v>
      </c>
      <c r="O67" s="19" t="s">
        <v>449</v>
      </c>
      <c r="P67" s="20" t="s">
        <v>393</v>
      </c>
      <c r="Q67" s="14">
        <v>31</v>
      </c>
    </row>
    <row r="68" spans="1:17" ht="15" hidden="1" outlineLevel="2" x14ac:dyDescent="0.25">
      <c r="A68" s="15" t="s">
        <v>450</v>
      </c>
      <c r="B68" s="14" t="s">
        <v>451</v>
      </c>
      <c r="C68" s="14" t="s">
        <v>141</v>
      </c>
      <c r="D68" s="14" t="s">
        <v>452</v>
      </c>
      <c r="E68" s="16" t="s">
        <v>87</v>
      </c>
      <c r="F68" s="14" t="s">
        <v>376</v>
      </c>
      <c r="G68" s="14" t="s">
        <v>383</v>
      </c>
      <c r="H68" s="17">
        <v>8520.7696909160004</v>
      </c>
      <c r="I68" s="14" t="s">
        <v>53</v>
      </c>
      <c r="J68" s="18">
        <v>32023</v>
      </c>
      <c r="K68" s="18">
        <v>22893</v>
      </c>
      <c r="L68" s="14" t="s">
        <v>453</v>
      </c>
      <c r="M68" s="14" t="s">
        <v>55</v>
      </c>
      <c r="N68" s="19" t="s">
        <v>454</v>
      </c>
      <c r="O68" s="19" t="s">
        <v>455</v>
      </c>
      <c r="P68" s="20" t="s">
        <v>393</v>
      </c>
      <c r="Q68" s="14">
        <v>31</v>
      </c>
    </row>
    <row r="69" spans="1:17" ht="15" outlineLevel="1" collapsed="1" x14ac:dyDescent="0.25">
      <c r="A69" s="15"/>
      <c r="H69" s="17">
        <f>SUBTOTAL(1,H52:H68)</f>
        <v>8325.209927063097</v>
      </c>
      <c r="I69" s="28" t="s">
        <v>607</v>
      </c>
      <c r="J69" s="18"/>
      <c r="K69" s="18"/>
      <c r="N69" s="19"/>
      <c r="O69" s="19"/>
      <c r="P69" s="20"/>
    </row>
    <row r="70" spans="1:17" ht="15" x14ac:dyDescent="0.25">
      <c r="A70" s="15"/>
      <c r="H70" s="17">
        <f>SUBTOTAL(1,H2:H68)</f>
        <v>9849.1785872773944</v>
      </c>
      <c r="I70" s="28" t="s">
        <v>594</v>
      </c>
      <c r="J70" s="18"/>
      <c r="K70" s="18"/>
      <c r="N70" s="19"/>
      <c r="O70" s="19"/>
      <c r="P70" s="20"/>
    </row>
  </sheetData>
  <sortState ref="A2:Q68">
    <sortCondition ref="I2:I6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5"/>
  <sheetViews>
    <sheetView topLeftCell="C1" workbookViewId="0">
      <selection activeCell="J1" sqref="J1"/>
    </sheetView>
  </sheetViews>
  <sheetFormatPr defaultRowHeight="15" outlineLevelRow="2" x14ac:dyDescent="0.25"/>
  <cols>
    <col min="1" max="1" width="17" bestFit="1" customWidth="1"/>
    <col min="2" max="2" width="19.7109375" bestFit="1" customWidth="1"/>
    <col min="3" max="3" width="15.42578125" style="24" bestFit="1" customWidth="1"/>
    <col min="4" max="4" width="15.42578125" bestFit="1" customWidth="1"/>
    <col min="5" max="5" width="13.5703125" bestFit="1" customWidth="1"/>
    <col min="6" max="6" width="13.5703125" customWidth="1"/>
    <col min="7" max="8" width="15.28515625" customWidth="1"/>
    <col min="9" max="9" width="16.42578125" bestFit="1" customWidth="1"/>
    <col min="10" max="10" width="10.42578125" bestFit="1" customWidth="1"/>
  </cols>
  <sheetData>
    <row r="1" spans="1:10" ht="45" x14ac:dyDescent="0.25">
      <c r="A1" s="25" t="s">
        <v>573</v>
      </c>
      <c r="B1" s="25" t="s">
        <v>572</v>
      </c>
      <c r="C1" s="25" t="s">
        <v>571</v>
      </c>
      <c r="D1" s="25" t="s">
        <v>31</v>
      </c>
      <c r="E1" s="25" t="s">
        <v>32</v>
      </c>
      <c r="F1" s="25" t="s">
        <v>34</v>
      </c>
      <c r="G1" s="26" t="s">
        <v>570</v>
      </c>
      <c r="H1" s="26" t="s">
        <v>569</v>
      </c>
      <c r="I1" s="25" t="s">
        <v>568</v>
      </c>
      <c r="J1" s="25" t="s">
        <v>574</v>
      </c>
    </row>
    <row r="2" spans="1:10" hidden="1" outlineLevel="2" x14ac:dyDescent="0.25">
      <c r="A2" s="23">
        <v>43397.34375</v>
      </c>
      <c r="B2" s="22">
        <v>9.2476851851851852E-3</v>
      </c>
      <c r="C2" s="24" t="s">
        <v>543</v>
      </c>
      <c r="D2" t="s">
        <v>554</v>
      </c>
      <c r="E2" t="s">
        <v>478</v>
      </c>
      <c r="F2" t="s">
        <v>50</v>
      </c>
      <c r="G2">
        <v>21</v>
      </c>
      <c r="H2">
        <v>70</v>
      </c>
      <c r="I2">
        <v>2</v>
      </c>
      <c r="J2" t="s">
        <v>576</v>
      </c>
    </row>
    <row r="3" spans="1:10" hidden="1" outlineLevel="2" x14ac:dyDescent="0.25">
      <c r="A3" s="23">
        <v>43390.586111111108</v>
      </c>
      <c r="B3" s="22">
        <v>7.858796296296296E-3</v>
      </c>
      <c r="C3" s="24" t="s">
        <v>543</v>
      </c>
      <c r="D3" t="s">
        <v>528</v>
      </c>
      <c r="E3" t="s">
        <v>529</v>
      </c>
      <c r="F3" t="s">
        <v>50</v>
      </c>
      <c r="G3">
        <v>19</v>
      </c>
      <c r="H3">
        <v>63.33</v>
      </c>
      <c r="I3">
        <v>1</v>
      </c>
      <c r="J3" t="s">
        <v>576</v>
      </c>
    </row>
    <row r="4" spans="1:10" hidden="1" outlineLevel="2" x14ac:dyDescent="0.25">
      <c r="A4" s="23">
        <v>43397.347222222219</v>
      </c>
      <c r="B4" s="22">
        <v>8.1018518518518514E-3</v>
      </c>
      <c r="C4" s="24" t="s">
        <v>543</v>
      </c>
      <c r="D4" t="s">
        <v>551</v>
      </c>
      <c r="E4" t="s">
        <v>168</v>
      </c>
      <c r="F4" t="s">
        <v>50</v>
      </c>
      <c r="G4">
        <v>21</v>
      </c>
      <c r="H4">
        <v>70</v>
      </c>
      <c r="I4">
        <v>2</v>
      </c>
      <c r="J4" t="s">
        <v>576</v>
      </c>
    </row>
    <row r="5" spans="1:10" hidden="1" outlineLevel="2" x14ac:dyDescent="0.25">
      <c r="A5" s="23">
        <v>43390.570833333331</v>
      </c>
      <c r="B5" s="22">
        <v>9.7106481481481471E-3</v>
      </c>
      <c r="C5" s="24" t="s">
        <v>543</v>
      </c>
      <c r="D5" t="s">
        <v>549</v>
      </c>
      <c r="E5" t="s">
        <v>507</v>
      </c>
      <c r="F5" t="s">
        <v>50</v>
      </c>
      <c r="G5">
        <v>22</v>
      </c>
      <c r="H5">
        <v>73.33</v>
      </c>
      <c r="I5">
        <v>2</v>
      </c>
      <c r="J5" t="s">
        <v>576</v>
      </c>
    </row>
    <row r="6" spans="1:10" hidden="1" outlineLevel="2" x14ac:dyDescent="0.25">
      <c r="A6" s="23">
        <v>43397.340277777781</v>
      </c>
      <c r="B6" s="22">
        <v>9.4675925925925917E-3</v>
      </c>
      <c r="C6" s="24" t="s">
        <v>543</v>
      </c>
      <c r="D6" t="s">
        <v>546</v>
      </c>
      <c r="E6" t="s">
        <v>472</v>
      </c>
      <c r="F6" t="s">
        <v>50</v>
      </c>
      <c r="G6">
        <v>19</v>
      </c>
      <c r="H6">
        <v>63.33</v>
      </c>
      <c r="I6">
        <v>1</v>
      </c>
      <c r="J6" t="s">
        <v>576</v>
      </c>
    </row>
    <row r="7" spans="1:10" hidden="1" outlineLevel="2" x14ac:dyDescent="0.25">
      <c r="A7" s="23">
        <v>43390.564583333333</v>
      </c>
      <c r="B7" s="22">
        <v>8.9699074074074073E-3</v>
      </c>
      <c r="C7" s="24" t="s">
        <v>543</v>
      </c>
      <c r="D7" t="s">
        <v>525</v>
      </c>
      <c r="E7" t="s">
        <v>443</v>
      </c>
      <c r="F7" t="s">
        <v>50</v>
      </c>
      <c r="G7">
        <v>26</v>
      </c>
      <c r="H7">
        <v>86.67</v>
      </c>
      <c r="I7">
        <v>3</v>
      </c>
      <c r="J7" t="s">
        <v>576</v>
      </c>
    </row>
    <row r="8" spans="1:10" hidden="1" outlineLevel="2" x14ac:dyDescent="0.25">
      <c r="A8" s="23">
        <v>43397.347222222219</v>
      </c>
      <c r="B8" s="22">
        <v>1.0393518518518519E-2</v>
      </c>
      <c r="C8" s="24" t="s">
        <v>543</v>
      </c>
      <c r="D8" t="s">
        <v>542</v>
      </c>
      <c r="E8" t="s">
        <v>443</v>
      </c>
      <c r="F8" t="s">
        <v>50</v>
      </c>
      <c r="G8">
        <v>20</v>
      </c>
      <c r="H8">
        <v>66.67</v>
      </c>
      <c r="I8">
        <v>1</v>
      </c>
      <c r="J8" t="s">
        <v>576</v>
      </c>
    </row>
    <row r="9" spans="1:10" hidden="1" outlineLevel="2" x14ac:dyDescent="0.25">
      <c r="A9" s="23">
        <v>43397.339583333334</v>
      </c>
      <c r="B9" s="22">
        <v>1.0324074074074074E-2</v>
      </c>
      <c r="C9" s="24" t="s">
        <v>543</v>
      </c>
      <c r="D9" t="s">
        <v>563</v>
      </c>
      <c r="E9" t="s">
        <v>562</v>
      </c>
      <c r="F9" t="s">
        <v>87</v>
      </c>
      <c r="G9">
        <v>18</v>
      </c>
      <c r="H9">
        <v>60</v>
      </c>
      <c r="I9">
        <v>1</v>
      </c>
      <c r="J9" t="s">
        <v>576</v>
      </c>
    </row>
    <row r="10" spans="1:10" hidden="1" outlineLevel="2" x14ac:dyDescent="0.25">
      <c r="A10" s="23">
        <v>43390.536111111112</v>
      </c>
      <c r="B10" s="22">
        <v>7.789351851851852E-3</v>
      </c>
      <c r="C10" s="24" t="s">
        <v>543</v>
      </c>
      <c r="D10" t="s">
        <v>561</v>
      </c>
      <c r="E10" t="s">
        <v>560</v>
      </c>
      <c r="F10" t="s">
        <v>87</v>
      </c>
      <c r="G10">
        <v>24</v>
      </c>
      <c r="H10">
        <v>80</v>
      </c>
      <c r="I10">
        <v>3</v>
      </c>
      <c r="J10" t="s">
        <v>576</v>
      </c>
    </row>
    <row r="11" spans="1:10" hidden="1" outlineLevel="2" x14ac:dyDescent="0.25">
      <c r="A11" s="23">
        <v>43390.583333333336</v>
      </c>
      <c r="B11" s="22">
        <v>1.0231481481481482E-2</v>
      </c>
      <c r="C11" s="24" t="s">
        <v>543</v>
      </c>
      <c r="D11" t="s">
        <v>558</v>
      </c>
      <c r="E11" t="s">
        <v>557</v>
      </c>
      <c r="F11" t="s">
        <v>87</v>
      </c>
      <c r="G11">
        <v>21</v>
      </c>
      <c r="H11">
        <v>70</v>
      </c>
      <c r="I11">
        <v>2</v>
      </c>
      <c r="J11" t="s">
        <v>576</v>
      </c>
    </row>
    <row r="12" spans="1:10" hidden="1" outlineLevel="2" x14ac:dyDescent="0.25">
      <c r="A12" s="23">
        <v>43397.345833333333</v>
      </c>
      <c r="B12" s="22">
        <v>8.564814814814815E-3</v>
      </c>
      <c r="C12" s="24" t="s">
        <v>543</v>
      </c>
      <c r="D12" t="s">
        <v>553</v>
      </c>
      <c r="E12" t="s">
        <v>552</v>
      </c>
      <c r="F12" t="s">
        <v>87</v>
      </c>
      <c r="G12">
        <v>21</v>
      </c>
      <c r="H12">
        <v>70</v>
      </c>
      <c r="I12">
        <v>2</v>
      </c>
      <c r="J12" t="s">
        <v>576</v>
      </c>
    </row>
    <row r="13" spans="1:10" hidden="1" outlineLevel="2" x14ac:dyDescent="0.25">
      <c r="A13" s="23">
        <v>43392.255555555559</v>
      </c>
      <c r="B13" s="22">
        <v>8.5995370370370357E-3</v>
      </c>
      <c r="C13" s="24" t="s">
        <v>517</v>
      </c>
      <c r="D13" t="s">
        <v>539</v>
      </c>
      <c r="E13" t="s">
        <v>472</v>
      </c>
      <c r="F13" t="s">
        <v>50</v>
      </c>
      <c r="G13">
        <v>19</v>
      </c>
      <c r="H13">
        <v>63.33</v>
      </c>
      <c r="I13">
        <v>1</v>
      </c>
      <c r="J13" t="s">
        <v>576</v>
      </c>
    </row>
    <row r="14" spans="1:10" hidden="1" outlineLevel="2" x14ac:dyDescent="0.25">
      <c r="A14" s="23">
        <v>43397.496527777781</v>
      </c>
      <c r="B14" s="22">
        <v>9.6412037037037039E-3</v>
      </c>
      <c r="C14" s="24" t="s">
        <v>517</v>
      </c>
      <c r="D14" t="s">
        <v>538</v>
      </c>
      <c r="E14" t="s">
        <v>132</v>
      </c>
      <c r="F14" t="s">
        <v>50</v>
      </c>
      <c r="G14">
        <v>20</v>
      </c>
      <c r="H14">
        <v>66.67</v>
      </c>
      <c r="I14">
        <v>1</v>
      </c>
      <c r="J14" t="s">
        <v>576</v>
      </c>
    </row>
    <row r="15" spans="1:10" hidden="1" outlineLevel="2" x14ac:dyDescent="0.25">
      <c r="A15" s="23">
        <v>43397.505555555559</v>
      </c>
      <c r="B15" s="22">
        <v>5.4976851851851853E-3</v>
      </c>
      <c r="C15" s="24" t="s">
        <v>517</v>
      </c>
      <c r="D15" t="s">
        <v>537</v>
      </c>
      <c r="E15" t="s">
        <v>443</v>
      </c>
      <c r="F15" t="s">
        <v>50</v>
      </c>
      <c r="G15">
        <v>25</v>
      </c>
      <c r="H15">
        <v>83.33</v>
      </c>
      <c r="I15">
        <v>3</v>
      </c>
      <c r="J15" t="s">
        <v>576</v>
      </c>
    </row>
    <row r="16" spans="1:10" hidden="1" outlineLevel="2" x14ac:dyDescent="0.25">
      <c r="A16" s="23">
        <v>43392.265277777777</v>
      </c>
      <c r="B16" s="22">
        <v>9.3518518518518525E-3</v>
      </c>
      <c r="C16" s="24" t="s">
        <v>517</v>
      </c>
      <c r="D16" t="s">
        <v>536</v>
      </c>
      <c r="E16" t="s">
        <v>524</v>
      </c>
      <c r="F16" t="s">
        <v>50</v>
      </c>
      <c r="G16">
        <v>22</v>
      </c>
      <c r="H16">
        <v>73.33</v>
      </c>
      <c r="I16">
        <v>2</v>
      </c>
      <c r="J16" t="s">
        <v>576</v>
      </c>
    </row>
    <row r="17" spans="1:10" hidden="1" outlineLevel="2" x14ac:dyDescent="0.25">
      <c r="A17" s="23">
        <v>43392.253472222219</v>
      </c>
      <c r="B17" s="22">
        <v>7.69675925925926E-3</v>
      </c>
      <c r="C17" s="24" t="s">
        <v>517</v>
      </c>
      <c r="D17" t="s">
        <v>534</v>
      </c>
      <c r="E17" t="s">
        <v>532</v>
      </c>
      <c r="F17" t="s">
        <v>50</v>
      </c>
      <c r="G17">
        <v>19</v>
      </c>
      <c r="H17">
        <v>63.33</v>
      </c>
      <c r="I17">
        <v>1</v>
      </c>
      <c r="J17" t="s">
        <v>576</v>
      </c>
    </row>
    <row r="18" spans="1:10" hidden="1" outlineLevel="2" x14ac:dyDescent="0.25">
      <c r="A18" s="23">
        <v>43392.277083333334</v>
      </c>
      <c r="B18" s="22">
        <v>6.6203703703703702E-3</v>
      </c>
      <c r="C18" s="24" t="s">
        <v>517</v>
      </c>
      <c r="D18" t="s">
        <v>533</v>
      </c>
      <c r="E18" t="s">
        <v>532</v>
      </c>
      <c r="F18" t="s">
        <v>50</v>
      </c>
      <c r="G18">
        <v>21</v>
      </c>
      <c r="H18">
        <v>70</v>
      </c>
      <c r="I18">
        <v>2</v>
      </c>
      <c r="J18" t="s">
        <v>576</v>
      </c>
    </row>
    <row r="19" spans="1:10" hidden="1" outlineLevel="2" x14ac:dyDescent="0.25">
      <c r="A19" s="23">
        <v>43397.495138888888</v>
      </c>
      <c r="B19" s="22">
        <v>8.8310185185185176E-3</v>
      </c>
      <c r="C19" s="24" t="s">
        <v>517</v>
      </c>
      <c r="D19" t="s">
        <v>531</v>
      </c>
      <c r="E19" t="s">
        <v>168</v>
      </c>
      <c r="F19" t="s">
        <v>50</v>
      </c>
      <c r="G19">
        <v>24</v>
      </c>
      <c r="H19">
        <v>80</v>
      </c>
      <c r="I19">
        <v>3</v>
      </c>
      <c r="J19" t="s">
        <v>576</v>
      </c>
    </row>
    <row r="20" spans="1:10" hidden="1" outlineLevel="2" x14ac:dyDescent="0.25">
      <c r="A20" s="23">
        <v>43392.261111111111</v>
      </c>
      <c r="B20" s="22">
        <v>8.2638888888888883E-3</v>
      </c>
      <c r="C20" s="24" t="s">
        <v>517</v>
      </c>
      <c r="D20" t="s">
        <v>530</v>
      </c>
      <c r="E20" t="s">
        <v>529</v>
      </c>
      <c r="F20" t="s">
        <v>50</v>
      </c>
      <c r="G20">
        <v>21</v>
      </c>
      <c r="H20">
        <v>70</v>
      </c>
      <c r="I20">
        <v>2</v>
      </c>
      <c r="J20" t="s">
        <v>576</v>
      </c>
    </row>
    <row r="21" spans="1:10" hidden="1" outlineLevel="2" x14ac:dyDescent="0.25">
      <c r="A21" s="23">
        <v>43392.25277777778</v>
      </c>
      <c r="B21" s="22">
        <v>7.0601851851851841E-3</v>
      </c>
      <c r="C21" s="24" t="s">
        <v>517</v>
      </c>
      <c r="D21" t="s">
        <v>527</v>
      </c>
      <c r="E21" t="s">
        <v>287</v>
      </c>
      <c r="F21" t="s">
        <v>50</v>
      </c>
      <c r="G21">
        <v>24</v>
      </c>
      <c r="H21">
        <v>80</v>
      </c>
      <c r="I21">
        <v>3</v>
      </c>
      <c r="J21" t="s">
        <v>576</v>
      </c>
    </row>
    <row r="22" spans="1:10" hidden="1" outlineLevel="2" x14ac:dyDescent="0.25">
      <c r="A22" s="23">
        <v>43397.495138888888</v>
      </c>
      <c r="B22" s="22">
        <v>9.4444444444444445E-3</v>
      </c>
      <c r="C22" s="24" t="s">
        <v>517</v>
      </c>
      <c r="D22" t="s">
        <v>526</v>
      </c>
      <c r="E22" t="s">
        <v>316</v>
      </c>
      <c r="F22" t="s">
        <v>50</v>
      </c>
      <c r="G22">
        <v>24</v>
      </c>
      <c r="H22">
        <v>80</v>
      </c>
      <c r="I22">
        <v>3</v>
      </c>
      <c r="J22" t="s">
        <v>576</v>
      </c>
    </row>
    <row r="23" spans="1:10" hidden="1" outlineLevel="2" x14ac:dyDescent="0.25">
      <c r="A23" s="23">
        <v>43397.493055555555</v>
      </c>
      <c r="B23" s="22">
        <v>8.1828703703703699E-3</v>
      </c>
      <c r="C23" s="24" t="s">
        <v>517</v>
      </c>
      <c r="D23" t="s">
        <v>525</v>
      </c>
      <c r="E23" t="s">
        <v>524</v>
      </c>
      <c r="F23" t="s">
        <v>50</v>
      </c>
      <c r="G23">
        <v>26</v>
      </c>
      <c r="H23">
        <v>86.67</v>
      </c>
      <c r="I23">
        <v>3</v>
      </c>
      <c r="J23" t="s">
        <v>576</v>
      </c>
    </row>
    <row r="24" spans="1:10" hidden="1" outlineLevel="2" x14ac:dyDescent="0.25">
      <c r="A24" s="23">
        <v>43392.263888888891</v>
      </c>
      <c r="B24" s="22">
        <v>6.6782407407407415E-3</v>
      </c>
      <c r="C24" s="24" t="s">
        <v>517</v>
      </c>
      <c r="D24" t="s">
        <v>521</v>
      </c>
      <c r="E24" t="s">
        <v>60</v>
      </c>
      <c r="F24" t="s">
        <v>50</v>
      </c>
      <c r="G24">
        <v>27</v>
      </c>
      <c r="H24">
        <v>90</v>
      </c>
      <c r="I24">
        <v>3</v>
      </c>
      <c r="J24" t="s">
        <v>576</v>
      </c>
    </row>
    <row r="25" spans="1:10" hidden="1" outlineLevel="2" x14ac:dyDescent="0.25">
      <c r="A25" s="23">
        <v>43397.498611111114</v>
      </c>
      <c r="B25" s="22">
        <v>9.4444444444444445E-3</v>
      </c>
      <c r="C25" s="24" t="s">
        <v>517</v>
      </c>
      <c r="D25" t="s">
        <v>520</v>
      </c>
      <c r="E25" t="s">
        <v>491</v>
      </c>
      <c r="F25" t="s">
        <v>50</v>
      </c>
      <c r="G25">
        <v>21</v>
      </c>
      <c r="H25">
        <v>70</v>
      </c>
      <c r="I25">
        <v>2</v>
      </c>
      <c r="J25" t="s">
        <v>576</v>
      </c>
    </row>
    <row r="26" spans="1:10" hidden="1" outlineLevel="2" x14ac:dyDescent="0.25">
      <c r="A26" s="23">
        <v>43397.496527777781</v>
      </c>
      <c r="B26" s="22">
        <v>9.618055555555555E-3</v>
      </c>
      <c r="C26" s="24" t="s">
        <v>517</v>
      </c>
      <c r="D26" t="s">
        <v>519</v>
      </c>
      <c r="E26" t="s">
        <v>482</v>
      </c>
      <c r="F26" t="s">
        <v>50</v>
      </c>
      <c r="G26">
        <v>22</v>
      </c>
      <c r="H26">
        <v>73.33</v>
      </c>
      <c r="I26">
        <v>2</v>
      </c>
      <c r="J26" t="s">
        <v>576</v>
      </c>
    </row>
    <row r="27" spans="1:10" hidden="1" outlineLevel="2" x14ac:dyDescent="0.25">
      <c r="A27" s="23">
        <v>43397.493750000001</v>
      </c>
      <c r="B27" s="22">
        <v>9.1550925925925931E-3</v>
      </c>
      <c r="C27" s="24" t="s">
        <v>517</v>
      </c>
      <c r="D27" t="s">
        <v>475</v>
      </c>
      <c r="E27" t="s">
        <v>518</v>
      </c>
      <c r="F27" t="s">
        <v>50</v>
      </c>
      <c r="G27">
        <v>23</v>
      </c>
      <c r="H27">
        <v>76.67</v>
      </c>
      <c r="I27">
        <v>2</v>
      </c>
      <c r="J27" t="s">
        <v>576</v>
      </c>
    </row>
    <row r="28" spans="1:10" hidden="1" outlineLevel="2" x14ac:dyDescent="0.25">
      <c r="A28" s="23">
        <v>43397.505555555559</v>
      </c>
      <c r="B28" s="22">
        <v>8.8657407407407417E-3</v>
      </c>
      <c r="C28" s="24" t="s">
        <v>517</v>
      </c>
      <c r="D28" t="s">
        <v>516</v>
      </c>
      <c r="E28" t="s">
        <v>299</v>
      </c>
      <c r="F28" t="s">
        <v>50</v>
      </c>
      <c r="G28">
        <v>27</v>
      </c>
      <c r="H28">
        <v>90</v>
      </c>
      <c r="I28">
        <v>3</v>
      </c>
      <c r="J28" t="s">
        <v>576</v>
      </c>
    </row>
    <row r="29" spans="1:10" hidden="1" outlineLevel="2" x14ac:dyDescent="0.25">
      <c r="A29" s="23">
        <v>43392.254861111112</v>
      </c>
      <c r="B29" s="22">
        <v>8.1249999999999985E-3</v>
      </c>
      <c r="C29" s="24" t="s">
        <v>517</v>
      </c>
      <c r="D29" t="s">
        <v>541</v>
      </c>
      <c r="E29" t="s">
        <v>540</v>
      </c>
      <c r="F29" t="s">
        <v>87</v>
      </c>
      <c r="G29">
        <v>21</v>
      </c>
      <c r="H29">
        <v>70</v>
      </c>
      <c r="I29">
        <v>2</v>
      </c>
      <c r="J29" t="s">
        <v>576</v>
      </c>
    </row>
    <row r="30" spans="1:10" hidden="1" outlineLevel="2" x14ac:dyDescent="0.25">
      <c r="A30" s="23">
        <v>43391.338194444441</v>
      </c>
      <c r="B30" s="22">
        <v>7.8125E-3</v>
      </c>
      <c r="C30" s="24" t="s">
        <v>493</v>
      </c>
      <c r="D30" t="s">
        <v>515</v>
      </c>
      <c r="E30" t="s">
        <v>482</v>
      </c>
      <c r="F30" t="s">
        <v>50</v>
      </c>
      <c r="G30">
        <v>22</v>
      </c>
      <c r="H30">
        <v>73.33</v>
      </c>
      <c r="I30">
        <v>2</v>
      </c>
      <c r="J30" t="s">
        <v>576</v>
      </c>
    </row>
    <row r="31" spans="1:10" hidden="1" outlineLevel="2" x14ac:dyDescent="0.25">
      <c r="A31" s="23">
        <v>43398.331944444442</v>
      </c>
      <c r="B31" s="22">
        <v>8.4722222222222213E-3</v>
      </c>
      <c r="C31" s="24" t="s">
        <v>493</v>
      </c>
      <c r="D31" t="s">
        <v>514</v>
      </c>
      <c r="E31" t="s">
        <v>496</v>
      </c>
      <c r="F31" t="s">
        <v>50</v>
      </c>
      <c r="G31">
        <v>24</v>
      </c>
      <c r="H31">
        <v>80</v>
      </c>
      <c r="I31">
        <v>3</v>
      </c>
      <c r="J31" t="s">
        <v>576</v>
      </c>
    </row>
    <row r="32" spans="1:10" hidden="1" outlineLevel="2" x14ac:dyDescent="0.25">
      <c r="A32" s="23">
        <v>43391.363194444442</v>
      </c>
      <c r="B32" s="22">
        <v>9.3287037037037036E-3</v>
      </c>
      <c r="C32" s="24" t="s">
        <v>493</v>
      </c>
      <c r="D32" t="s">
        <v>513</v>
      </c>
      <c r="E32" t="s">
        <v>101</v>
      </c>
      <c r="F32" t="s">
        <v>50</v>
      </c>
      <c r="G32">
        <v>20</v>
      </c>
      <c r="H32">
        <v>66.67</v>
      </c>
      <c r="I32">
        <v>1</v>
      </c>
      <c r="J32" t="s">
        <v>576</v>
      </c>
    </row>
    <row r="33" spans="1:10" hidden="1" outlineLevel="2" x14ac:dyDescent="0.25">
      <c r="A33" s="23">
        <v>43398.340277777781</v>
      </c>
      <c r="B33" s="22">
        <v>8.2291666666666659E-3</v>
      </c>
      <c r="C33" s="24" t="s">
        <v>493</v>
      </c>
      <c r="D33" t="s">
        <v>508</v>
      </c>
      <c r="E33" t="s">
        <v>507</v>
      </c>
      <c r="F33" t="s">
        <v>50</v>
      </c>
      <c r="G33">
        <v>22</v>
      </c>
      <c r="H33">
        <v>73.33</v>
      </c>
      <c r="I33">
        <v>2</v>
      </c>
      <c r="J33" t="s">
        <v>576</v>
      </c>
    </row>
    <row r="34" spans="1:10" hidden="1" outlineLevel="2" x14ac:dyDescent="0.25">
      <c r="A34" s="23">
        <v>43398.345138888886</v>
      </c>
      <c r="B34" s="22">
        <v>9.0624999999999994E-3</v>
      </c>
      <c r="C34" s="24" t="s">
        <v>493</v>
      </c>
      <c r="D34" t="s">
        <v>506</v>
      </c>
      <c r="E34" t="s">
        <v>185</v>
      </c>
      <c r="F34" t="s">
        <v>50</v>
      </c>
      <c r="G34">
        <v>19</v>
      </c>
      <c r="H34">
        <v>63.33</v>
      </c>
      <c r="I34">
        <v>1</v>
      </c>
      <c r="J34" t="s">
        <v>576</v>
      </c>
    </row>
    <row r="35" spans="1:10" hidden="1" outlineLevel="2" x14ac:dyDescent="0.25">
      <c r="A35" s="23">
        <v>43391.34375</v>
      </c>
      <c r="B35" s="22">
        <v>8.9583333333333338E-3</v>
      </c>
      <c r="C35" s="24" t="s">
        <v>493</v>
      </c>
      <c r="D35" t="s">
        <v>504</v>
      </c>
      <c r="E35" t="s">
        <v>472</v>
      </c>
      <c r="F35" t="s">
        <v>50</v>
      </c>
      <c r="G35">
        <v>26</v>
      </c>
      <c r="H35">
        <v>86.67</v>
      </c>
      <c r="I35">
        <v>3</v>
      </c>
      <c r="J35" t="s">
        <v>576</v>
      </c>
    </row>
    <row r="36" spans="1:10" hidden="1" outlineLevel="2" x14ac:dyDescent="0.25">
      <c r="A36" s="23">
        <v>43398.336805555555</v>
      </c>
      <c r="B36" s="22">
        <v>1.0405092592592593E-2</v>
      </c>
      <c r="C36" s="24" t="s">
        <v>493</v>
      </c>
      <c r="D36" t="s">
        <v>503</v>
      </c>
      <c r="E36" t="s">
        <v>443</v>
      </c>
      <c r="F36" t="s">
        <v>50</v>
      </c>
      <c r="G36">
        <v>25</v>
      </c>
      <c r="H36">
        <v>83.33</v>
      </c>
      <c r="I36">
        <v>3</v>
      </c>
      <c r="J36" t="s">
        <v>576</v>
      </c>
    </row>
    <row r="37" spans="1:10" hidden="1" outlineLevel="2" x14ac:dyDescent="0.25">
      <c r="A37" s="23">
        <v>43391.35</v>
      </c>
      <c r="B37" s="22">
        <v>9.432870370370371E-3</v>
      </c>
      <c r="C37" s="24" t="s">
        <v>493</v>
      </c>
      <c r="D37" t="s">
        <v>502</v>
      </c>
      <c r="E37" t="s">
        <v>443</v>
      </c>
      <c r="F37" t="s">
        <v>50</v>
      </c>
      <c r="G37">
        <v>21</v>
      </c>
      <c r="H37">
        <v>70</v>
      </c>
      <c r="I37">
        <v>2</v>
      </c>
      <c r="J37" t="s">
        <v>576</v>
      </c>
    </row>
    <row r="38" spans="1:10" hidden="1" outlineLevel="2" x14ac:dyDescent="0.25">
      <c r="A38" s="23">
        <v>43398.340277777781</v>
      </c>
      <c r="B38" s="22">
        <v>8.8657407407407417E-3</v>
      </c>
      <c r="C38" s="24" t="s">
        <v>493</v>
      </c>
      <c r="D38" t="s">
        <v>499</v>
      </c>
      <c r="E38" t="s">
        <v>472</v>
      </c>
      <c r="F38" t="s">
        <v>50</v>
      </c>
      <c r="G38">
        <v>22</v>
      </c>
      <c r="H38">
        <v>73.33</v>
      </c>
      <c r="I38">
        <v>2</v>
      </c>
      <c r="J38" t="s">
        <v>576</v>
      </c>
    </row>
    <row r="39" spans="1:10" hidden="1" outlineLevel="2" x14ac:dyDescent="0.25">
      <c r="A39" s="23">
        <v>43398.336805555555</v>
      </c>
      <c r="B39" s="22">
        <v>9.7453703703703713E-3</v>
      </c>
      <c r="C39" s="24" t="s">
        <v>493</v>
      </c>
      <c r="D39" t="s">
        <v>498</v>
      </c>
      <c r="E39" t="s">
        <v>416</v>
      </c>
      <c r="F39" t="s">
        <v>50</v>
      </c>
      <c r="G39">
        <v>22</v>
      </c>
      <c r="H39">
        <v>73.33</v>
      </c>
      <c r="I39">
        <v>2</v>
      </c>
      <c r="J39" t="s">
        <v>576</v>
      </c>
    </row>
    <row r="40" spans="1:10" hidden="1" outlineLevel="2" x14ac:dyDescent="0.25">
      <c r="A40" s="23">
        <v>43391.340277777781</v>
      </c>
      <c r="B40" s="22">
        <v>1.005787037037037E-2</v>
      </c>
      <c r="C40" s="24" t="s">
        <v>493</v>
      </c>
      <c r="D40" t="s">
        <v>497</v>
      </c>
      <c r="E40" t="s">
        <v>496</v>
      </c>
      <c r="F40" t="s">
        <v>50</v>
      </c>
      <c r="G40">
        <v>21</v>
      </c>
      <c r="H40">
        <v>70</v>
      </c>
      <c r="I40">
        <v>2</v>
      </c>
      <c r="J40" t="s">
        <v>576</v>
      </c>
    </row>
    <row r="41" spans="1:10" hidden="1" outlineLevel="2" x14ac:dyDescent="0.25">
      <c r="A41" s="23">
        <v>43398.336111111108</v>
      </c>
      <c r="B41" s="22">
        <v>1.0011574074074074E-2</v>
      </c>
      <c r="C41" s="24" t="s">
        <v>493</v>
      </c>
      <c r="D41" t="s">
        <v>494</v>
      </c>
      <c r="E41" t="s">
        <v>472</v>
      </c>
      <c r="F41" t="s">
        <v>50</v>
      </c>
      <c r="G41">
        <v>25</v>
      </c>
      <c r="H41">
        <v>83.33</v>
      </c>
      <c r="I41">
        <v>3</v>
      </c>
      <c r="J41" t="s">
        <v>576</v>
      </c>
    </row>
    <row r="42" spans="1:10" hidden="1" outlineLevel="2" x14ac:dyDescent="0.25">
      <c r="A42" s="23">
        <v>43398.390277777777</v>
      </c>
      <c r="B42" s="22">
        <v>8.7615740740740744E-3</v>
      </c>
      <c r="C42" s="24" t="s">
        <v>493</v>
      </c>
      <c r="D42" t="s">
        <v>492</v>
      </c>
      <c r="E42" t="s">
        <v>491</v>
      </c>
      <c r="F42" t="s">
        <v>50</v>
      </c>
      <c r="G42">
        <v>23</v>
      </c>
      <c r="H42">
        <v>76.67</v>
      </c>
      <c r="I42">
        <v>2</v>
      </c>
      <c r="J42" t="s">
        <v>576</v>
      </c>
    </row>
    <row r="43" spans="1:10" hidden="1" outlineLevel="2" x14ac:dyDescent="0.25">
      <c r="A43" s="23">
        <v>43399.277777777781</v>
      </c>
      <c r="B43" s="22">
        <v>9.1203703703703707E-3</v>
      </c>
      <c r="C43" s="24" t="s">
        <v>471</v>
      </c>
      <c r="D43" t="s">
        <v>488</v>
      </c>
      <c r="E43" t="s">
        <v>443</v>
      </c>
      <c r="F43" t="s">
        <v>50</v>
      </c>
      <c r="G43">
        <v>19</v>
      </c>
      <c r="H43">
        <v>63.33</v>
      </c>
      <c r="I43">
        <v>1</v>
      </c>
      <c r="J43" t="s">
        <v>576</v>
      </c>
    </row>
    <row r="44" spans="1:10" hidden="1" outlineLevel="2" x14ac:dyDescent="0.25">
      <c r="A44" s="23">
        <v>43399.257638888892</v>
      </c>
      <c r="B44" s="22">
        <v>6.3773148148148148E-3</v>
      </c>
      <c r="C44" s="24" t="s">
        <v>471</v>
      </c>
      <c r="D44" t="s">
        <v>487</v>
      </c>
      <c r="E44" t="s">
        <v>258</v>
      </c>
      <c r="F44" t="s">
        <v>50</v>
      </c>
      <c r="G44">
        <v>22</v>
      </c>
      <c r="H44">
        <v>73.33</v>
      </c>
      <c r="I44">
        <v>2</v>
      </c>
      <c r="J44" t="s">
        <v>576</v>
      </c>
    </row>
    <row r="45" spans="1:10" hidden="1" outlineLevel="2" x14ac:dyDescent="0.25">
      <c r="A45" s="23">
        <v>43399.268055555556</v>
      </c>
      <c r="B45" s="22">
        <v>1.0416666666666666E-2</v>
      </c>
      <c r="C45" s="24" t="s">
        <v>471</v>
      </c>
      <c r="D45" t="s">
        <v>486</v>
      </c>
      <c r="E45" t="s">
        <v>316</v>
      </c>
      <c r="F45" t="s">
        <v>50</v>
      </c>
      <c r="G45">
        <v>23</v>
      </c>
      <c r="H45">
        <v>76.67</v>
      </c>
      <c r="I45">
        <v>2</v>
      </c>
      <c r="J45" t="s">
        <v>576</v>
      </c>
    </row>
    <row r="46" spans="1:10" hidden="1" outlineLevel="2" x14ac:dyDescent="0.25">
      <c r="A46" s="23">
        <v>43399.261805555558</v>
      </c>
      <c r="B46" s="22">
        <v>7.3958333333333341E-3</v>
      </c>
      <c r="C46" s="24" t="s">
        <v>471</v>
      </c>
      <c r="D46" t="s">
        <v>485</v>
      </c>
      <c r="E46" t="s">
        <v>101</v>
      </c>
      <c r="F46" t="s">
        <v>50</v>
      </c>
      <c r="G46">
        <v>19</v>
      </c>
      <c r="H46">
        <v>63.33</v>
      </c>
      <c r="I46">
        <v>1</v>
      </c>
      <c r="J46" t="s">
        <v>576</v>
      </c>
    </row>
    <row r="47" spans="1:10" hidden="1" outlineLevel="2" x14ac:dyDescent="0.25">
      <c r="A47" s="23">
        <v>43399.271527777775</v>
      </c>
      <c r="B47" s="22">
        <v>9.3171296296296283E-3</v>
      </c>
      <c r="C47" s="24" t="s">
        <v>471</v>
      </c>
      <c r="D47" t="s">
        <v>483</v>
      </c>
      <c r="E47" t="s">
        <v>482</v>
      </c>
      <c r="F47" t="s">
        <v>50</v>
      </c>
      <c r="G47">
        <v>23</v>
      </c>
      <c r="H47">
        <v>76.67</v>
      </c>
      <c r="I47">
        <v>2</v>
      </c>
      <c r="J47" t="s">
        <v>576</v>
      </c>
    </row>
    <row r="48" spans="1:10" hidden="1" outlineLevel="2" x14ac:dyDescent="0.25">
      <c r="A48" s="23">
        <v>43399.302083333336</v>
      </c>
      <c r="B48" s="22">
        <v>4.6180555555555558E-3</v>
      </c>
      <c r="C48" s="24" t="s">
        <v>471</v>
      </c>
      <c r="D48" t="s">
        <v>481</v>
      </c>
      <c r="E48" t="s">
        <v>480</v>
      </c>
      <c r="F48" t="s">
        <v>50</v>
      </c>
      <c r="G48">
        <v>18</v>
      </c>
      <c r="H48">
        <v>60</v>
      </c>
      <c r="I48">
        <v>1</v>
      </c>
      <c r="J48" t="s">
        <v>576</v>
      </c>
    </row>
    <row r="49" spans="1:10" hidden="1" outlineLevel="2" x14ac:dyDescent="0.25">
      <c r="A49" s="23">
        <v>43399.279166666667</v>
      </c>
      <c r="B49" s="22">
        <v>9.9074074074074082E-3</v>
      </c>
      <c r="C49" s="24" t="s">
        <v>471</v>
      </c>
      <c r="D49" t="s">
        <v>479</v>
      </c>
      <c r="E49" t="s">
        <v>478</v>
      </c>
      <c r="F49" t="s">
        <v>50</v>
      </c>
      <c r="G49">
        <v>22</v>
      </c>
      <c r="H49">
        <v>73.33</v>
      </c>
      <c r="I49">
        <v>2</v>
      </c>
      <c r="J49" t="s">
        <v>576</v>
      </c>
    </row>
    <row r="50" spans="1:10" hidden="1" outlineLevel="2" x14ac:dyDescent="0.25">
      <c r="A50" s="23">
        <v>43399.268750000003</v>
      </c>
      <c r="B50" s="22">
        <v>8.113425925925925E-3</v>
      </c>
      <c r="C50" s="24" t="s">
        <v>471</v>
      </c>
      <c r="D50" t="s">
        <v>477</v>
      </c>
      <c r="E50" t="s">
        <v>192</v>
      </c>
      <c r="F50" t="s">
        <v>50</v>
      </c>
      <c r="G50">
        <v>23</v>
      </c>
      <c r="H50">
        <v>76.67</v>
      </c>
      <c r="I50">
        <v>2</v>
      </c>
      <c r="J50" t="s">
        <v>576</v>
      </c>
    </row>
    <row r="51" spans="1:10" hidden="1" outlineLevel="2" x14ac:dyDescent="0.25">
      <c r="A51" s="23">
        <v>43399.269444444442</v>
      </c>
      <c r="B51" s="22">
        <v>7.5810185185185182E-3</v>
      </c>
      <c r="C51" s="24" t="s">
        <v>471</v>
      </c>
      <c r="D51" t="s">
        <v>475</v>
      </c>
      <c r="E51" t="s">
        <v>474</v>
      </c>
      <c r="F51" t="s">
        <v>50</v>
      </c>
      <c r="G51">
        <v>25</v>
      </c>
      <c r="H51">
        <v>83.33</v>
      </c>
      <c r="I51">
        <v>3</v>
      </c>
      <c r="J51" t="s">
        <v>576</v>
      </c>
    </row>
    <row r="52" spans="1:10" hidden="1" outlineLevel="2" x14ac:dyDescent="0.25">
      <c r="A52" s="23">
        <v>43399.267361111109</v>
      </c>
      <c r="B52" s="22">
        <v>8.6805555555555559E-3</v>
      </c>
      <c r="C52" s="24" t="s">
        <v>471</v>
      </c>
      <c r="D52" t="s">
        <v>473</v>
      </c>
      <c r="E52" t="s">
        <v>472</v>
      </c>
      <c r="F52" t="s">
        <v>50</v>
      </c>
      <c r="G52">
        <v>22</v>
      </c>
      <c r="H52">
        <v>73.33</v>
      </c>
      <c r="I52">
        <v>2</v>
      </c>
      <c r="J52" t="s">
        <v>576</v>
      </c>
    </row>
    <row r="53" spans="1:10" hidden="1" outlineLevel="2" x14ac:dyDescent="0.25">
      <c r="A53" s="23">
        <v>43397.405555555553</v>
      </c>
      <c r="B53" s="22">
        <v>7.6620370370370366E-3</v>
      </c>
      <c r="C53" s="24" t="s">
        <v>471</v>
      </c>
      <c r="D53" t="s">
        <v>470</v>
      </c>
      <c r="E53" t="s">
        <v>469</v>
      </c>
      <c r="F53" t="s">
        <v>50</v>
      </c>
      <c r="G53">
        <v>18</v>
      </c>
      <c r="H53">
        <v>60</v>
      </c>
      <c r="I53">
        <v>1</v>
      </c>
      <c r="J53" t="s">
        <v>576</v>
      </c>
    </row>
    <row r="54" spans="1:10" outlineLevel="1" collapsed="1" x14ac:dyDescent="0.25">
      <c r="A54" s="23"/>
      <c r="B54" s="22"/>
      <c r="D54">
        <f>SUBTOTAL(3,D2:D53)</f>
        <v>52</v>
      </c>
      <c r="J54" s="29" t="s">
        <v>608</v>
      </c>
    </row>
    <row r="55" spans="1:10" hidden="1" outlineLevel="2" x14ac:dyDescent="0.25">
      <c r="A55" s="23">
        <v>43390.563194444447</v>
      </c>
      <c r="B55" s="22">
        <v>7.4884259259259262E-3</v>
      </c>
      <c r="C55" s="24" t="s">
        <v>543</v>
      </c>
      <c r="D55" t="s">
        <v>567</v>
      </c>
      <c r="E55" t="s">
        <v>566</v>
      </c>
      <c r="F55" t="s">
        <v>50</v>
      </c>
      <c r="G55">
        <v>17</v>
      </c>
      <c r="H55">
        <v>56.67</v>
      </c>
      <c r="I55">
        <v>0</v>
      </c>
      <c r="J55" t="s">
        <v>575</v>
      </c>
    </row>
    <row r="56" spans="1:10" hidden="1" outlineLevel="2" x14ac:dyDescent="0.25">
      <c r="A56" s="23">
        <v>43397.347222222219</v>
      </c>
      <c r="B56" s="22">
        <v>1.0416666666666666E-2</v>
      </c>
      <c r="C56" s="24" t="s">
        <v>543</v>
      </c>
      <c r="D56" t="s">
        <v>559</v>
      </c>
      <c r="E56" t="s">
        <v>478</v>
      </c>
      <c r="F56" t="s">
        <v>50</v>
      </c>
      <c r="G56">
        <v>14</v>
      </c>
      <c r="H56">
        <v>46.67</v>
      </c>
      <c r="I56">
        <v>0</v>
      </c>
      <c r="J56" t="s">
        <v>575</v>
      </c>
    </row>
    <row r="57" spans="1:10" hidden="1" outlineLevel="2" x14ac:dyDescent="0.25">
      <c r="A57" s="23">
        <v>43397.354166666664</v>
      </c>
      <c r="B57" s="22">
        <v>1.0416666666666666E-2</v>
      </c>
      <c r="C57" s="24" t="s">
        <v>543</v>
      </c>
      <c r="D57" t="s">
        <v>556</v>
      </c>
      <c r="E57" t="s">
        <v>299</v>
      </c>
      <c r="F57" t="s">
        <v>50</v>
      </c>
      <c r="G57">
        <v>15</v>
      </c>
      <c r="H57">
        <v>50</v>
      </c>
      <c r="I57">
        <v>0</v>
      </c>
      <c r="J57" t="s">
        <v>575</v>
      </c>
    </row>
    <row r="58" spans="1:10" hidden="1" outlineLevel="2" x14ac:dyDescent="0.25">
      <c r="A58" s="23">
        <v>43397.357638888891</v>
      </c>
      <c r="B58" s="22">
        <v>9.6412037037037039E-3</v>
      </c>
      <c r="C58" s="24" t="s">
        <v>543</v>
      </c>
      <c r="D58" t="s">
        <v>550</v>
      </c>
      <c r="E58" t="s">
        <v>192</v>
      </c>
      <c r="F58" t="s">
        <v>50</v>
      </c>
      <c r="G58">
        <v>14</v>
      </c>
      <c r="H58">
        <v>46.67</v>
      </c>
      <c r="I58">
        <v>0</v>
      </c>
      <c r="J58" t="s">
        <v>575</v>
      </c>
    </row>
    <row r="59" spans="1:10" hidden="1" outlineLevel="2" x14ac:dyDescent="0.25">
      <c r="A59" s="23">
        <v>43397.407638888886</v>
      </c>
      <c r="B59" s="22">
        <v>1.037037037037037E-2</v>
      </c>
      <c r="C59" s="24" t="s">
        <v>543</v>
      </c>
      <c r="D59" t="s">
        <v>565</v>
      </c>
      <c r="E59" t="s">
        <v>564</v>
      </c>
      <c r="F59" t="s">
        <v>87</v>
      </c>
      <c r="G59">
        <v>16</v>
      </c>
      <c r="H59">
        <v>53.33</v>
      </c>
      <c r="I59">
        <v>0</v>
      </c>
      <c r="J59" t="s">
        <v>575</v>
      </c>
    </row>
    <row r="60" spans="1:10" hidden="1" outlineLevel="2" x14ac:dyDescent="0.25">
      <c r="A60" s="23">
        <v>43390.574305555558</v>
      </c>
      <c r="B60" s="22">
        <v>8.8657407407407417E-3</v>
      </c>
      <c r="C60" s="24" t="s">
        <v>543</v>
      </c>
      <c r="D60" t="s">
        <v>555</v>
      </c>
      <c r="E60" t="s">
        <v>552</v>
      </c>
      <c r="F60" t="s">
        <v>87</v>
      </c>
      <c r="G60">
        <v>10</v>
      </c>
      <c r="H60">
        <v>33.33</v>
      </c>
      <c r="I60">
        <v>0</v>
      </c>
      <c r="J60" t="s">
        <v>575</v>
      </c>
    </row>
    <row r="61" spans="1:10" hidden="1" outlineLevel="2" x14ac:dyDescent="0.25">
      <c r="A61" s="23">
        <v>43397.338888888888</v>
      </c>
      <c r="B61" s="22">
        <v>9.7916666666666655E-3</v>
      </c>
      <c r="C61" s="24" t="s">
        <v>543</v>
      </c>
      <c r="D61" t="s">
        <v>548</v>
      </c>
      <c r="E61" t="s">
        <v>547</v>
      </c>
      <c r="F61" t="s">
        <v>87</v>
      </c>
      <c r="G61">
        <v>17</v>
      </c>
      <c r="H61">
        <v>56.67</v>
      </c>
      <c r="I61">
        <v>0</v>
      </c>
      <c r="J61" t="s">
        <v>575</v>
      </c>
    </row>
    <row r="62" spans="1:10" hidden="1" outlineLevel="2" x14ac:dyDescent="0.25">
      <c r="A62" s="23">
        <v>43390.584027777775</v>
      </c>
      <c r="B62" s="22">
        <v>1.0243055555555556E-2</v>
      </c>
      <c r="C62" s="24" t="s">
        <v>543</v>
      </c>
      <c r="D62" t="s">
        <v>545</v>
      </c>
      <c r="E62" t="s">
        <v>544</v>
      </c>
      <c r="F62" t="s">
        <v>87</v>
      </c>
      <c r="G62">
        <v>16</v>
      </c>
      <c r="H62">
        <v>53.33</v>
      </c>
      <c r="I62">
        <v>0</v>
      </c>
      <c r="J62" t="s">
        <v>575</v>
      </c>
    </row>
    <row r="63" spans="1:10" hidden="1" outlineLevel="2" x14ac:dyDescent="0.25">
      <c r="A63" s="23">
        <v>43392.290277777778</v>
      </c>
      <c r="B63" s="22">
        <v>8.7962962962962968E-3</v>
      </c>
      <c r="C63" s="24" t="s">
        <v>517</v>
      </c>
      <c r="D63" t="s">
        <v>535</v>
      </c>
      <c r="E63" t="s">
        <v>101</v>
      </c>
      <c r="F63" t="s">
        <v>50</v>
      </c>
      <c r="G63">
        <v>17</v>
      </c>
      <c r="H63">
        <v>56.67</v>
      </c>
      <c r="I63">
        <v>0</v>
      </c>
      <c r="J63" t="s">
        <v>575</v>
      </c>
    </row>
    <row r="64" spans="1:10" hidden="1" outlineLevel="2" x14ac:dyDescent="0.25">
      <c r="A64" s="23">
        <v>43397.51458333333</v>
      </c>
      <c r="B64" s="22">
        <v>9.1087962962962971E-3</v>
      </c>
      <c r="C64" s="24" t="s">
        <v>517</v>
      </c>
      <c r="D64" t="s">
        <v>528</v>
      </c>
      <c r="E64" t="s">
        <v>101</v>
      </c>
      <c r="F64" t="s">
        <v>50</v>
      </c>
      <c r="G64">
        <v>14</v>
      </c>
      <c r="H64">
        <v>46.67</v>
      </c>
      <c r="I64">
        <v>0</v>
      </c>
      <c r="J64" t="s">
        <v>575</v>
      </c>
    </row>
    <row r="65" spans="1:10" hidden="1" outlineLevel="2" x14ac:dyDescent="0.25">
      <c r="A65" s="23">
        <v>43397.508333333331</v>
      </c>
      <c r="B65" s="22">
        <v>1.0416666666666666E-2</v>
      </c>
      <c r="C65" s="24" t="s">
        <v>517</v>
      </c>
      <c r="D65" t="s">
        <v>523</v>
      </c>
      <c r="E65" t="s">
        <v>522</v>
      </c>
      <c r="F65" t="s">
        <v>50</v>
      </c>
      <c r="G65">
        <v>15</v>
      </c>
      <c r="H65">
        <v>50</v>
      </c>
      <c r="I65">
        <v>0</v>
      </c>
      <c r="J65" t="s">
        <v>575</v>
      </c>
    </row>
    <row r="66" spans="1:10" hidden="1" outlineLevel="2" x14ac:dyDescent="0.25">
      <c r="A66" s="23">
        <v>43391.378472222219</v>
      </c>
      <c r="B66" s="22">
        <v>1.0405092592592593E-2</v>
      </c>
      <c r="C66" s="24" t="s">
        <v>493</v>
      </c>
      <c r="D66" t="s">
        <v>512</v>
      </c>
      <c r="E66" t="s">
        <v>511</v>
      </c>
      <c r="F66" t="s">
        <v>50</v>
      </c>
      <c r="G66">
        <v>13</v>
      </c>
      <c r="H66">
        <v>43.33</v>
      </c>
      <c r="I66">
        <v>0</v>
      </c>
      <c r="J66" t="s">
        <v>575</v>
      </c>
    </row>
    <row r="67" spans="1:10" hidden="1" outlineLevel="2" x14ac:dyDescent="0.25">
      <c r="A67" s="23">
        <v>43398.338194444441</v>
      </c>
      <c r="B67" s="22">
        <v>6.5740740740740733E-3</v>
      </c>
      <c r="C67" s="24" t="s">
        <v>493</v>
      </c>
      <c r="D67" t="s">
        <v>510</v>
      </c>
      <c r="E67" t="s">
        <v>509</v>
      </c>
      <c r="F67" t="s">
        <v>50</v>
      </c>
      <c r="G67">
        <v>16</v>
      </c>
      <c r="H67">
        <v>53.33</v>
      </c>
      <c r="I67">
        <v>0</v>
      </c>
      <c r="J67" t="s">
        <v>575</v>
      </c>
    </row>
    <row r="68" spans="1:10" hidden="1" outlineLevel="2" x14ac:dyDescent="0.25">
      <c r="A68" s="23">
        <v>43398.333333333336</v>
      </c>
      <c r="B68" s="22">
        <v>9.7106481481481471E-3</v>
      </c>
      <c r="C68" s="24" t="s">
        <v>493</v>
      </c>
      <c r="D68" t="s">
        <v>505</v>
      </c>
      <c r="E68" t="s">
        <v>60</v>
      </c>
      <c r="F68" t="s">
        <v>50</v>
      </c>
      <c r="G68">
        <v>16</v>
      </c>
      <c r="H68">
        <v>53.33</v>
      </c>
      <c r="I68">
        <v>0</v>
      </c>
      <c r="J68" t="s">
        <v>575</v>
      </c>
    </row>
    <row r="69" spans="1:10" hidden="1" outlineLevel="2" x14ac:dyDescent="0.25">
      <c r="A69" s="23">
        <v>43398.34375</v>
      </c>
      <c r="B69" s="22">
        <v>1.0023148148148147E-2</v>
      </c>
      <c r="C69" s="24" t="s">
        <v>493</v>
      </c>
      <c r="D69" t="s">
        <v>501</v>
      </c>
      <c r="E69" t="s">
        <v>500</v>
      </c>
      <c r="F69" t="s">
        <v>50</v>
      </c>
      <c r="G69">
        <v>16</v>
      </c>
      <c r="H69">
        <v>53.33</v>
      </c>
      <c r="I69">
        <v>0</v>
      </c>
      <c r="J69" t="s">
        <v>575</v>
      </c>
    </row>
    <row r="70" spans="1:10" hidden="1" outlineLevel="2" x14ac:dyDescent="0.25">
      <c r="A70" s="23">
        <v>43398.338888888888</v>
      </c>
      <c r="B70" s="22">
        <v>7.4537037037037028E-3</v>
      </c>
      <c r="C70" s="24" t="s">
        <v>493</v>
      </c>
      <c r="D70" t="s">
        <v>495</v>
      </c>
      <c r="E70" t="s">
        <v>185</v>
      </c>
      <c r="F70" t="s">
        <v>50</v>
      </c>
      <c r="G70">
        <v>17</v>
      </c>
      <c r="H70">
        <v>56.67</v>
      </c>
      <c r="I70">
        <v>0</v>
      </c>
      <c r="J70" t="s">
        <v>575</v>
      </c>
    </row>
    <row r="71" spans="1:10" hidden="1" outlineLevel="2" x14ac:dyDescent="0.25">
      <c r="A71" s="23">
        <v>43399.272222222222</v>
      </c>
      <c r="B71" s="22">
        <v>9.8263888888888897E-3</v>
      </c>
      <c r="C71" s="24" t="s">
        <v>471</v>
      </c>
      <c r="D71" t="s">
        <v>490</v>
      </c>
      <c r="E71" t="s">
        <v>489</v>
      </c>
      <c r="F71" t="s">
        <v>50</v>
      </c>
      <c r="G71">
        <v>13</v>
      </c>
      <c r="H71">
        <v>43.33</v>
      </c>
      <c r="I71">
        <v>0</v>
      </c>
      <c r="J71" t="s">
        <v>575</v>
      </c>
    </row>
    <row r="72" spans="1:10" hidden="1" outlineLevel="2" x14ac:dyDescent="0.25">
      <c r="A72" s="23">
        <v>43399.302083333336</v>
      </c>
      <c r="B72" s="22">
        <v>9.2361111111111116E-3</v>
      </c>
      <c r="C72" s="24" t="s">
        <v>471</v>
      </c>
      <c r="D72" t="s">
        <v>484</v>
      </c>
      <c r="E72" t="s">
        <v>299</v>
      </c>
      <c r="F72" t="s">
        <v>50</v>
      </c>
      <c r="G72">
        <v>14</v>
      </c>
      <c r="H72">
        <v>46.67</v>
      </c>
      <c r="I72">
        <v>0</v>
      </c>
      <c r="J72" t="s">
        <v>575</v>
      </c>
    </row>
    <row r="73" spans="1:10" hidden="1" outlineLevel="2" x14ac:dyDescent="0.25">
      <c r="A73" s="23">
        <v>43399.267361111109</v>
      </c>
      <c r="B73" s="22">
        <v>5.9143518518518521E-3</v>
      </c>
      <c r="C73" s="24" t="s">
        <v>471</v>
      </c>
      <c r="D73" t="s">
        <v>476</v>
      </c>
      <c r="E73" t="s">
        <v>325</v>
      </c>
      <c r="F73" t="s">
        <v>50</v>
      </c>
      <c r="G73">
        <v>17</v>
      </c>
      <c r="H73">
        <v>56.67</v>
      </c>
      <c r="I73">
        <v>0</v>
      </c>
      <c r="J73" t="s">
        <v>575</v>
      </c>
    </row>
    <row r="74" spans="1:10" outlineLevel="1" collapsed="1" x14ac:dyDescent="0.25">
      <c r="A74" s="23"/>
      <c r="B74" s="22"/>
      <c r="D74">
        <f>SUBTOTAL(3,D55:D73)</f>
        <v>19</v>
      </c>
      <c r="J74" s="29" t="s">
        <v>609</v>
      </c>
    </row>
    <row r="75" spans="1:10" x14ac:dyDescent="0.25">
      <c r="A75" s="23"/>
      <c r="B75" s="22"/>
      <c r="D75">
        <f>SUBTOTAL(3,D2:D73)</f>
        <v>71</v>
      </c>
      <c r="J75" s="29" t="s">
        <v>581</v>
      </c>
    </row>
  </sheetData>
  <sortState ref="A2:J73">
    <sortCondition ref="J2:J7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8AC3-5199-42B1-A14D-8EB0338A7E36}">
  <dimension ref="A3:I6"/>
  <sheetViews>
    <sheetView tabSelected="1" topLeftCell="A2" workbookViewId="0">
      <selection activeCell="A3" sqref="A3"/>
    </sheetView>
  </sheetViews>
  <sheetFormatPr defaultRowHeight="15" x14ac:dyDescent="0.25"/>
  <cols>
    <col min="1" max="1" width="24" bestFit="1" customWidth="1"/>
    <col min="2" max="2" width="15.5703125" bestFit="1" customWidth="1"/>
    <col min="3" max="3" width="24" bestFit="1" customWidth="1"/>
    <col min="4" max="4" width="20.140625" bestFit="1" customWidth="1"/>
    <col min="5" max="5" width="18.140625" bestFit="1" customWidth="1"/>
    <col min="6" max="6" width="8" bestFit="1" customWidth="1"/>
    <col min="7" max="7" width="20.5703125" bestFit="1" customWidth="1"/>
    <col min="8" max="8" width="12.140625" bestFit="1" customWidth="1"/>
    <col min="9" max="9" width="11.85546875" bestFit="1" customWidth="1"/>
    <col min="10" max="10" width="12.140625" bestFit="1" customWidth="1"/>
    <col min="11" max="11" width="11.85546875" bestFit="1" customWidth="1"/>
  </cols>
  <sheetData>
    <row r="3" spans="1:9" x14ac:dyDescent="0.25">
      <c r="A3" s="30" t="s">
        <v>611</v>
      </c>
      <c r="B3" s="30" t="s">
        <v>37</v>
      </c>
      <c r="C3" s="31"/>
      <c r="D3" s="31"/>
      <c r="E3" s="31"/>
      <c r="F3" s="31"/>
      <c r="G3" s="31"/>
      <c r="H3" s="31"/>
      <c r="I3" s="31"/>
    </row>
    <row r="4" spans="1:9" x14ac:dyDescent="0.25">
      <c r="A4" s="30" t="s">
        <v>35</v>
      </c>
      <c r="B4" s="31" t="s">
        <v>268</v>
      </c>
      <c r="C4" s="31" t="s">
        <v>289</v>
      </c>
      <c r="D4" s="31" t="s">
        <v>390</v>
      </c>
      <c r="E4" s="31" t="s">
        <v>143</v>
      </c>
      <c r="F4" s="31" t="s">
        <v>338</v>
      </c>
      <c r="G4" s="31" t="s">
        <v>376</v>
      </c>
      <c r="H4" s="31" t="s">
        <v>103</v>
      </c>
      <c r="I4" s="31" t="s">
        <v>610</v>
      </c>
    </row>
    <row r="5" spans="1:9" x14ac:dyDescent="0.25">
      <c r="A5" s="32" t="s">
        <v>134</v>
      </c>
      <c r="B5" s="35">
        <v>10177.869255367001</v>
      </c>
      <c r="C5" s="35">
        <v>7846.5416858391727</v>
      </c>
      <c r="D5" s="35">
        <v>9429.9630714346567</v>
      </c>
      <c r="E5" s="35">
        <v>11569.88568611323</v>
      </c>
      <c r="F5" s="35">
        <v>12292.123143041248</v>
      </c>
      <c r="G5" s="35">
        <v>10643.3766537518</v>
      </c>
      <c r="H5" s="35">
        <v>12169.6033781476</v>
      </c>
      <c r="I5" s="35">
        <v>10375.05452207113</v>
      </c>
    </row>
    <row r="6" spans="1:9" x14ac:dyDescent="0.25">
      <c r="A6" s="32" t="s">
        <v>610</v>
      </c>
      <c r="B6" s="35">
        <v>10177.869255367001</v>
      </c>
      <c r="C6" s="35">
        <v>7846.5416858391727</v>
      </c>
      <c r="D6" s="35">
        <v>9429.9630714346567</v>
      </c>
      <c r="E6" s="35">
        <v>11569.88568611323</v>
      </c>
      <c r="F6" s="35">
        <v>12292.123143041248</v>
      </c>
      <c r="G6" s="35">
        <v>10643.3766537518</v>
      </c>
      <c r="H6" s="35">
        <v>12169.6033781476</v>
      </c>
      <c r="I6" s="35">
        <v>10375.05452207113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5DA3-6966-4539-827D-03A598DD2D68}">
  <dimension ref="A3:D14"/>
  <sheetViews>
    <sheetView workbookViewId="0">
      <selection activeCell="E8" sqref="E8"/>
    </sheetView>
  </sheetViews>
  <sheetFormatPr defaultRowHeight="15" x14ac:dyDescent="0.25"/>
  <cols>
    <col min="1" max="1" width="29.28515625" bestFit="1" customWidth="1"/>
    <col min="2" max="2" width="15.7109375" bestFit="1" customWidth="1"/>
    <col min="3" max="3" width="5.5703125" bestFit="1" customWidth="1"/>
    <col min="4" max="4" width="12" bestFit="1" customWidth="1"/>
    <col min="5" max="5" width="21.7109375" bestFit="1" customWidth="1"/>
    <col min="6" max="6" width="11.85546875" bestFit="1" customWidth="1"/>
  </cols>
  <sheetData>
    <row r="3" spans="1:4" x14ac:dyDescent="0.25">
      <c r="A3" s="30" t="s">
        <v>612</v>
      </c>
      <c r="B3" s="30" t="s">
        <v>34</v>
      </c>
      <c r="C3" s="31"/>
      <c r="D3" s="31"/>
    </row>
    <row r="4" spans="1:4" x14ac:dyDescent="0.25">
      <c r="A4" s="30" t="s">
        <v>35</v>
      </c>
      <c r="B4" s="31" t="s">
        <v>50</v>
      </c>
      <c r="C4" s="31" t="s">
        <v>87</v>
      </c>
      <c r="D4" s="31" t="s">
        <v>610</v>
      </c>
    </row>
    <row r="5" spans="1:4" x14ac:dyDescent="0.25">
      <c r="A5" s="32" t="s">
        <v>51</v>
      </c>
      <c r="B5" s="34">
        <v>4</v>
      </c>
      <c r="C5" s="34">
        <v>2</v>
      </c>
      <c r="D5" s="34">
        <v>6</v>
      </c>
    </row>
    <row r="6" spans="1:4" x14ac:dyDescent="0.25">
      <c r="A6" s="32" t="s">
        <v>268</v>
      </c>
      <c r="B6" s="34">
        <v>2</v>
      </c>
      <c r="C6" s="34">
        <v>4</v>
      </c>
      <c r="D6" s="34">
        <v>6</v>
      </c>
    </row>
    <row r="7" spans="1:4" x14ac:dyDescent="0.25">
      <c r="A7" s="32" t="s">
        <v>289</v>
      </c>
      <c r="B7" s="34">
        <v>5</v>
      </c>
      <c r="C7" s="34"/>
      <c r="D7" s="34">
        <v>5</v>
      </c>
    </row>
    <row r="8" spans="1:4" x14ac:dyDescent="0.25">
      <c r="A8" s="32" t="s">
        <v>390</v>
      </c>
      <c r="B8" s="34">
        <v>11</v>
      </c>
      <c r="C8" s="34">
        <v>1</v>
      </c>
      <c r="D8" s="34">
        <v>12</v>
      </c>
    </row>
    <row r="9" spans="1:4" x14ac:dyDescent="0.25">
      <c r="A9" s="32" t="s">
        <v>143</v>
      </c>
      <c r="B9" s="34">
        <v>2</v>
      </c>
      <c r="C9" s="34">
        <v>3</v>
      </c>
      <c r="D9" s="34">
        <v>5</v>
      </c>
    </row>
    <row r="10" spans="1:4" x14ac:dyDescent="0.25">
      <c r="A10" s="32" t="s">
        <v>338</v>
      </c>
      <c r="B10" s="34">
        <v>1</v>
      </c>
      <c r="C10" s="34">
        <v>5</v>
      </c>
      <c r="D10" s="34">
        <v>6</v>
      </c>
    </row>
    <row r="11" spans="1:4" x14ac:dyDescent="0.25">
      <c r="A11" s="32" t="s">
        <v>161</v>
      </c>
      <c r="B11" s="34">
        <v>12</v>
      </c>
      <c r="C11" s="34">
        <v>2</v>
      </c>
      <c r="D11" s="34">
        <v>14</v>
      </c>
    </row>
    <row r="12" spans="1:4" x14ac:dyDescent="0.25">
      <c r="A12" s="32" t="s">
        <v>376</v>
      </c>
      <c r="B12" s="34">
        <v>1</v>
      </c>
      <c r="C12" s="34">
        <v>4</v>
      </c>
      <c r="D12" s="34">
        <v>5</v>
      </c>
    </row>
    <row r="13" spans="1:4" x14ac:dyDescent="0.25">
      <c r="A13" s="32" t="s">
        <v>103</v>
      </c>
      <c r="B13" s="34">
        <v>3</v>
      </c>
      <c r="C13" s="34">
        <v>2</v>
      </c>
      <c r="D13" s="34">
        <v>5</v>
      </c>
    </row>
    <row r="14" spans="1:4" x14ac:dyDescent="0.25">
      <c r="A14" s="32" t="s">
        <v>610</v>
      </c>
      <c r="B14" s="34">
        <v>41</v>
      </c>
      <c r="C14" s="34">
        <v>23</v>
      </c>
      <c r="D14" s="34">
        <v>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1898-5505-45F4-B19A-FDF0742F4B86}">
  <dimension ref="A3:C6"/>
  <sheetViews>
    <sheetView workbookViewId="0">
      <selection activeCell="C15" sqref="C15"/>
    </sheetView>
  </sheetViews>
  <sheetFormatPr defaultRowHeight="15" x14ac:dyDescent="0.25"/>
  <cols>
    <col min="1" max="1" width="29.28515625" bestFit="1" customWidth="1"/>
    <col min="2" max="2" width="10.42578125" bestFit="1" customWidth="1"/>
    <col min="3" max="4" width="11.85546875" bestFit="1" customWidth="1"/>
  </cols>
  <sheetData>
    <row r="3" spans="1:3" x14ac:dyDescent="0.25">
      <c r="A3" s="30" t="s">
        <v>612</v>
      </c>
      <c r="B3" s="30" t="s">
        <v>613</v>
      </c>
      <c r="C3" s="31"/>
    </row>
    <row r="4" spans="1:3" x14ac:dyDescent="0.25">
      <c r="A4" s="30" t="s">
        <v>571</v>
      </c>
      <c r="B4" s="31" t="s">
        <v>575</v>
      </c>
      <c r="C4" s="31" t="s">
        <v>610</v>
      </c>
    </row>
    <row r="5" spans="1:3" x14ac:dyDescent="0.25">
      <c r="A5" s="32" t="s">
        <v>543</v>
      </c>
      <c r="B5" s="33">
        <v>8</v>
      </c>
      <c r="C5" s="33">
        <v>8</v>
      </c>
    </row>
    <row r="6" spans="1:3" x14ac:dyDescent="0.25">
      <c r="A6" s="32" t="s">
        <v>610</v>
      </c>
      <c r="B6" s="33">
        <v>8</v>
      </c>
      <c r="C6" s="33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2"/>
  <sheetViews>
    <sheetView workbookViewId="0"/>
  </sheetViews>
  <sheetFormatPr defaultRowHeight="15" x14ac:dyDescent="0.25"/>
  <cols>
    <col min="1" max="1" width="17" bestFit="1" customWidth="1"/>
    <col min="2" max="2" width="19.7109375" bestFit="1" customWidth="1"/>
    <col min="3" max="3" width="15.42578125" style="24" bestFit="1" customWidth="1"/>
    <col min="4" max="4" width="15.42578125" bestFit="1" customWidth="1"/>
    <col min="5" max="5" width="13.5703125" bestFit="1" customWidth="1"/>
    <col min="6" max="6" width="13.5703125" customWidth="1"/>
    <col min="7" max="8" width="15.28515625" customWidth="1"/>
    <col min="9" max="9" width="16.42578125" bestFit="1" customWidth="1"/>
    <col min="10" max="10" width="10.42578125" bestFit="1" customWidth="1"/>
  </cols>
  <sheetData>
    <row r="1" spans="1:10" ht="45" x14ac:dyDescent="0.25">
      <c r="A1" s="25" t="s">
        <v>573</v>
      </c>
      <c r="B1" s="25" t="s">
        <v>572</v>
      </c>
      <c r="C1" s="25" t="s">
        <v>571</v>
      </c>
      <c r="D1" s="25" t="s">
        <v>31</v>
      </c>
      <c r="E1" s="25" t="s">
        <v>32</v>
      </c>
      <c r="F1" s="25" t="s">
        <v>34</v>
      </c>
      <c r="G1" s="26" t="s">
        <v>570</v>
      </c>
      <c r="H1" s="26" t="s">
        <v>569</v>
      </c>
      <c r="I1" s="25" t="s">
        <v>568</v>
      </c>
      <c r="J1" s="25" t="s">
        <v>574</v>
      </c>
    </row>
    <row r="2" spans="1:10" x14ac:dyDescent="0.25">
      <c r="A2" s="23">
        <v>43390.563194444447</v>
      </c>
      <c r="B2" s="22">
        <v>7.4884259259259262E-3</v>
      </c>
      <c r="C2" s="24" t="s">
        <v>543</v>
      </c>
      <c r="D2" t="s">
        <v>567</v>
      </c>
      <c r="E2" t="s">
        <v>566</v>
      </c>
      <c r="F2" t="s">
        <v>50</v>
      </c>
      <c r="G2">
        <v>17</v>
      </c>
      <c r="H2">
        <v>56.67</v>
      </c>
      <c r="I2">
        <v>0</v>
      </c>
      <c r="J2" t="s">
        <v>575</v>
      </c>
    </row>
    <row r="3" spans="1:10" x14ac:dyDescent="0.25">
      <c r="A3" s="23">
        <v>43397.347222222219</v>
      </c>
      <c r="B3" s="22">
        <v>1.0416666666666666E-2</v>
      </c>
      <c r="C3" s="24" t="s">
        <v>543</v>
      </c>
      <c r="D3" t="s">
        <v>559</v>
      </c>
      <c r="E3" t="s">
        <v>478</v>
      </c>
      <c r="F3" t="s">
        <v>50</v>
      </c>
      <c r="G3">
        <v>14</v>
      </c>
      <c r="H3">
        <v>46.67</v>
      </c>
      <c r="I3">
        <v>0</v>
      </c>
      <c r="J3" t="s">
        <v>575</v>
      </c>
    </row>
    <row r="4" spans="1:10" x14ac:dyDescent="0.25">
      <c r="A4" s="23">
        <v>43397.354166666664</v>
      </c>
      <c r="B4" s="22">
        <v>1.0416666666666666E-2</v>
      </c>
      <c r="C4" s="24" t="s">
        <v>543</v>
      </c>
      <c r="D4" t="s">
        <v>556</v>
      </c>
      <c r="E4" t="s">
        <v>299</v>
      </c>
      <c r="F4" t="s">
        <v>50</v>
      </c>
      <c r="G4">
        <v>15</v>
      </c>
      <c r="H4">
        <v>50</v>
      </c>
      <c r="I4">
        <v>0</v>
      </c>
      <c r="J4" t="s">
        <v>575</v>
      </c>
    </row>
    <row r="5" spans="1:10" x14ac:dyDescent="0.25">
      <c r="A5" s="23">
        <v>43397.34375</v>
      </c>
      <c r="B5" s="22">
        <v>9.2476851851851852E-3</v>
      </c>
      <c r="C5" s="24" t="s">
        <v>543</v>
      </c>
      <c r="D5" t="s">
        <v>554</v>
      </c>
      <c r="E5" t="s">
        <v>478</v>
      </c>
      <c r="F5" t="s">
        <v>50</v>
      </c>
      <c r="G5">
        <v>21</v>
      </c>
      <c r="H5">
        <v>70</v>
      </c>
      <c r="I5">
        <v>2</v>
      </c>
      <c r="J5" t="s">
        <v>576</v>
      </c>
    </row>
    <row r="6" spans="1:10" x14ac:dyDescent="0.25">
      <c r="A6" s="23">
        <v>43390.586111111108</v>
      </c>
      <c r="B6" s="22">
        <v>7.858796296296296E-3</v>
      </c>
      <c r="C6" s="24" t="s">
        <v>543</v>
      </c>
      <c r="D6" t="s">
        <v>528</v>
      </c>
      <c r="E6" t="s">
        <v>529</v>
      </c>
      <c r="F6" t="s">
        <v>50</v>
      </c>
      <c r="G6">
        <v>19</v>
      </c>
      <c r="H6">
        <v>63.33</v>
      </c>
      <c r="I6">
        <v>1</v>
      </c>
      <c r="J6" t="s">
        <v>576</v>
      </c>
    </row>
    <row r="7" spans="1:10" x14ac:dyDescent="0.25">
      <c r="A7" s="23">
        <v>43397.347222222219</v>
      </c>
      <c r="B7" s="22">
        <v>8.1018518518518514E-3</v>
      </c>
      <c r="C7" s="24" t="s">
        <v>543</v>
      </c>
      <c r="D7" t="s">
        <v>551</v>
      </c>
      <c r="E7" t="s">
        <v>168</v>
      </c>
      <c r="F7" t="s">
        <v>50</v>
      </c>
      <c r="G7">
        <v>21</v>
      </c>
      <c r="H7">
        <v>70</v>
      </c>
      <c r="I7">
        <v>2</v>
      </c>
      <c r="J7" t="s">
        <v>576</v>
      </c>
    </row>
    <row r="8" spans="1:10" x14ac:dyDescent="0.25">
      <c r="A8" s="23">
        <v>43397.357638888891</v>
      </c>
      <c r="B8" s="22">
        <v>9.6412037037037039E-3</v>
      </c>
      <c r="C8" s="24" t="s">
        <v>543</v>
      </c>
      <c r="D8" t="s">
        <v>550</v>
      </c>
      <c r="E8" t="s">
        <v>192</v>
      </c>
      <c r="F8" t="s">
        <v>50</v>
      </c>
      <c r="G8">
        <v>14</v>
      </c>
      <c r="H8">
        <v>46.67</v>
      </c>
      <c r="I8">
        <v>0</v>
      </c>
      <c r="J8" t="s">
        <v>575</v>
      </c>
    </row>
    <row r="9" spans="1:10" x14ac:dyDescent="0.25">
      <c r="A9" s="23">
        <v>43390.570833333331</v>
      </c>
      <c r="B9" s="22">
        <v>9.7106481481481471E-3</v>
      </c>
      <c r="C9" s="24" t="s">
        <v>543</v>
      </c>
      <c r="D9" t="s">
        <v>549</v>
      </c>
      <c r="E9" t="s">
        <v>507</v>
      </c>
      <c r="F9" t="s">
        <v>50</v>
      </c>
      <c r="G9">
        <v>22</v>
      </c>
      <c r="H9">
        <v>73.33</v>
      </c>
      <c r="I9">
        <v>2</v>
      </c>
      <c r="J9" t="s">
        <v>576</v>
      </c>
    </row>
    <row r="10" spans="1:10" x14ac:dyDescent="0.25">
      <c r="A10" s="23">
        <v>43397.340277777781</v>
      </c>
      <c r="B10" s="22">
        <v>9.4675925925925917E-3</v>
      </c>
      <c r="C10" s="24" t="s">
        <v>543</v>
      </c>
      <c r="D10" t="s">
        <v>546</v>
      </c>
      <c r="E10" t="s">
        <v>472</v>
      </c>
      <c r="F10" t="s">
        <v>50</v>
      </c>
      <c r="G10">
        <v>19</v>
      </c>
      <c r="H10">
        <v>63.33</v>
      </c>
      <c r="I10">
        <v>1</v>
      </c>
      <c r="J10" t="s">
        <v>576</v>
      </c>
    </row>
    <row r="11" spans="1:10" x14ac:dyDescent="0.25">
      <c r="A11" s="23">
        <v>43390.564583333333</v>
      </c>
      <c r="B11" s="22">
        <v>8.9699074074074073E-3</v>
      </c>
      <c r="C11" s="24" t="s">
        <v>543</v>
      </c>
      <c r="D11" t="s">
        <v>525</v>
      </c>
      <c r="E11" t="s">
        <v>443</v>
      </c>
      <c r="F11" t="s">
        <v>50</v>
      </c>
      <c r="G11">
        <v>26</v>
      </c>
      <c r="H11">
        <v>86.67</v>
      </c>
      <c r="I11">
        <v>3</v>
      </c>
      <c r="J11" t="s">
        <v>576</v>
      </c>
    </row>
    <row r="12" spans="1:10" x14ac:dyDescent="0.25">
      <c r="A12" s="23">
        <v>43397.347222222219</v>
      </c>
      <c r="B12" s="22">
        <v>1.0393518518518519E-2</v>
      </c>
      <c r="C12" s="24" t="s">
        <v>543</v>
      </c>
      <c r="D12" t="s">
        <v>542</v>
      </c>
      <c r="E12" t="s">
        <v>443</v>
      </c>
      <c r="F12" t="s">
        <v>50</v>
      </c>
      <c r="G12">
        <v>20</v>
      </c>
      <c r="H12">
        <v>66.67</v>
      </c>
      <c r="I12">
        <v>1</v>
      </c>
      <c r="J12" t="s">
        <v>576</v>
      </c>
    </row>
    <row r="13" spans="1:10" x14ac:dyDescent="0.25">
      <c r="A13" s="23">
        <v>43397.407638888886</v>
      </c>
      <c r="B13" s="22">
        <v>1.037037037037037E-2</v>
      </c>
      <c r="C13" s="24" t="s">
        <v>543</v>
      </c>
      <c r="D13" t="s">
        <v>565</v>
      </c>
      <c r="E13" t="s">
        <v>564</v>
      </c>
      <c r="F13" t="s">
        <v>87</v>
      </c>
      <c r="G13">
        <v>16</v>
      </c>
      <c r="H13">
        <v>53.33</v>
      </c>
      <c r="I13">
        <v>0</v>
      </c>
      <c r="J13" t="s">
        <v>575</v>
      </c>
    </row>
    <row r="14" spans="1:10" x14ac:dyDescent="0.25">
      <c r="A14" s="23">
        <v>43397.339583333334</v>
      </c>
      <c r="B14" s="22">
        <v>1.0324074074074074E-2</v>
      </c>
      <c r="C14" s="24" t="s">
        <v>543</v>
      </c>
      <c r="D14" t="s">
        <v>563</v>
      </c>
      <c r="E14" t="s">
        <v>562</v>
      </c>
      <c r="F14" t="s">
        <v>87</v>
      </c>
      <c r="G14">
        <v>18</v>
      </c>
      <c r="H14">
        <v>60</v>
      </c>
      <c r="I14">
        <v>1</v>
      </c>
      <c r="J14" t="s">
        <v>576</v>
      </c>
    </row>
    <row r="15" spans="1:10" x14ac:dyDescent="0.25">
      <c r="A15" s="23">
        <v>43390.536111111112</v>
      </c>
      <c r="B15" s="22">
        <v>7.789351851851852E-3</v>
      </c>
      <c r="C15" s="24" t="s">
        <v>543</v>
      </c>
      <c r="D15" t="s">
        <v>561</v>
      </c>
      <c r="E15" t="s">
        <v>560</v>
      </c>
      <c r="F15" t="s">
        <v>87</v>
      </c>
      <c r="G15">
        <v>24</v>
      </c>
      <c r="H15">
        <v>80</v>
      </c>
      <c r="I15">
        <v>3</v>
      </c>
      <c r="J15" t="s">
        <v>576</v>
      </c>
    </row>
    <row r="16" spans="1:10" x14ac:dyDescent="0.25">
      <c r="A16" s="23">
        <v>43390.583333333336</v>
      </c>
      <c r="B16" s="22">
        <v>1.0231481481481482E-2</v>
      </c>
      <c r="C16" s="24" t="s">
        <v>543</v>
      </c>
      <c r="D16" t="s">
        <v>558</v>
      </c>
      <c r="E16" t="s">
        <v>557</v>
      </c>
      <c r="F16" t="s">
        <v>87</v>
      </c>
      <c r="G16">
        <v>21</v>
      </c>
      <c r="H16">
        <v>70</v>
      </c>
      <c r="I16">
        <v>2</v>
      </c>
      <c r="J16" t="s">
        <v>576</v>
      </c>
    </row>
    <row r="17" spans="1:10" x14ac:dyDescent="0.25">
      <c r="A17" s="23">
        <v>43390.574305555558</v>
      </c>
      <c r="B17" s="22">
        <v>8.8657407407407417E-3</v>
      </c>
      <c r="C17" s="24" t="s">
        <v>543</v>
      </c>
      <c r="D17" t="s">
        <v>555</v>
      </c>
      <c r="E17" t="s">
        <v>552</v>
      </c>
      <c r="F17" t="s">
        <v>87</v>
      </c>
      <c r="G17">
        <v>10</v>
      </c>
      <c r="H17">
        <v>33.33</v>
      </c>
      <c r="I17">
        <v>0</v>
      </c>
      <c r="J17" t="s">
        <v>575</v>
      </c>
    </row>
    <row r="18" spans="1:10" x14ac:dyDescent="0.25">
      <c r="A18" s="23">
        <v>43397.345833333333</v>
      </c>
      <c r="B18" s="22">
        <v>8.564814814814815E-3</v>
      </c>
      <c r="C18" s="24" t="s">
        <v>543</v>
      </c>
      <c r="D18" t="s">
        <v>553</v>
      </c>
      <c r="E18" t="s">
        <v>552</v>
      </c>
      <c r="F18" t="s">
        <v>87</v>
      </c>
      <c r="G18">
        <v>21</v>
      </c>
      <c r="H18">
        <v>70</v>
      </c>
      <c r="I18">
        <v>2</v>
      </c>
      <c r="J18" t="s">
        <v>576</v>
      </c>
    </row>
    <row r="19" spans="1:10" x14ac:dyDescent="0.25">
      <c r="A19" s="23">
        <v>43397.338888888888</v>
      </c>
      <c r="B19" s="22">
        <v>9.7916666666666655E-3</v>
      </c>
      <c r="C19" s="24" t="s">
        <v>543</v>
      </c>
      <c r="D19" t="s">
        <v>548</v>
      </c>
      <c r="E19" t="s">
        <v>547</v>
      </c>
      <c r="F19" t="s">
        <v>87</v>
      </c>
      <c r="G19">
        <v>17</v>
      </c>
      <c r="H19">
        <v>56.67</v>
      </c>
      <c r="I19">
        <v>0</v>
      </c>
      <c r="J19" t="s">
        <v>575</v>
      </c>
    </row>
    <row r="20" spans="1:10" x14ac:dyDescent="0.25">
      <c r="A20" s="23">
        <v>43390.584027777775</v>
      </c>
      <c r="B20" s="22">
        <v>1.0243055555555556E-2</v>
      </c>
      <c r="C20" s="24" t="s">
        <v>543</v>
      </c>
      <c r="D20" t="s">
        <v>545</v>
      </c>
      <c r="E20" t="s">
        <v>544</v>
      </c>
      <c r="F20" t="s">
        <v>87</v>
      </c>
      <c r="G20">
        <v>16</v>
      </c>
      <c r="H20">
        <v>53.33</v>
      </c>
      <c r="I20">
        <v>0</v>
      </c>
      <c r="J20" t="s">
        <v>575</v>
      </c>
    </row>
    <row r="21" spans="1:10" x14ac:dyDescent="0.25">
      <c r="A21" s="23">
        <v>43392.255555555559</v>
      </c>
      <c r="B21" s="22">
        <v>8.5995370370370357E-3</v>
      </c>
      <c r="C21" s="24" t="s">
        <v>517</v>
      </c>
      <c r="D21" t="s">
        <v>539</v>
      </c>
      <c r="E21" t="s">
        <v>472</v>
      </c>
      <c r="F21" t="s">
        <v>50</v>
      </c>
      <c r="G21">
        <v>19</v>
      </c>
      <c r="H21">
        <v>63.33</v>
      </c>
      <c r="I21">
        <v>1</v>
      </c>
      <c r="J21" t="s">
        <v>576</v>
      </c>
    </row>
    <row r="22" spans="1:10" x14ac:dyDescent="0.25">
      <c r="A22" s="23">
        <v>43397.496527777781</v>
      </c>
      <c r="B22" s="22">
        <v>9.6412037037037039E-3</v>
      </c>
      <c r="C22" s="24" t="s">
        <v>517</v>
      </c>
      <c r="D22" t="s">
        <v>538</v>
      </c>
      <c r="E22" t="s">
        <v>132</v>
      </c>
      <c r="F22" t="s">
        <v>50</v>
      </c>
      <c r="G22">
        <v>20</v>
      </c>
      <c r="H22">
        <v>66.67</v>
      </c>
      <c r="I22">
        <v>1</v>
      </c>
      <c r="J22" t="s">
        <v>576</v>
      </c>
    </row>
    <row r="23" spans="1:10" x14ac:dyDescent="0.25">
      <c r="A23" s="23">
        <v>43397.505555555559</v>
      </c>
      <c r="B23" s="22">
        <v>5.4976851851851853E-3</v>
      </c>
      <c r="C23" s="24" t="s">
        <v>517</v>
      </c>
      <c r="D23" t="s">
        <v>537</v>
      </c>
      <c r="E23" t="s">
        <v>443</v>
      </c>
      <c r="F23" t="s">
        <v>50</v>
      </c>
      <c r="G23">
        <v>25</v>
      </c>
      <c r="H23">
        <v>83.33</v>
      </c>
      <c r="I23">
        <v>3</v>
      </c>
      <c r="J23" t="s">
        <v>576</v>
      </c>
    </row>
    <row r="24" spans="1:10" x14ac:dyDescent="0.25">
      <c r="A24" s="23">
        <v>43392.265277777777</v>
      </c>
      <c r="B24" s="22">
        <v>9.3518518518518525E-3</v>
      </c>
      <c r="C24" s="24" t="s">
        <v>517</v>
      </c>
      <c r="D24" t="s">
        <v>536</v>
      </c>
      <c r="E24" t="s">
        <v>524</v>
      </c>
      <c r="F24" t="s">
        <v>50</v>
      </c>
      <c r="G24">
        <v>22</v>
      </c>
      <c r="H24">
        <v>73.33</v>
      </c>
      <c r="I24">
        <v>2</v>
      </c>
      <c r="J24" t="s">
        <v>576</v>
      </c>
    </row>
    <row r="25" spans="1:10" x14ac:dyDescent="0.25">
      <c r="A25" s="23">
        <v>43392.290277777778</v>
      </c>
      <c r="B25" s="22">
        <v>8.7962962962962968E-3</v>
      </c>
      <c r="C25" s="24" t="s">
        <v>517</v>
      </c>
      <c r="D25" t="s">
        <v>535</v>
      </c>
      <c r="E25" t="s">
        <v>101</v>
      </c>
      <c r="F25" t="s">
        <v>50</v>
      </c>
      <c r="G25">
        <v>17</v>
      </c>
      <c r="H25">
        <v>56.67</v>
      </c>
      <c r="I25">
        <v>0</v>
      </c>
      <c r="J25" t="s">
        <v>575</v>
      </c>
    </row>
    <row r="26" spans="1:10" x14ac:dyDescent="0.25">
      <c r="A26" s="23">
        <v>43392.253472222219</v>
      </c>
      <c r="B26" s="22">
        <v>7.69675925925926E-3</v>
      </c>
      <c r="C26" s="24" t="s">
        <v>517</v>
      </c>
      <c r="D26" t="s">
        <v>534</v>
      </c>
      <c r="E26" t="s">
        <v>532</v>
      </c>
      <c r="F26" t="s">
        <v>50</v>
      </c>
      <c r="G26">
        <v>19</v>
      </c>
      <c r="H26">
        <v>63.33</v>
      </c>
      <c r="I26">
        <v>1</v>
      </c>
      <c r="J26" t="s">
        <v>576</v>
      </c>
    </row>
    <row r="27" spans="1:10" x14ac:dyDescent="0.25">
      <c r="A27" s="23">
        <v>43392.277083333334</v>
      </c>
      <c r="B27" s="22">
        <v>6.6203703703703702E-3</v>
      </c>
      <c r="C27" s="24" t="s">
        <v>517</v>
      </c>
      <c r="D27" t="s">
        <v>533</v>
      </c>
      <c r="E27" t="s">
        <v>532</v>
      </c>
      <c r="F27" t="s">
        <v>50</v>
      </c>
      <c r="G27">
        <v>21</v>
      </c>
      <c r="H27">
        <v>70</v>
      </c>
      <c r="I27">
        <v>2</v>
      </c>
      <c r="J27" t="s">
        <v>576</v>
      </c>
    </row>
    <row r="28" spans="1:10" x14ac:dyDescent="0.25">
      <c r="A28" s="23">
        <v>43397.495138888888</v>
      </c>
      <c r="B28" s="22">
        <v>8.8310185185185176E-3</v>
      </c>
      <c r="C28" s="24" t="s">
        <v>517</v>
      </c>
      <c r="D28" t="s">
        <v>531</v>
      </c>
      <c r="E28" t="s">
        <v>168</v>
      </c>
      <c r="F28" t="s">
        <v>50</v>
      </c>
      <c r="G28">
        <v>24</v>
      </c>
      <c r="H28">
        <v>80</v>
      </c>
      <c r="I28">
        <v>3</v>
      </c>
      <c r="J28" t="s">
        <v>576</v>
      </c>
    </row>
    <row r="29" spans="1:10" x14ac:dyDescent="0.25">
      <c r="A29" s="23">
        <v>43392.261111111111</v>
      </c>
      <c r="B29" s="22">
        <v>8.2638888888888883E-3</v>
      </c>
      <c r="C29" s="24" t="s">
        <v>517</v>
      </c>
      <c r="D29" t="s">
        <v>530</v>
      </c>
      <c r="E29" t="s">
        <v>529</v>
      </c>
      <c r="F29" t="s">
        <v>50</v>
      </c>
      <c r="G29">
        <v>21</v>
      </c>
      <c r="H29">
        <v>70</v>
      </c>
      <c r="I29">
        <v>2</v>
      </c>
      <c r="J29" t="s">
        <v>576</v>
      </c>
    </row>
    <row r="30" spans="1:10" x14ac:dyDescent="0.25">
      <c r="A30" s="23">
        <v>43397.51458333333</v>
      </c>
      <c r="B30" s="22">
        <v>9.1087962962962971E-3</v>
      </c>
      <c r="C30" s="24" t="s">
        <v>517</v>
      </c>
      <c r="D30" t="s">
        <v>528</v>
      </c>
      <c r="E30" t="s">
        <v>101</v>
      </c>
      <c r="F30" t="s">
        <v>50</v>
      </c>
      <c r="G30">
        <v>14</v>
      </c>
      <c r="H30">
        <v>46.67</v>
      </c>
      <c r="I30">
        <v>0</v>
      </c>
      <c r="J30" t="s">
        <v>575</v>
      </c>
    </row>
    <row r="31" spans="1:10" x14ac:dyDescent="0.25">
      <c r="A31" s="23">
        <v>43392.25277777778</v>
      </c>
      <c r="B31" s="22">
        <v>7.0601851851851841E-3</v>
      </c>
      <c r="C31" s="24" t="s">
        <v>517</v>
      </c>
      <c r="D31" t="s">
        <v>527</v>
      </c>
      <c r="E31" t="s">
        <v>287</v>
      </c>
      <c r="F31" t="s">
        <v>50</v>
      </c>
      <c r="G31">
        <v>24</v>
      </c>
      <c r="H31">
        <v>80</v>
      </c>
      <c r="I31">
        <v>3</v>
      </c>
      <c r="J31" t="s">
        <v>576</v>
      </c>
    </row>
    <row r="32" spans="1:10" x14ac:dyDescent="0.25">
      <c r="A32" s="23">
        <v>43397.495138888888</v>
      </c>
      <c r="B32" s="22">
        <v>9.4444444444444445E-3</v>
      </c>
      <c r="C32" s="24" t="s">
        <v>517</v>
      </c>
      <c r="D32" t="s">
        <v>526</v>
      </c>
      <c r="E32" t="s">
        <v>316</v>
      </c>
      <c r="F32" t="s">
        <v>50</v>
      </c>
      <c r="G32">
        <v>24</v>
      </c>
      <c r="H32">
        <v>80</v>
      </c>
      <c r="I32">
        <v>3</v>
      </c>
      <c r="J32" t="s">
        <v>576</v>
      </c>
    </row>
    <row r="33" spans="1:10" x14ac:dyDescent="0.25">
      <c r="A33" s="23">
        <v>43397.493055555555</v>
      </c>
      <c r="B33" s="22">
        <v>8.1828703703703699E-3</v>
      </c>
      <c r="C33" s="24" t="s">
        <v>517</v>
      </c>
      <c r="D33" t="s">
        <v>525</v>
      </c>
      <c r="E33" t="s">
        <v>524</v>
      </c>
      <c r="F33" t="s">
        <v>50</v>
      </c>
      <c r="G33">
        <v>26</v>
      </c>
      <c r="H33">
        <v>86.67</v>
      </c>
      <c r="I33">
        <v>3</v>
      </c>
      <c r="J33" t="s">
        <v>576</v>
      </c>
    </row>
    <row r="34" spans="1:10" x14ac:dyDescent="0.25">
      <c r="A34" s="23">
        <v>43397.508333333331</v>
      </c>
      <c r="B34" s="22">
        <v>1.0416666666666666E-2</v>
      </c>
      <c r="C34" s="24" t="s">
        <v>517</v>
      </c>
      <c r="D34" t="s">
        <v>523</v>
      </c>
      <c r="E34" t="s">
        <v>522</v>
      </c>
      <c r="F34" t="s">
        <v>50</v>
      </c>
      <c r="G34">
        <v>15</v>
      </c>
      <c r="H34">
        <v>50</v>
      </c>
      <c r="I34">
        <v>0</v>
      </c>
      <c r="J34" t="s">
        <v>575</v>
      </c>
    </row>
    <row r="35" spans="1:10" x14ac:dyDescent="0.25">
      <c r="A35" s="23">
        <v>43392.263888888891</v>
      </c>
      <c r="B35" s="22">
        <v>6.6782407407407415E-3</v>
      </c>
      <c r="C35" s="24" t="s">
        <v>517</v>
      </c>
      <c r="D35" t="s">
        <v>521</v>
      </c>
      <c r="E35" t="s">
        <v>60</v>
      </c>
      <c r="F35" t="s">
        <v>50</v>
      </c>
      <c r="G35">
        <v>27</v>
      </c>
      <c r="H35">
        <v>90</v>
      </c>
      <c r="I35">
        <v>3</v>
      </c>
      <c r="J35" t="s">
        <v>576</v>
      </c>
    </row>
    <row r="36" spans="1:10" x14ac:dyDescent="0.25">
      <c r="A36" s="23">
        <v>43397.498611111114</v>
      </c>
      <c r="B36" s="22">
        <v>9.4444444444444445E-3</v>
      </c>
      <c r="C36" s="24" t="s">
        <v>517</v>
      </c>
      <c r="D36" t="s">
        <v>520</v>
      </c>
      <c r="E36" t="s">
        <v>491</v>
      </c>
      <c r="F36" t="s">
        <v>50</v>
      </c>
      <c r="G36">
        <v>21</v>
      </c>
      <c r="H36">
        <v>70</v>
      </c>
      <c r="I36">
        <v>2</v>
      </c>
      <c r="J36" t="s">
        <v>576</v>
      </c>
    </row>
    <row r="37" spans="1:10" x14ac:dyDescent="0.25">
      <c r="A37" s="23">
        <v>43397.496527777781</v>
      </c>
      <c r="B37" s="22">
        <v>9.618055555555555E-3</v>
      </c>
      <c r="C37" s="24" t="s">
        <v>517</v>
      </c>
      <c r="D37" t="s">
        <v>519</v>
      </c>
      <c r="E37" t="s">
        <v>482</v>
      </c>
      <c r="F37" t="s">
        <v>50</v>
      </c>
      <c r="G37">
        <v>22</v>
      </c>
      <c r="H37">
        <v>73.33</v>
      </c>
      <c r="I37">
        <v>2</v>
      </c>
      <c r="J37" t="s">
        <v>576</v>
      </c>
    </row>
    <row r="38" spans="1:10" x14ac:dyDescent="0.25">
      <c r="A38" s="23">
        <v>43397.493750000001</v>
      </c>
      <c r="B38" s="22">
        <v>9.1550925925925931E-3</v>
      </c>
      <c r="C38" s="24" t="s">
        <v>517</v>
      </c>
      <c r="D38" t="s">
        <v>475</v>
      </c>
      <c r="E38" t="s">
        <v>518</v>
      </c>
      <c r="F38" t="s">
        <v>50</v>
      </c>
      <c r="G38">
        <v>23</v>
      </c>
      <c r="H38">
        <v>76.67</v>
      </c>
      <c r="I38">
        <v>2</v>
      </c>
      <c r="J38" t="s">
        <v>576</v>
      </c>
    </row>
    <row r="39" spans="1:10" x14ac:dyDescent="0.25">
      <c r="A39" s="23">
        <v>43397.505555555559</v>
      </c>
      <c r="B39" s="22">
        <v>8.8657407407407417E-3</v>
      </c>
      <c r="C39" s="24" t="s">
        <v>517</v>
      </c>
      <c r="D39" t="s">
        <v>516</v>
      </c>
      <c r="E39" t="s">
        <v>299</v>
      </c>
      <c r="F39" t="s">
        <v>50</v>
      </c>
      <c r="G39">
        <v>27</v>
      </c>
      <c r="H39">
        <v>90</v>
      </c>
      <c r="I39">
        <v>3</v>
      </c>
      <c r="J39" t="s">
        <v>576</v>
      </c>
    </row>
    <row r="40" spans="1:10" x14ac:dyDescent="0.25">
      <c r="A40" s="23">
        <v>43392.254861111112</v>
      </c>
      <c r="B40" s="22">
        <v>8.1249999999999985E-3</v>
      </c>
      <c r="C40" s="24" t="s">
        <v>517</v>
      </c>
      <c r="D40" t="s">
        <v>541</v>
      </c>
      <c r="E40" t="s">
        <v>540</v>
      </c>
      <c r="F40" t="s">
        <v>87</v>
      </c>
      <c r="G40">
        <v>21</v>
      </c>
      <c r="H40">
        <v>70</v>
      </c>
      <c r="I40">
        <v>2</v>
      </c>
      <c r="J40" t="s">
        <v>576</v>
      </c>
    </row>
    <row r="41" spans="1:10" x14ac:dyDescent="0.25">
      <c r="A41" s="23">
        <v>43391.338194444441</v>
      </c>
      <c r="B41" s="22">
        <v>7.8125E-3</v>
      </c>
      <c r="C41" s="24" t="s">
        <v>493</v>
      </c>
      <c r="D41" t="s">
        <v>515</v>
      </c>
      <c r="E41" t="s">
        <v>482</v>
      </c>
      <c r="F41" t="s">
        <v>50</v>
      </c>
      <c r="G41">
        <v>22</v>
      </c>
      <c r="H41">
        <v>73.33</v>
      </c>
      <c r="I41">
        <v>2</v>
      </c>
      <c r="J41" t="s">
        <v>576</v>
      </c>
    </row>
    <row r="42" spans="1:10" x14ac:dyDescent="0.25">
      <c r="A42" s="23">
        <v>43398.331944444442</v>
      </c>
      <c r="B42" s="22">
        <v>8.4722222222222213E-3</v>
      </c>
      <c r="C42" s="24" t="s">
        <v>493</v>
      </c>
      <c r="D42" t="s">
        <v>514</v>
      </c>
      <c r="E42" t="s">
        <v>496</v>
      </c>
      <c r="F42" t="s">
        <v>50</v>
      </c>
      <c r="G42">
        <v>24</v>
      </c>
      <c r="H42">
        <v>80</v>
      </c>
      <c r="I42">
        <v>3</v>
      </c>
      <c r="J42" t="s">
        <v>576</v>
      </c>
    </row>
    <row r="43" spans="1:10" x14ac:dyDescent="0.25">
      <c r="A43" s="23">
        <v>43391.363194444442</v>
      </c>
      <c r="B43" s="22">
        <v>9.3287037037037036E-3</v>
      </c>
      <c r="C43" s="24" t="s">
        <v>493</v>
      </c>
      <c r="D43" t="s">
        <v>513</v>
      </c>
      <c r="E43" t="s">
        <v>101</v>
      </c>
      <c r="F43" t="s">
        <v>50</v>
      </c>
      <c r="G43">
        <v>20</v>
      </c>
      <c r="H43">
        <v>66.67</v>
      </c>
      <c r="I43">
        <v>1</v>
      </c>
      <c r="J43" t="s">
        <v>576</v>
      </c>
    </row>
    <row r="44" spans="1:10" x14ac:dyDescent="0.25">
      <c r="A44" s="23">
        <v>43391.378472222219</v>
      </c>
      <c r="B44" s="22">
        <v>1.0405092592592593E-2</v>
      </c>
      <c r="C44" s="24" t="s">
        <v>493</v>
      </c>
      <c r="D44" t="s">
        <v>512</v>
      </c>
      <c r="E44" t="s">
        <v>511</v>
      </c>
      <c r="F44" t="s">
        <v>50</v>
      </c>
      <c r="G44">
        <v>13</v>
      </c>
      <c r="H44">
        <v>43.33</v>
      </c>
      <c r="I44">
        <v>0</v>
      </c>
      <c r="J44" t="s">
        <v>575</v>
      </c>
    </row>
    <row r="45" spans="1:10" x14ac:dyDescent="0.25">
      <c r="A45" s="23">
        <v>43398.338194444441</v>
      </c>
      <c r="B45" s="22">
        <v>6.5740740740740733E-3</v>
      </c>
      <c r="C45" s="24" t="s">
        <v>493</v>
      </c>
      <c r="D45" t="s">
        <v>510</v>
      </c>
      <c r="E45" t="s">
        <v>509</v>
      </c>
      <c r="F45" t="s">
        <v>50</v>
      </c>
      <c r="G45">
        <v>16</v>
      </c>
      <c r="H45">
        <v>53.33</v>
      </c>
      <c r="I45">
        <v>0</v>
      </c>
      <c r="J45" t="s">
        <v>575</v>
      </c>
    </row>
    <row r="46" spans="1:10" x14ac:dyDescent="0.25">
      <c r="A46" s="23">
        <v>43398.340277777781</v>
      </c>
      <c r="B46" s="22">
        <v>8.2291666666666659E-3</v>
      </c>
      <c r="C46" s="24" t="s">
        <v>493</v>
      </c>
      <c r="D46" t="s">
        <v>508</v>
      </c>
      <c r="E46" t="s">
        <v>507</v>
      </c>
      <c r="F46" t="s">
        <v>50</v>
      </c>
      <c r="G46">
        <v>22</v>
      </c>
      <c r="H46">
        <v>73.33</v>
      </c>
      <c r="I46">
        <v>2</v>
      </c>
      <c r="J46" t="s">
        <v>576</v>
      </c>
    </row>
    <row r="47" spans="1:10" x14ac:dyDescent="0.25">
      <c r="A47" s="23">
        <v>43398.345138888886</v>
      </c>
      <c r="B47" s="22">
        <v>9.0624999999999994E-3</v>
      </c>
      <c r="C47" s="24" t="s">
        <v>493</v>
      </c>
      <c r="D47" t="s">
        <v>506</v>
      </c>
      <c r="E47" t="s">
        <v>185</v>
      </c>
      <c r="F47" t="s">
        <v>50</v>
      </c>
      <c r="G47">
        <v>19</v>
      </c>
      <c r="H47">
        <v>63.33</v>
      </c>
      <c r="I47">
        <v>1</v>
      </c>
      <c r="J47" t="s">
        <v>576</v>
      </c>
    </row>
    <row r="48" spans="1:10" x14ac:dyDescent="0.25">
      <c r="A48" s="23">
        <v>43398.333333333336</v>
      </c>
      <c r="B48" s="22">
        <v>9.7106481481481471E-3</v>
      </c>
      <c r="C48" s="24" t="s">
        <v>493</v>
      </c>
      <c r="D48" t="s">
        <v>505</v>
      </c>
      <c r="E48" t="s">
        <v>60</v>
      </c>
      <c r="F48" t="s">
        <v>50</v>
      </c>
      <c r="G48">
        <v>16</v>
      </c>
      <c r="H48">
        <v>53.33</v>
      </c>
      <c r="I48">
        <v>0</v>
      </c>
      <c r="J48" t="s">
        <v>575</v>
      </c>
    </row>
    <row r="49" spans="1:10" x14ac:dyDescent="0.25">
      <c r="A49" s="23">
        <v>43391.34375</v>
      </c>
      <c r="B49" s="22">
        <v>8.9583333333333338E-3</v>
      </c>
      <c r="C49" s="24" t="s">
        <v>493</v>
      </c>
      <c r="D49" t="s">
        <v>504</v>
      </c>
      <c r="E49" t="s">
        <v>472</v>
      </c>
      <c r="F49" t="s">
        <v>50</v>
      </c>
      <c r="G49">
        <v>26</v>
      </c>
      <c r="H49">
        <v>86.67</v>
      </c>
      <c r="I49">
        <v>3</v>
      </c>
      <c r="J49" t="s">
        <v>576</v>
      </c>
    </row>
    <row r="50" spans="1:10" x14ac:dyDescent="0.25">
      <c r="A50" s="23">
        <v>43398.336805555555</v>
      </c>
      <c r="B50" s="22">
        <v>1.0405092592592593E-2</v>
      </c>
      <c r="C50" s="24" t="s">
        <v>493</v>
      </c>
      <c r="D50" t="s">
        <v>503</v>
      </c>
      <c r="E50" t="s">
        <v>443</v>
      </c>
      <c r="F50" t="s">
        <v>50</v>
      </c>
      <c r="G50">
        <v>25</v>
      </c>
      <c r="H50">
        <v>83.33</v>
      </c>
      <c r="I50">
        <v>3</v>
      </c>
      <c r="J50" t="s">
        <v>576</v>
      </c>
    </row>
    <row r="51" spans="1:10" x14ac:dyDescent="0.25">
      <c r="A51" s="23">
        <v>43391.35</v>
      </c>
      <c r="B51" s="22">
        <v>9.432870370370371E-3</v>
      </c>
      <c r="C51" s="24" t="s">
        <v>493</v>
      </c>
      <c r="D51" t="s">
        <v>502</v>
      </c>
      <c r="E51" t="s">
        <v>443</v>
      </c>
      <c r="F51" t="s">
        <v>50</v>
      </c>
      <c r="G51">
        <v>21</v>
      </c>
      <c r="H51">
        <v>70</v>
      </c>
      <c r="I51">
        <v>2</v>
      </c>
      <c r="J51" t="s">
        <v>576</v>
      </c>
    </row>
    <row r="52" spans="1:10" x14ac:dyDescent="0.25">
      <c r="A52" s="23">
        <v>43398.34375</v>
      </c>
      <c r="B52" s="22">
        <v>1.0023148148148147E-2</v>
      </c>
      <c r="C52" s="24" t="s">
        <v>493</v>
      </c>
      <c r="D52" t="s">
        <v>501</v>
      </c>
      <c r="E52" t="s">
        <v>500</v>
      </c>
      <c r="F52" t="s">
        <v>50</v>
      </c>
      <c r="G52">
        <v>16</v>
      </c>
      <c r="H52">
        <v>53.33</v>
      </c>
      <c r="I52">
        <v>0</v>
      </c>
      <c r="J52" t="s">
        <v>575</v>
      </c>
    </row>
    <row r="53" spans="1:10" x14ac:dyDescent="0.25">
      <c r="A53" s="23">
        <v>43398.340277777781</v>
      </c>
      <c r="B53" s="22">
        <v>8.8657407407407417E-3</v>
      </c>
      <c r="C53" s="24" t="s">
        <v>493</v>
      </c>
      <c r="D53" t="s">
        <v>499</v>
      </c>
      <c r="E53" t="s">
        <v>472</v>
      </c>
      <c r="F53" t="s">
        <v>50</v>
      </c>
      <c r="G53">
        <v>22</v>
      </c>
      <c r="H53">
        <v>73.33</v>
      </c>
      <c r="I53">
        <v>2</v>
      </c>
      <c r="J53" t="s">
        <v>576</v>
      </c>
    </row>
    <row r="54" spans="1:10" x14ac:dyDescent="0.25">
      <c r="A54" s="23">
        <v>43398.336805555555</v>
      </c>
      <c r="B54" s="22">
        <v>9.7453703703703713E-3</v>
      </c>
      <c r="C54" s="24" t="s">
        <v>493</v>
      </c>
      <c r="D54" t="s">
        <v>498</v>
      </c>
      <c r="E54" t="s">
        <v>416</v>
      </c>
      <c r="F54" t="s">
        <v>50</v>
      </c>
      <c r="G54">
        <v>22</v>
      </c>
      <c r="H54">
        <v>73.33</v>
      </c>
      <c r="I54">
        <v>2</v>
      </c>
      <c r="J54" t="s">
        <v>576</v>
      </c>
    </row>
    <row r="55" spans="1:10" x14ac:dyDescent="0.25">
      <c r="A55" s="23">
        <v>43391.340277777781</v>
      </c>
      <c r="B55" s="22">
        <v>1.005787037037037E-2</v>
      </c>
      <c r="C55" s="24" t="s">
        <v>493</v>
      </c>
      <c r="D55" t="s">
        <v>497</v>
      </c>
      <c r="E55" t="s">
        <v>496</v>
      </c>
      <c r="F55" t="s">
        <v>50</v>
      </c>
      <c r="G55">
        <v>21</v>
      </c>
      <c r="H55">
        <v>70</v>
      </c>
      <c r="I55">
        <v>2</v>
      </c>
      <c r="J55" t="s">
        <v>576</v>
      </c>
    </row>
    <row r="56" spans="1:10" x14ac:dyDescent="0.25">
      <c r="A56" s="23">
        <v>43398.338888888888</v>
      </c>
      <c r="B56" s="22">
        <v>7.4537037037037028E-3</v>
      </c>
      <c r="C56" s="24" t="s">
        <v>493</v>
      </c>
      <c r="D56" t="s">
        <v>495</v>
      </c>
      <c r="E56" t="s">
        <v>185</v>
      </c>
      <c r="F56" t="s">
        <v>50</v>
      </c>
      <c r="G56">
        <v>17</v>
      </c>
      <c r="H56">
        <v>56.67</v>
      </c>
      <c r="I56">
        <v>0</v>
      </c>
      <c r="J56" t="s">
        <v>575</v>
      </c>
    </row>
    <row r="57" spans="1:10" x14ac:dyDescent="0.25">
      <c r="A57" s="23">
        <v>43398.336111111108</v>
      </c>
      <c r="B57" s="22">
        <v>1.0011574074074074E-2</v>
      </c>
      <c r="C57" s="24" t="s">
        <v>493</v>
      </c>
      <c r="D57" t="s">
        <v>494</v>
      </c>
      <c r="E57" t="s">
        <v>472</v>
      </c>
      <c r="F57" t="s">
        <v>50</v>
      </c>
      <c r="G57">
        <v>25</v>
      </c>
      <c r="H57">
        <v>83.33</v>
      </c>
      <c r="I57">
        <v>3</v>
      </c>
      <c r="J57" t="s">
        <v>576</v>
      </c>
    </row>
    <row r="58" spans="1:10" x14ac:dyDescent="0.25">
      <c r="A58" s="23">
        <v>43398.390277777777</v>
      </c>
      <c r="B58" s="22">
        <v>8.7615740740740744E-3</v>
      </c>
      <c r="C58" s="24" t="s">
        <v>493</v>
      </c>
      <c r="D58" t="s">
        <v>492</v>
      </c>
      <c r="E58" t="s">
        <v>491</v>
      </c>
      <c r="F58" t="s">
        <v>50</v>
      </c>
      <c r="G58">
        <v>23</v>
      </c>
      <c r="H58">
        <v>76.67</v>
      </c>
      <c r="I58">
        <v>2</v>
      </c>
      <c r="J58" t="s">
        <v>576</v>
      </c>
    </row>
    <row r="59" spans="1:10" x14ac:dyDescent="0.25">
      <c r="A59" s="23">
        <v>43399.272222222222</v>
      </c>
      <c r="B59" s="22">
        <v>9.8263888888888897E-3</v>
      </c>
      <c r="C59" s="24" t="s">
        <v>471</v>
      </c>
      <c r="D59" t="s">
        <v>490</v>
      </c>
      <c r="E59" t="s">
        <v>489</v>
      </c>
      <c r="F59" t="s">
        <v>50</v>
      </c>
      <c r="G59">
        <v>13</v>
      </c>
      <c r="H59">
        <v>43.33</v>
      </c>
      <c r="I59">
        <v>0</v>
      </c>
      <c r="J59" t="s">
        <v>575</v>
      </c>
    </row>
    <row r="60" spans="1:10" x14ac:dyDescent="0.25">
      <c r="A60" s="23">
        <v>43399.277777777781</v>
      </c>
      <c r="B60" s="22">
        <v>9.1203703703703707E-3</v>
      </c>
      <c r="C60" s="24" t="s">
        <v>471</v>
      </c>
      <c r="D60" t="s">
        <v>488</v>
      </c>
      <c r="E60" t="s">
        <v>443</v>
      </c>
      <c r="F60" t="s">
        <v>50</v>
      </c>
      <c r="G60">
        <v>19</v>
      </c>
      <c r="H60">
        <v>63.33</v>
      </c>
      <c r="I60">
        <v>1</v>
      </c>
      <c r="J60" t="s">
        <v>576</v>
      </c>
    </row>
    <row r="61" spans="1:10" x14ac:dyDescent="0.25">
      <c r="A61" s="23">
        <v>43399.257638888892</v>
      </c>
      <c r="B61" s="22">
        <v>6.3773148148148148E-3</v>
      </c>
      <c r="C61" s="24" t="s">
        <v>471</v>
      </c>
      <c r="D61" t="s">
        <v>487</v>
      </c>
      <c r="E61" t="s">
        <v>258</v>
      </c>
      <c r="F61" t="s">
        <v>50</v>
      </c>
      <c r="G61">
        <v>22</v>
      </c>
      <c r="H61">
        <v>73.33</v>
      </c>
      <c r="I61">
        <v>2</v>
      </c>
      <c r="J61" t="s">
        <v>576</v>
      </c>
    </row>
    <row r="62" spans="1:10" x14ac:dyDescent="0.25">
      <c r="A62" s="23">
        <v>43399.268055555556</v>
      </c>
      <c r="B62" s="22">
        <v>1.0416666666666666E-2</v>
      </c>
      <c r="C62" s="24" t="s">
        <v>471</v>
      </c>
      <c r="D62" t="s">
        <v>486</v>
      </c>
      <c r="E62" t="s">
        <v>316</v>
      </c>
      <c r="F62" t="s">
        <v>50</v>
      </c>
      <c r="G62">
        <v>23</v>
      </c>
      <c r="H62">
        <v>76.67</v>
      </c>
      <c r="I62">
        <v>2</v>
      </c>
      <c r="J62" t="s">
        <v>576</v>
      </c>
    </row>
    <row r="63" spans="1:10" x14ac:dyDescent="0.25">
      <c r="A63" s="23">
        <v>43399.261805555558</v>
      </c>
      <c r="B63" s="22">
        <v>7.3958333333333341E-3</v>
      </c>
      <c r="C63" s="24" t="s">
        <v>471</v>
      </c>
      <c r="D63" t="s">
        <v>485</v>
      </c>
      <c r="E63" t="s">
        <v>101</v>
      </c>
      <c r="F63" t="s">
        <v>50</v>
      </c>
      <c r="G63">
        <v>19</v>
      </c>
      <c r="H63">
        <v>63.33</v>
      </c>
      <c r="I63">
        <v>1</v>
      </c>
      <c r="J63" t="s">
        <v>576</v>
      </c>
    </row>
    <row r="64" spans="1:10" x14ac:dyDescent="0.25">
      <c r="A64" s="23">
        <v>43399.302083333336</v>
      </c>
      <c r="B64" s="22">
        <v>9.2361111111111116E-3</v>
      </c>
      <c r="C64" s="24" t="s">
        <v>471</v>
      </c>
      <c r="D64" t="s">
        <v>484</v>
      </c>
      <c r="E64" t="s">
        <v>299</v>
      </c>
      <c r="F64" t="s">
        <v>50</v>
      </c>
      <c r="G64">
        <v>14</v>
      </c>
      <c r="H64">
        <v>46.67</v>
      </c>
      <c r="I64">
        <v>0</v>
      </c>
      <c r="J64" t="s">
        <v>575</v>
      </c>
    </row>
    <row r="65" spans="1:10" x14ac:dyDescent="0.25">
      <c r="A65" s="23">
        <v>43399.271527777775</v>
      </c>
      <c r="B65" s="22">
        <v>9.3171296296296283E-3</v>
      </c>
      <c r="C65" s="24" t="s">
        <v>471</v>
      </c>
      <c r="D65" t="s">
        <v>483</v>
      </c>
      <c r="E65" t="s">
        <v>482</v>
      </c>
      <c r="F65" t="s">
        <v>50</v>
      </c>
      <c r="G65">
        <v>23</v>
      </c>
      <c r="H65">
        <v>76.67</v>
      </c>
      <c r="I65">
        <v>2</v>
      </c>
      <c r="J65" t="s">
        <v>576</v>
      </c>
    </row>
    <row r="66" spans="1:10" x14ac:dyDescent="0.25">
      <c r="A66" s="23">
        <v>43399.302083333336</v>
      </c>
      <c r="B66" s="22">
        <v>4.6180555555555558E-3</v>
      </c>
      <c r="C66" s="24" t="s">
        <v>471</v>
      </c>
      <c r="D66" t="s">
        <v>481</v>
      </c>
      <c r="E66" t="s">
        <v>480</v>
      </c>
      <c r="F66" t="s">
        <v>50</v>
      </c>
      <c r="G66">
        <v>18</v>
      </c>
      <c r="H66">
        <v>60</v>
      </c>
      <c r="I66">
        <v>1</v>
      </c>
      <c r="J66" t="s">
        <v>576</v>
      </c>
    </row>
    <row r="67" spans="1:10" x14ac:dyDescent="0.25">
      <c r="A67" s="23">
        <v>43399.279166666667</v>
      </c>
      <c r="B67" s="22">
        <v>9.9074074074074082E-3</v>
      </c>
      <c r="C67" s="24" t="s">
        <v>471</v>
      </c>
      <c r="D67" t="s">
        <v>479</v>
      </c>
      <c r="E67" t="s">
        <v>478</v>
      </c>
      <c r="F67" t="s">
        <v>50</v>
      </c>
      <c r="G67">
        <v>22</v>
      </c>
      <c r="H67">
        <v>73.33</v>
      </c>
      <c r="I67">
        <v>2</v>
      </c>
      <c r="J67" t="s">
        <v>576</v>
      </c>
    </row>
    <row r="68" spans="1:10" x14ac:dyDescent="0.25">
      <c r="A68" s="23">
        <v>43399.268750000003</v>
      </c>
      <c r="B68" s="22">
        <v>8.113425925925925E-3</v>
      </c>
      <c r="C68" s="24" t="s">
        <v>471</v>
      </c>
      <c r="D68" t="s">
        <v>477</v>
      </c>
      <c r="E68" t="s">
        <v>192</v>
      </c>
      <c r="F68" t="s">
        <v>50</v>
      </c>
      <c r="G68">
        <v>23</v>
      </c>
      <c r="H68">
        <v>76.67</v>
      </c>
      <c r="I68">
        <v>2</v>
      </c>
      <c r="J68" t="s">
        <v>576</v>
      </c>
    </row>
    <row r="69" spans="1:10" x14ac:dyDescent="0.25">
      <c r="A69" s="23">
        <v>43399.267361111109</v>
      </c>
      <c r="B69" s="22">
        <v>5.9143518518518521E-3</v>
      </c>
      <c r="C69" s="24" t="s">
        <v>471</v>
      </c>
      <c r="D69" t="s">
        <v>476</v>
      </c>
      <c r="E69" t="s">
        <v>325</v>
      </c>
      <c r="F69" t="s">
        <v>50</v>
      </c>
      <c r="G69">
        <v>17</v>
      </c>
      <c r="H69">
        <v>56.67</v>
      </c>
      <c r="I69">
        <v>0</v>
      </c>
      <c r="J69" t="s">
        <v>575</v>
      </c>
    </row>
    <row r="70" spans="1:10" x14ac:dyDescent="0.25">
      <c r="A70" s="23">
        <v>43399.269444444442</v>
      </c>
      <c r="B70" s="22">
        <v>7.5810185185185182E-3</v>
      </c>
      <c r="C70" s="24" t="s">
        <v>471</v>
      </c>
      <c r="D70" t="s">
        <v>475</v>
      </c>
      <c r="E70" t="s">
        <v>474</v>
      </c>
      <c r="F70" t="s">
        <v>50</v>
      </c>
      <c r="G70">
        <v>25</v>
      </c>
      <c r="H70">
        <v>83.33</v>
      </c>
      <c r="I70">
        <v>3</v>
      </c>
      <c r="J70" t="s">
        <v>576</v>
      </c>
    </row>
    <row r="71" spans="1:10" x14ac:dyDescent="0.25">
      <c r="A71" s="23">
        <v>43399.267361111109</v>
      </c>
      <c r="B71" s="22">
        <v>8.6805555555555559E-3</v>
      </c>
      <c r="C71" s="24" t="s">
        <v>471</v>
      </c>
      <c r="D71" t="s">
        <v>473</v>
      </c>
      <c r="E71" t="s">
        <v>472</v>
      </c>
      <c r="F71" t="s">
        <v>50</v>
      </c>
      <c r="G71">
        <v>22</v>
      </c>
      <c r="H71">
        <v>73.33</v>
      </c>
      <c r="I71">
        <v>2</v>
      </c>
      <c r="J71" t="s">
        <v>576</v>
      </c>
    </row>
    <row r="72" spans="1:10" x14ac:dyDescent="0.25">
      <c r="A72" s="23">
        <v>43397.405555555553</v>
      </c>
      <c r="B72" s="22">
        <v>7.6620370370370366E-3</v>
      </c>
      <c r="C72" s="24" t="s">
        <v>471</v>
      </c>
      <c r="D72" t="s">
        <v>470</v>
      </c>
      <c r="E72" t="s">
        <v>469</v>
      </c>
      <c r="F72" t="s">
        <v>50</v>
      </c>
      <c r="G72">
        <v>18</v>
      </c>
      <c r="H72">
        <v>60</v>
      </c>
      <c r="I72">
        <v>1</v>
      </c>
      <c r="J72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4</vt:i4>
      </vt:variant>
    </vt:vector>
  </HeadingPairs>
  <TitlesOfParts>
    <vt:vector size="20" baseType="lpstr">
      <vt:lpstr>1</vt:lpstr>
      <vt:lpstr>2</vt:lpstr>
      <vt:lpstr>3 a</vt:lpstr>
      <vt:lpstr>3 b</vt:lpstr>
      <vt:lpstr>4а</vt:lpstr>
      <vt:lpstr>4b</vt:lpstr>
      <vt:lpstr>5</vt:lpstr>
      <vt:lpstr>6</vt:lpstr>
      <vt:lpstr>7</vt:lpstr>
      <vt:lpstr>8 a</vt:lpstr>
      <vt:lpstr>8 b</vt:lpstr>
      <vt:lpstr>8с</vt:lpstr>
      <vt:lpstr>9</vt:lpstr>
      <vt:lpstr>10</vt:lpstr>
      <vt:lpstr>11</vt:lpstr>
      <vt:lpstr>заготовка 11</vt:lpstr>
      <vt:lpstr>'2'!Критерии</vt:lpstr>
      <vt:lpstr>'3 a'!Критерии</vt:lpstr>
      <vt:lpstr>'3 b'!Критерии</vt:lpstr>
      <vt:lpstr>'4b'!Критерии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2014-03-14T10:10:14Z</dcterms:created>
  <dcterms:modified xsi:type="dcterms:W3CDTF">2024-10-11T07:13:55Z</dcterms:modified>
</cp:coreProperties>
</file>