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\\lib16\Students\ПМИб-3\Алекскандров Эрнест\Информационные технологии\Лаба 5 Excel\"/>
    </mc:Choice>
  </mc:AlternateContent>
  <xr:revisionPtr revIDLastSave="0" documentId="13_ncr:1_{CF65A7D2-F0B0-497E-B8A2-48534B4EEA6B}" xr6:coauthVersionLast="36" xr6:coauthVersionMax="36" xr10:uidLastSave="{00000000-0000-0000-0000-000000000000}"/>
  <bookViews>
    <workbookView xWindow="0" yWindow="0" windowWidth="19905" windowHeight="12090" activeTab="8" xr2:uid="{03412F20-E242-4CBB-A0C5-4605699223AD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8" r:id="rId7"/>
    <sheet name="Структура сценария" sheetId="9" r:id="rId8"/>
    <sheet name="Структура сценария 2" sheetId="13" r:id="rId9"/>
    <sheet name="8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0" l="1"/>
  <c r="E9" i="8"/>
  <c r="D9" i="8"/>
  <c r="C9" i="8"/>
  <c r="E8" i="8"/>
  <c r="E7" i="8"/>
  <c r="E6" i="8"/>
  <c r="E5" i="8"/>
  <c r="E4" i="8"/>
  <c r="B4" i="6"/>
  <c r="B5" i="5"/>
  <c r="A6" i="4"/>
  <c r="B4" i="3"/>
  <c r="B4" i="2"/>
  <c r="E5" i="1"/>
  <c r="E6" i="1"/>
  <c r="E7" i="1"/>
  <c r="E8" i="1"/>
  <c r="E9" i="1"/>
  <c r="E4" i="1"/>
  <c r="D9" i="1"/>
  <c r="C9" i="1"/>
</calcChain>
</file>

<file path=xl/sharedStrings.xml><?xml version="1.0" encoding="utf-8"?>
<sst xmlns="http://schemas.openxmlformats.org/spreadsheetml/2006/main" count="87" uniqueCount="61">
  <si>
    <t>Исходные данные</t>
  </si>
  <si>
    <t>Рост объёма продаж</t>
  </si>
  <si>
    <t>Продажи</t>
  </si>
  <si>
    <t>Торговый агент</t>
  </si>
  <si>
    <t>Иванов</t>
  </si>
  <si>
    <t xml:space="preserve">Петров </t>
  </si>
  <si>
    <t>Сидоров</t>
  </si>
  <si>
    <t>Павлов</t>
  </si>
  <si>
    <t>Ильин</t>
  </si>
  <si>
    <t>Общий объём продаж</t>
  </si>
  <si>
    <t>2019 год</t>
  </si>
  <si>
    <t>2020 год</t>
  </si>
  <si>
    <t>2021 год</t>
  </si>
  <si>
    <t>Ежемесячный вклад</t>
  </si>
  <si>
    <t>Срок (в месяцах)</t>
  </si>
  <si>
    <t>Проецентная ставка</t>
  </si>
  <si>
    <t>Сбережения</t>
  </si>
  <si>
    <t>Аренда</t>
  </si>
  <si>
    <t>Доход</t>
  </si>
  <si>
    <t>Процент от дохода</t>
  </si>
  <si>
    <t>Коэффициенты</t>
  </si>
  <si>
    <t>b</t>
  </si>
  <si>
    <t>a</t>
  </si>
  <si>
    <t>Формула</t>
  </si>
  <si>
    <t>x</t>
  </si>
  <si>
    <t>Ссуда на недвижимость</t>
  </si>
  <si>
    <t>Срок (месяцы)</t>
  </si>
  <si>
    <t>Сумма ссуды</t>
  </si>
  <si>
    <t>Процентная ставка</t>
  </si>
  <si>
    <t>Выплаты</t>
  </si>
  <si>
    <t>Прибыль</t>
  </si>
  <si>
    <t>Филиал1</t>
  </si>
  <si>
    <t>Фирма</t>
  </si>
  <si>
    <t>Филиал</t>
  </si>
  <si>
    <t>Доля</t>
  </si>
  <si>
    <t>$C$1</t>
  </si>
  <si>
    <t>$E$4</t>
  </si>
  <si>
    <t>$E$5</t>
  </si>
  <si>
    <t>$E$6</t>
  </si>
  <si>
    <t>$E$7</t>
  </si>
  <si>
    <t>$E$8</t>
  </si>
  <si>
    <t>$E$9</t>
  </si>
  <si>
    <t>Минимальный</t>
  </si>
  <si>
    <t>Автор: Эрнест , 11.10.2024</t>
  </si>
  <si>
    <t>Средний</t>
  </si>
  <si>
    <t>Максимальный</t>
  </si>
  <si>
    <t>Структура сценария</t>
  </si>
  <si>
    <t>Изменяемые:</t>
  </si>
  <si>
    <t>Текущие значения:</t>
  </si>
  <si>
    <t>Результат:</t>
  </si>
  <si>
    <t xml:space="preserve">Примечания: столбец ''Текущие значения'' представляет значения изменяемых ячеек в </t>
  </si>
  <si>
    <t>момент создания Итогового отчета по Сценарию. Изменяемые ячейки для каждого</t>
  </si>
  <si>
    <t>сценария выделены серым цветом.</t>
  </si>
  <si>
    <t>Итог</t>
  </si>
  <si>
    <t>Поставщик3</t>
  </si>
  <si>
    <t>$B$2</t>
  </si>
  <si>
    <t>$B$3</t>
  </si>
  <si>
    <t>Низкий</t>
  </si>
  <si>
    <t>Текущий</t>
  </si>
  <si>
    <t>Автор: Эрнест, 11.10.2024</t>
  </si>
  <si>
    <t>Высокий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</si>
</sst>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5" formatCode="#,##0.00\ &quot;₽&quot;"/>
    <numFmt numFmtId="166" formatCode="0.0%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2"/>
      <color indexed="9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b/>
      <sz val="11"/>
      <color indexed="18"/>
      <name val="Calibri"/>
      <family val="2"/>
      <charset val="204"/>
      <scheme val="minor"/>
    </font>
    <font>
      <sz val="10"/>
      <color indexed="9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10" fontId="3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65" fontId="3" fillId="0" borderId="2" xfId="0" applyNumberFormat="1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165" fontId="4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165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165" fontId="0" fillId="0" borderId="1" xfId="0" applyNumberFormat="1" applyBorder="1"/>
    <xf numFmtId="0" fontId="0" fillId="0" borderId="1" xfId="0" applyBorder="1" applyAlignment="1">
      <alignment wrapText="1"/>
    </xf>
    <xf numFmtId="10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right" vertical="center"/>
    </xf>
    <xf numFmtId="44" fontId="0" fillId="0" borderId="0" xfId="1" applyFont="1" applyAlignment="1">
      <alignment horizontal="left" vertical="center"/>
    </xf>
    <xf numFmtId="44" fontId="0" fillId="0" borderId="1" xfId="1" applyFont="1" applyBorder="1" applyAlignment="1">
      <alignment horizontal="left" vertical="center"/>
    </xf>
    <xf numFmtId="10" fontId="0" fillId="0" borderId="1" xfId="2" applyNumberFormat="1" applyFont="1" applyBorder="1" applyAlignment="1">
      <alignment horizontal="right" vertical="center"/>
    </xf>
    <xf numFmtId="0" fontId="0" fillId="0" borderId="0" xfId="0" applyFill="1" applyBorder="1" applyAlignment="1"/>
    <xf numFmtId="10" fontId="0" fillId="0" borderId="0" xfId="0" applyNumberFormat="1" applyFill="1" applyBorder="1" applyAlignment="1"/>
    <xf numFmtId="165" fontId="0" fillId="0" borderId="0" xfId="0" applyNumberFormat="1" applyFill="1" applyBorder="1" applyAlignment="1"/>
    <xf numFmtId="165" fontId="0" fillId="0" borderId="4" xfId="0" applyNumberFormat="1" applyFill="1" applyBorder="1" applyAlignment="1"/>
    <xf numFmtId="0" fontId="5" fillId="3" borderId="5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0" fillId="0" borderId="6" xfId="0" applyFill="1" applyBorder="1" applyAlignment="1"/>
    <xf numFmtId="0" fontId="6" fillId="4" borderId="0" xfId="0" applyFont="1" applyFill="1" applyBorder="1" applyAlignment="1">
      <alignment horizontal="left"/>
    </xf>
    <xf numFmtId="0" fontId="7" fillId="4" borderId="6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right"/>
    </xf>
    <xf numFmtId="0" fontId="8" fillId="3" borderId="5" xfId="0" applyFont="1" applyFill="1" applyBorder="1" applyAlignment="1">
      <alignment horizontal="right"/>
    </xf>
    <xf numFmtId="10" fontId="0" fillId="5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center"/>
    </xf>
    <xf numFmtId="10" fontId="0" fillId="0" borderId="1" xfId="2" applyNumberFormat="1" applyFont="1" applyBorder="1" applyAlignment="1">
      <alignment horizontal="center" vertical="center"/>
    </xf>
    <xf numFmtId="10" fontId="0" fillId="0" borderId="4" xfId="0" applyNumberFormat="1" applyFill="1" applyBorder="1" applyAlignment="1"/>
    <xf numFmtId="0" fontId="0" fillId="5" borderId="0" xfId="0" applyFill="1" applyBorder="1" applyAlignment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256B0-C6D7-4F5C-BC9F-66D768FE9EF9}">
  <dimension ref="A1:E9"/>
  <sheetViews>
    <sheetView workbookViewId="0">
      <selection activeCell="E9" sqref="E9"/>
    </sheetView>
  </sheetViews>
  <sheetFormatPr defaultRowHeight="15" x14ac:dyDescent="0.25"/>
  <cols>
    <col min="1" max="1" width="17.5703125" style="2" bestFit="1" customWidth="1"/>
    <col min="2" max="2" width="15.42578125" style="2" customWidth="1"/>
    <col min="3" max="4" width="13.28515625" style="2" bestFit="1" customWidth="1"/>
    <col min="5" max="5" width="13.140625" style="2" bestFit="1" customWidth="1"/>
    <col min="6" max="16384" width="9.140625" style="2"/>
  </cols>
  <sheetData>
    <row r="1" spans="1:5" ht="29.25" thickBot="1" x14ac:dyDescent="0.3">
      <c r="A1" s="3" t="s">
        <v>0</v>
      </c>
      <c r="B1" s="4" t="s">
        <v>1</v>
      </c>
      <c r="C1" s="5">
        <v>6.7593948267447537E-2</v>
      </c>
      <c r="D1" s="3"/>
      <c r="E1" s="3"/>
    </row>
    <row r="2" spans="1:5" ht="15.75" thickBot="1" x14ac:dyDescent="0.3">
      <c r="A2" s="3"/>
      <c r="B2" s="3"/>
      <c r="C2" s="3"/>
      <c r="D2" s="3"/>
      <c r="E2" s="3"/>
    </row>
    <row r="3" spans="1:5" ht="15.75" thickBot="1" x14ac:dyDescent="0.3">
      <c r="A3" s="6" t="s">
        <v>2</v>
      </c>
      <c r="B3" s="3" t="s">
        <v>3</v>
      </c>
      <c r="C3" s="6" t="s">
        <v>10</v>
      </c>
      <c r="D3" s="6" t="s">
        <v>11</v>
      </c>
      <c r="E3" s="6" t="s">
        <v>12</v>
      </c>
    </row>
    <row r="4" spans="1:5" ht="15.75" thickBot="1" x14ac:dyDescent="0.3">
      <c r="A4" s="3"/>
      <c r="B4" s="3" t="s">
        <v>4</v>
      </c>
      <c r="C4" s="7">
        <v>22592</v>
      </c>
      <c r="D4" s="7">
        <v>23051</v>
      </c>
      <c r="E4" s="7">
        <f>D4*(1+$C$1)</f>
        <v>24609.108101512931</v>
      </c>
    </row>
    <row r="5" spans="1:5" ht="15.75" thickBot="1" x14ac:dyDescent="0.3">
      <c r="A5" s="3"/>
      <c r="B5" s="3" t="s">
        <v>5</v>
      </c>
      <c r="C5" s="7">
        <v>21383</v>
      </c>
      <c r="D5" s="7">
        <v>21817</v>
      </c>
      <c r="E5" s="7">
        <f t="shared" ref="E5:E9" si="0">D5*(1+$C$1)</f>
        <v>23291.6971693509</v>
      </c>
    </row>
    <row r="6" spans="1:5" ht="15.75" thickBot="1" x14ac:dyDescent="0.3">
      <c r="A6" s="3"/>
      <c r="B6" s="3" t="s">
        <v>6</v>
      </c>
      <c r="C6" s="7">
        <v>26698</v>
      </c>
      <c r="D6" s="7">
        <v>27240</v>
      </c>
      <c r="E6" s="7">
        <f t="shared" si="0"/>
        <v>29081.259150805268</v>
      </c>
    </row>
    <row r="7" spans="1:5" ht="15.75" thickBot="1" x14ac:dyDescent="0.3">
      <c r="A7" s="3"/>
      <c r="B7" s="3" t="s">
        <v>7</v>
      </c>
      <c r="C7" s="7">
        <v>29454</v>
      </c>
      <c r="D7" s="7">
        <v>30052</v>
      </c>
      <c r="E7" s="7">
        <f t="shared" si="0"/>
        <v>32083.333333333332</v>
      </c>
    </row>
    <row r="8" spans="1:5" ht="15.75" thickBot="1" x14ac:dyDescent="0.3">
      <c r="A8" s="3"/>
      <c r="B8" s="3" t="s">
        <v>8</v>
      </c>
      <c r="C8" s="7">
        <v>28399</v>
      </c>
      <c r="D8" s="7">
        <v>28976</v>
      </c>
      <c r="E8" s="7">
        <f t="shared" si="0"/>
        <v>30934.602244997557</v>
      </c>
    </row>
    <row r="9" spans="1:5" ht="30.75" thickBot="1" x14ac:dyDescent="0.3">
      <c r="A9" s="3"/>
      <c r="B9" s="8" t="s">
        <v>9</v>
      </c>
      <c r="C9" s="9">
        <f>SUM(C4:C8)</f>
        <v>128526</v>
      </c>
      <c r="D9" s="9">
        <f>SUM(D4:D8)</f>
        <v>131136</v>
      </c>
      <c r="E9" s="9">
        <f t="shared" si="0"/>
        <v>140000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573A-C433-40F1-8567-CFA290ABA8A2}">
  <dimension ref="A1:B4"/>
  <sheetViews>
    <sheetView workbookViewId="0">
      <selection activeCell="B4" sqref="B4"/>
    </sheetView>
  </sheetViews>
  <sheetFormatPr defaultRowHeight="15" x14ac:dyDescent="0.25"/>
  <cols>
    <col min="1" max="1" width="19.42578125" style="1" bestFit="1" customWidth="1"/>
    <col min="2" max="2" width="11.7109375" style="1" bestFit="1" customWidth="1"/>
    <col min="3" max="16384" width="9.140625" style="1"/>
  </cols>
  <sheetData>
    <row r="1" spans="1:2" ht="30" x14ac:dyDescent="0.25">
      <c r="A1" s="10" t="s">
        <v>13</v>
      </c>
      <c r="B1" s="11">
        <v>7939.8602894245278</v>
      </c>
    </row>
    <row r="2" spans="1:2" x14ac:dyDescent="0.25">
      <c r="A2" s="12" t="s">
        <v>14</v>
      </c>
      <c r="B2" s="12">
        <v>12</v>
      </c>
    </row>
    <row r="3" spans="1:2" x14ac:dyDescent="0.25">
      <c r="A3" s="12" t="s">
        <v>15</v>
      </c>
      <c r="B3" s="13">
        <v>0.105</v>
      </c>
    </row>
    <row r="4" spans="1:2" x14ac:dyDescent="0.25">
      <c r="A4" s="12" t="s">
        <v>16</v>
      </c>
      <c r="B4" s="11">
        <f>FV(B3/12,B2,-B1)</f>
        <v>100000.00000000001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1E11-E103-46DF-9C10-08BD1E4498A9}">
  <dimension ref="A1:B4"/>
  <sheetViews>
    <sheetView workbookViewId="0">
      <selection activeCell="B4" sqref="B4"/>
    </sheetView>
  </sheetViews>
  <sheetFormatPr defaultRowHeight="15" x14ac:dyDescent="0.25"/>
  <cols>
    <col min="1" max="1" width="13.85546875" customWidth="1"/>
    <col min="2" max="2" width="13.140625" bestFit="1" customWidth="1"/>
  </cols>
  <sheetData>
    <row r="1" spans="1:2" x14ac:dyDescent="0.25">
      <c r="A1" s="15"/>
      <c r="B1" s="16" t="s">
        <v>11</v>
      </c>
    </row>
    <row r="2" spans="1:2" x14ac:dyDescent="0.25">
      <c r="A2" s="15" t="s">
        <v>17</v>
      </c>
      <c r="B2" s="17">
        <v>59250</v>
      </c>
    </row>
    <row r="3" spans="1:2" x14ac:dyDescent="0.25">
      <c r="A3" s="15" t="s">
        <v>18</v>
      </c>
      <c r="B3" s="17">
        <v>1185000</v>
      </c>
    </row>
    <row r="4" spans="1:2" ht="30" x14ac:dyDescent="0.25">
      <c r="A4" s="18" t="s">
        <v>19</v>
      </c>
      <c r="B4" s="19">
        <f>B2/B3</f>
        <v>0.05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20967-23D2-4323-BDE6-AB3D1B0C279C}">
  <dimension ref="A1:B6"/>
  <sheetViews>
    <sheetView workbookViewId="0">
      <selection activeCell="A6" sqref="A6"/>
    </sheetView>
  </sheetViews>
  <sheetFormatPr defaultRowHeight="15" x14ac:dyDescent="0.25"/>
  <cols>
    <col min="1" max="1" width="9.28515625" style="14" customWidth="1"/>
    <col min="2" max="16384" width="9.140625" style="14"/>
  </cols>
  <sheetData>
    <row r="1" spans="1:2" x14ac:dyDescent="0.25">
      <c r="A1" s="20" t="s">
        <v>20</v>
      </c>
      <c r="B1" s="20"/>
    </row>
    <row r="2" spans="1:2" x14ac:dyDescent="0.25">
      <c r="A2" s="21" t="s">
        <v>22</v>
      </c>
      <c r="B2" s="21" t="s">
        <v>21</v>
      </c>
    </row>
    <row r="3" spans="1:2" x14ac:dyDescent="0.25">
      <c r="A3" s="21">
        <v>2</v>
      </c>
      <c r="B3" s="21">
        <v>3</v>
      </c>
    </row>
    <row r="4" spans="1:2" x14ac:dyDescent="0.25">
      <c r="A4" s="21"/>
      <c r="B4" s="21"/>
    </row>
    <row r="5" spans="1:2" x14ac:dyDescent="0.25">
      <c r="A5" s="21" t="s">
        <v>23</v>
      </c>
      <c r="B5" s="21" t="s">
        <v>24</v>
      </c>
    </row>
    <row r="6" spans="1:2" x14ac:dyDescent="0.25">
      <c r="A6" s="21">
        <f>A3*B6+B3</f>
        <v>0</v>
      </c>
      <c r="B6" s="21">
        <v>-1.5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6C3A-CD54-4761-B0F9-26B23EB44ADB}">
  <dimension ref="A1:D5"/>
  <sheetViews>
    <sheetView workbookViewId="0">
      <selection activeCell="C22" sqref="C22"/>
    </sheetView>
  </sheetViews>
  <sheetFormatPr defaultRowHeight="15" x14ac:dyDescent="0.25"/>
  <cols>
    <col min="1" max="1" width="18.42578125" style="14" bestFit="1" customWidth="1"/>
    <col min="2" max="2" width="13.140625" style="14" bestFit="1" customWidth="1"/>
    <col min="3" max="4" width="12" style="14" bestFit="1" customWidth="1"/>
    <col min="5" max="16384" width="9.140625" style="14"/>
  </cols>
  <sheetData>
    <row r="1" spans="1:4" x14ac:dyDescent="0.25">
      <c r="A1" s="20" t="s">
        <v>25</v>
      </c>
      <c r="B1" s="20"/>
      <c r="C1" s="20"/>
      <c r="D1" s="20"/>
    </row>
    <row r="2" spans="1:4" x14ac:dyDescent="0.25">
      <c r="A2" s="23" t="s">
        <v>26</v>
      </c>
      <c r="B2" s="24">
        <v>120</v>
      </c>
      <c r="C2" s="21"/>
      <c r="D2" s="21"/>
    </row>
    <row r="3" spans="1:4" x14ac:dyDescent="0.25">
      <c r="A3" s="23" t="s">
        <v>27</v>
      </c>
      <c r="B3" s="25">
        <v>3000000</v>
      </c>
      <c r="C3" s="21"/>
      <c r="D3" s="21"/>
    </row>
    <row r="4" spans="1:4" x14ac:dyDescent="0.25">
      <c r="A4" s="23" t="s">
        <v>28</v>
      </c>
      <c r="B4" s="26">
        <v>0.12</v>
      </c>
      <c r="C4" s="26">
        <v>0.13</v>
      </c>
      <c r="D4" s="26">
        <v>0.14000000000000001</v>
      </c>
    </row>
    <row r="5" spans="1:4" x14ac:dyDescent="0.25">
      <c r="A5" s="23" t="s">
        <v>29</v>
      </c>
      <c r="B5" s="25">
        <f>PMT(B4/12,B2,-B3)</f>
        <v>43041.284520776208</v>
      </c>
      <c r="C5" s="21">
        <f t="dataTable" ref="C5:D5" dt2D="0" dtr="1" r1="B4"/>
        <v>44793.221993167455</v>
      </c>
      <c r="D5" s="21">
        <v>46579.930512274332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ECD18-9EE8-4E8D-9497-17DC8A16473C}">
  <dimension ref="A1:I6"/>
  <sheetViews>
    <sheetView workbookViewId="0">
      <selection activeCell="C11" sqref="C11"/>
    </sheetView>
  </sheetViews>
  <sheetFormatPr defaultRowHeight="15" x14ac:dyDescent="0.25"/>
  <cols>
    <col min="1" max="1" width="9.140625" style="22"/>
    <col min="2" max="2" width="13.28515625" style="22" bestFit="1" customWidth="1"/>
    <col min="3" max="6" width="13.140625" style="22" bestFit="1" customWidth="1"/>
    <col min="7" max="16384" width="9.140625" style="22"/>
  </cols>
  <sheetData>
    <row r="1" spans="1:9" x14ac:dyDescent="0.25">
      <c r="A1" s="23" t="s">
        <v>33</v>
      </c>
      <c r="B1" s="23" t="s">
        <v>30</v>
      </c>
      <c r="C1" s="23"/>
      <c r="D1" s="23"/>
      <c r="E1" s="23"/>
      <c r="F1" s="23"/>
    </row>
    <row r="2" spans="1:9" x14ac:dyDescent="0.25">
      <c r="A2" s="23" t="s">
        <v>32</v>
      </c>
      <c r="B2" s="28">
        <v>985000</v>
      </c>
      <c r="C2" s="28"/>
      <c r="D2" s="28"/>
      <c r="E2" s="28"/>
      <c r="F2" s="28"/>
      <c r="G2" s="27"/>
      <c r="H2" s="27"/>
      <c r="I2" s="27"/>
    </row>
    <row r="3" spans="1:9" x14ac:dyDescent="0.25">
      <c r="A3" s="23" t="s">
        <v>31</v>
      </c>
      <c r="B3" s="28">
        <v>212800</v>
      </c>
      <c r="C3" s="28">
        <v>150000</v>
      </c>
      <c r="D3" s="28">
        <v>200000</v>
      </c>
      <c r="E3" s="28">
        <v>250000</v>
      </c>
      <c r="F3" s="28">
        <v>300000</v>
      </c>
    </row>
    <row r="4" spans="1:9" x14ac:dyDescent="0.25">
      <c r="A4" s="23" t="s">
        <v>34</v>
      </c>
      <c r="B4" s="29">
        <f>B3/B2</f>
        <v>0.21604060913705583</v>
      </c>
      <c r="C4" s="29">
        <f t="dataTable" ref="C4:F4" dt2D="0" dtr="1" r1="B3"/>
        <v>0.15228426395939088</v>
      </c>
      <c r="D4" s="29">
        <v>0.20304568527918782</v>
      </c>
      <c r="E4" s="29">
        <v>0.25380710659898476</v>
      </c>
      <c r="F4" s="29">
        <v>0.30456852791878175</v>
      </c>
    </row>
    <row r="6" spans="1:9" x14ac:dyDescent="0.25">
      <c r="B6" s="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56B3-F1CF-4F0A-AB65-FB288F8264FD}">
  <dimension ref="A1:E9"/>
  <sheetViews>
    <sheetView workbookViewId="0">
      <selection activeCell="C1" sqref="C1"/>
    </sheetView>
  </sheetViews>
  <sheetFormatPr defaultRowHeight="15" x14ac:dyDescent="0.25"/>
  <cols>
    <col min="1" max="1" width="17.5703125" style="2" bestFit="1" customWidth="1"/>
    <col min="2" max="2" width="15.42578125" style="2" customWidth="1"/>
    <col min="3" max="4" width="13.28515625" style="2" bestFit="1" customWidth="1"/>
    <col min="5" max="5" width="13.140625" style="2" bestFit="1" customWidth="1"/>
    <col min="6" max="16384" width="9.140625" style="2"/>
  </cols>
  <sheetData>
    <row r="1" spans="1:5" ht="29.25" thickBot="1" x14ac:dyDescent="0.3">
      <c r="A1" s="3" t="s">
        <v>0</v>
      </c>
      <c r="B1" s="4" t="s">
        <v>1</v>
      </c>
      <c r="C1" s="5">
        <v>0.1</v>
      </c>
      <c r="D1" s="3"/>
      <c r="E1" s="3"/>
    </row>
    <row r="2" spans="1:5" ht="15.75" thickBot="1" x14ac:dyDescent="0.3">
      <c r="A2" s="3"/>
      <c r="B2" s="3"/>
      <c r="C2" s="3"/>
      <c r="D2" s="3"/>
      <c r="E2" s="3"/>
    </row>
    <row r="3" spans="1:5" ht="15.75" thickBot="1" x14ac:dyDescent="0.3">
      <c r="A3" s="6" t="s">
        <v>2</v>
      </c>
      <c r="B3" s="3" t="s">
        <v>3</v>
      </c>
      <c r="C3" s="6" t="s">
        <v>10</v>
      </c>
      <c r="D3" s="6" t="s">
        <v>11</v>
      </c>
      <c r="E3" s="6" t="s">
        <v>12</v>
      </c>
    </row>
    <row r="4" spans="1:5" ht="15.75" thickBot="1" x14ac:dyDescent="0.3">
      <c r="A4" s="3"/>
      <c r="B4" s="3" t="s">
        <v>4</v>
      </c>
      <c r="C4" s="7">
        <v>22592</v>
      </c>
      <c r="D4" s="7">
        <v>23051</v>
      </c>
      <c r="E4" s="7">
        <f>D4*(1+$C$1)</f>
        <v>25356.100000000002</v>
      </c>
    </row>
    <row r="5" spans="1:5" ht="15.75" thickBot="1" x14ac:dyDescent="0.3">
      <c r="A5" s="3"/>
      <c r="B5" s="3" t="s">
        <v>5</v>
      </c>
      <c r="C5" s="7">
        <v>21383</v>
      </c>
      <c r="D5" s="7">
        <v>21817</v>
      </c>
      <c r="E5" s="7">
        <f t="shared" ref="E5:E9" si="0">D5*(1+$C$1)</f>
        <v>23998.7</v>
      </c>
    </row>
    <row r="6" spans="1:5" ht="15.75" thickBot="1" x14ac:dyDescent="0.3">
      <c r="A6" s="3"/>
      <c r="B6" s="3" t="s">
        <v>6</v>
      </c>
      <c r="C6" s="7">
        <v>26698</v>
      </c>
      <c r="D6" s="7">
        <v>27240</v>
      </c>
      <c r="E6" s="7">
        <f t="shared" si="0"/>
        <v>29964.000000000004</v>
      </c>
    </row>
    <row r="7" spans="1:5" ht="15.75" thickBot="1" x14ac:dyDescent="0.3">
      <c r="A7" s="3"/>
      <c r="B7" s="3" t="s">
        <v>7</v>
      </c>
      <c r="C7" s="7">
        <v>29454</v>
      </c>
      <c r="D7" s="7">
        <v>30052</v>
      </c>
      <c r="E7" s="7">
        <f t="shared" si="0"/>
        <v>33057.200000000004</v>
      </c>
    </row>
    <row r="8" spans="1:5" ht="15.75" thickBot="1" x14ac:dyDescent="0.3">
      <c r="A8" s="3"/>
      <c r="B8" s="3" t="s">
        <v>8</v>
      </c>
      <c r="C8" s="7">
        <v>28399</v>
      </c>
      <c r="D8" s="7">
        <v>28976</v>
      </c>
      <c r="E8" s="7">
        <f t="shared" si="0"/>
        <v>31873.600000000002</v>
      </c>
    </row>
    <row r="9" spans="1:5" ht="30.75" thickBot="1" x14ac:dyDescent="0.3">
      <c r="A9" s="3"/>
      <c r="B9" s="8" t="s">
        <v>9</v>
      </c>
      <c r="C9" s="9">
        <f>SUM(C4:C8)</f>
        <v>128526</v>
      </c>
      <c r="D9" s="9">
        <f>SUM(D4:D8)</f>
        <v>131136</v>
      </c>
      <c r="E9" s="9">
        <f t="shared" si="0"/>
        <v>144249.60000000001</v>
      </c>
    </row>
  </sheetData>
  <scenarios current="1" show="2" sqref="E4 E5 E6 E7 E8 E9">
    <scenario name="Минимальный" locked="1" count="1" user="Диана" comment="Автор: Эрнест , 11.10.2024">
      <inputCells r="C1" val="0,03" numFmtId="10"/>
    </scenario>
    <scenario name="Средний" locked="1" count="1" user="Диана" comment="Автор: Эрнест , 11.10.2024">
      <inputCells r="C1" val="0,05" numFmtId="10"/>
    </scenario>
    <scenario name="Максимальный" locked="1" count="1" user="Диана" comment="Автор: Эрнест , 11.10.2024">
      <inputCells r="C1" val="0,1" numFmtId="10"/>
    </scenario>
  </scenario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D5B9-E5D5-4190-9607-56F886BF458B}">
  <sheetPr>
    <outlinePr summaryBelow="0"/>
  </sheetPr>
  <dimension ref="B1:G16"/>
  <sheetViews>
    <sheetView showGridLines="0" workbookViewId="0">
      <selection activeCell="D6" sqref="D6"/>
    </sheetView>
  </sheetViews>
  <sheetFormatPr defaultRowHeight="15" outlineLevelRow="1" outlineLevelCol="1" x14ac:dyDescent="0.25"/>
  <cols>
    <col min="3" max="3" width="5.140625" bestFit="1" customWidth="1"/>
    <col min="4" max="7" width="16.140625" bestFit="1" customWidth="1" outlineLevel="1"/>
  </cols>
  <sheetData>
    <row r="1" spans="2:7" ht="15.75" thickBot="1" x14ac:dyDescent="0.3"/>
    <row r="2" spans="2:7" ht="15.75" x14ac:dyDescent="0.25">
      <c r="B2" s="35" t="s">
        <v>46</v>
      </c>
      <c r="C2" s="35"/>
      <c r="D2" s="40"/>
      <c r="E2" s="40"/>
      <c r="F2" s="40"/>
      <c r="G2" s="40"/>
    </row>
    <row r="3" spans="2:7" ht="15.75" collapsed="1" x14ac:dyDescent="0.25">
      <c r="B3" s="34"/>
      <c r="C3" s="34"/>
      <c r="D3" s="41" t="s">
        <v>48</v>
      </c>
      <c r="E3" s="41" t="s">
        <v>42</v>
      </c>
      <c r="F3" s="41" t="s">
        <v>44</v>
      </c>
      <c r="G3" s="41" t="s">
        <v>45</v>
      </c>
    </row>
    <row r="4" spans="2:7" ht="22.5" hidden="1" outlineLevel="1" x14ac:dyDescent="0.25">
      <c r="B4" s="37"/>
      <c r="C4" s="37"/>
      <c r="D4" s="30"/>
      <c r="E4" s="43" t="s">
        <v>43</v>
      </c>
      <c r="F4" s="43" t="s">
        <v>43</v>
      </c>
      <c r="G4" s="43" t="s">
        <v>43</v>
      </c>
    </row>
    <row r="5" spans="2:7" x14ac:dyDescent="0.25">
      <c r="B5" s="38" t="s">
        <v>47</v>
      </c>
      <c r="C5" s="38"/>
      <c r="D5" s="36"/>
      <c r="E5" s="36"/>
      <c r="F5" s="36"/>
      <c r="G5" s="36"/>
    </row>
    <row r="6" spans="2:7" outlineLevel="1" x14ac:dyDescent="0.25">
      <c r="B6" s="37"/>
      <c r="C6" s="37" t="s">
        <v>35</v>
      </c>
      <c r="D6" s="31">
        <v>0.1</v>
      </c>
      <c r="E6" s="42">
        <v>0.03</v>
      </c>
      <c r="F6" s="42">
        <v>0.05</v>
      </c>
      <c r="G6" s="42">
        <v>0.1</v>
      </c>
    </row>
    <row r="7" spans="2:7" x14ac:dyDescent="0.25">
      <c r="B7" s="38" t="s">
        <v>49</v>
      </c>
      <c r="C7" s="38"/>
      <c r="D7" s="36"/>
      <c r="E7" s="36"/>
      <c r="F7" s="36"/>
      <c r="G7" s="36"/>
    </row>
    <row r="8" spans="2:7" outlineLevel="1" x14ac:dyDescent="0.25">
      <c r="B8" s="37"/>
      <c r="C8" s="37" t="s">
        <v>36</v>
      </c>
      <c r="D8" s="32">
        <v>25356.1</v>
      </c>
      <c r="E8" s="32">
        <v>23742.53</v>
      </c>
      <c r="F8" s="32">
        <v>24203.55</v>
      </c>
      <c r="G8" s="32">
        <v>25356.1</v>
      </c>
    </row>
    <row r="9" spans="2:7" outlineLevel="1" x14ac:dyDescent="0.25">
      <c r="B9" s="37"/>
      <c r="C9" s="37" t="s">
        <v>37</v>
      </c>
      <c r="D9" s="32">
        <v>23998.7</v>
      </c>
      <c r="E9" s="32">
        <v>22471.51</v>
      </c>
      <c r="F9" s="32">
        <v>22907.85</v>
      </c>
      <c r="G9" s="32">
        <v>23998.7</v>
      </c>
    </row>
    <row r="10" spans="2:7" outlineLevel="1" x14ac:dyDescent="0.25">
      <c r="B10" s="37"/>
      <c r="C10" s="37" t="s">
        <v>38</v>
      </c>
      <c r="D10" s="32">
        <v>29964</v>
      </c>
      <c r="E10" s="32">
        <v>28057.200000000001</v>
      </c>
      <c r="F10" s="32">
        <v>28602</v>
      </c>
      <c r="G10" s="32">
        <v>29964</v>
      </c>
    </row>
    <row r="11" spans="2:7" outlineLevel="1" x14ac:dyDescent="0.25">
      <c r="B11" s="37"/>
      <c r="C11" s="37" t="s">
        <v>39</v>
      </c>
      <c r="D11" s="32">
        <v>33057.199999999997</v>
      </c>
      <c r="E11" s="32">
        <v>30953.56</v>
      </c>
      <c r="F11" s="32">
        <v>31554.6</v>
      </c>
      <c r="G11" s="32">
        <v>33057.199999999997</v>
      </c>
    </row>
    <row r="12" spans="2:7" outlineLevel="1" x14ac:dyDescent="0.25">
      <c r="B12" s="37"/>
      <c r="C12" s="37" t="s">
        <v>40</v>
      </c>
      <c r="D12" s="32">
        <v>31873.599999999999</v>
      </c>
      <c r="E12" s="32">
        <v>29845.279999999999</v>
      </c>
      <c r="F12" s="32">
        <v>30424.799999999999</v>
      </c>
      <c r="G12" s="32">
        <v>31873.599999999999</v>
      </c>
    </row>
    <row r="13" spans="2:7" ht="15.75" outlineLevel="1" thickBot="1" x14ac:dyDescent="0.3">
      <c r="B13" s="39"/>
      <c r="C13" s="39" t="s">
        <v>41</v>
      </c>
      <c r="D13" s="33">
        <v>144249.60000000001</v>
      </c>
      <c r="E13" s="33">
        <v>135070.07999999999</v>
      </c>
      <c r="F13" s="33">
        <v>137692.79999999999</v>
      </c>
      <c r="G13" s="33">
        <v>144249.60000000001</v>
      </c>
    </row>
    <row r="14" spans="2:7" x14ac:dyDescent="0.25">
      <c r="B14" t="s">
        <v>50</v>
      </c>
    </row>
    <row r="15" spans="2:7" x14ac:dyDescent="0.25">
      <c r="B15" t="s">
        <v>51</v>
      </c>
    </row>
    <row r="16" spans="2:7" x14ac:dyDescent="0.25">
      <c r="B16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C7CBF-8D0C-42F4-88FF-B8681953A2E9}">
  <sheetPr>
    <outlinePr summaryBelow="0"/>
  </sheetPr>
  <dimension ref="B1:G12"/>
  <sheetViews>
    <sheetView showGridLines="0" tabSelected="1" workbookViewId="0"/>
  </sheetViews>
  <sheetFormatPr defaultRowHeight="15" outlineLevelRow="1" outlineLevelCol="1" x14ac:dyDescent="0.25"/>
  <cols>
    <col min="3" max="3" width="5.140625" bestFit="1" customWidth="1"/>
    <col min="4" max="7" width="16.140625" bestFit="1" customWidth="1" outlineLevel="1"/>
  </cols>
  <sheetData>
    <row r="1" spans="2:7" ht="15.75" thickBot="1" x14ac:dyDescent="0.3"/>
    <row r="2" spans="2:7" ht="15.75" x14ac:dyDescent="0.25">
      <c r="B2" s="35" t="s">
        <v>46</v>
      </c>
      <c r="C2" s="35"/>
      <c r="D2" s="40"/>
      <c r="E2" s="40"/>
      <c r="F2" s="40"/>
      <c r="G2" s="40"/>
    </row>
    <row r="3" spans="2:7" ht="15.75" collapsed="1" x14ac:dyDescent="0.25">
      <c r="B3" s="34"/>
      <c r="C3" s="34"/>
      <c r="D3" s="41" t="s">
        <v>48</v>
      </c>
      <c r="E3" s="41" t="s">
        <v>57</v>
      </c>
      <c r="F3" s="41" t="s">
        <v>58</v>
      </c>
      <c r="G3" s="41" t="s">
        <v>60</v>
      </c>
    </row>
    <row r="4" spans="2:7" ht="22.5" hidden="1" outlineLevel="1" x14ac:dyDescent="0.25">
      <c r="B4" s="37"/>
      <c r="C4" s="37"/>
      <c r="D4" s="30"/>
      <c r="E4" s="43" t="s">
        <v>43</v>
      </c>
      <c r="F4" s="43" t="s">
        <v>59</v>
      </c>
      <c r="G4" s="43" t="s">
        <v>59</v>
      </c>
    </row>
    <row r="5" spans="2:7" x14ac:dyDescent="0.25">
      <c r="B5" s="38" t="s">
        <v>47</v>
      </c>
      <c r="C5" s="38"/>
      <c r="D5" s="36"/>
      <c r="E5" s="36"/>
      <c r="F5" s="36"/>
      <c r="G5" s="36"/>
    </row>
    <row r="6" spans="2:7" outlineLevel="1" x14ac:dyDescent="0.25">
      <c r="B6" s="37"/>
      <c r="C6" s="37" t="s">
        <v>55</v>
      </c>
      <c r="D6" s="30">
        <v>11.3</v>
      </c>
      <c r="E6" s="47">
        <v>10</v>
      </c>
      <c r="F6" s="47">
        <v>11.3</v>
      </c>
      <c r="G6" s="47">
        <v>20</v>
      </c>
    </row>
    <row r="7" spans="2:7" x14ac:dyDescent="0.25">
      <c r="B7" s="38" t="s">
        <v>49</v>
      </c>
      <c r="C7" s="38"/>
      <c r="D7" s="36"/>
      <c r="E7" s="36"/>
      <c r="F7" s="36"/>
      <c r="G7" s="36"/>
    </row>
    <row r="8" spans="2:7" outlineLevel="1" x14ac:dyDescent="0.25">
      <c r="B8" s="37"/>
      <c r="C8" s="37" t="s">
        <v>55</v>
      </c>
      <c r="D8" s="30">
        <v>11.3</v>
      </c>
      <c r="E8" s="30">
        <v>10</v>
      </c>
      <c r="F8" s="30">
        <v>11.3</v>
      </c>
      <c r="G8" s="30">
        <v>20</v>
      </c>
    </row>
    <row r="9" spans="2:7" ht="15.75" outlineLevel="1" thickBot="1" x14ac:dyDescent="0.3">
      <c r="B9" s="39"/>
      <c r="C9" s="39" t="s">
        <v>56</v>
      </c>
      <c r="D9" s="46">
        <v>0.30958904109589003</v>
      </c>
      <c r="E9" s="46">
        <v>0.27397260273972601</v>
      </c>
      <c r="F9" s="46">
        <v>0.30958904109589003</v>
      </c>
      <c r="G9" s="46">
        <v>0.54794520547945202</v>
      </c>
    </row>
    <row r="10" spans="2:7" x14ac:dyDescent="0.25">
      <c r="B10" t="s">
        <v>50</v>
      </c>
    </row>
    <row r="11" spans="2:7" x14ac:dyDescent="0.25">
      <c r="B11" t="s">
        <v>51</v>
      </c>
    </row>
    <row r="12" spans="2:7" x14ac:dyDescent="0.25">
      <c r="B12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7FABA-7E26-4081-A193-335025CE0A36}">
  <dimension ref="A1:B3"/>
  <sheetViews>
    <sheetView workbookViewId="0">
      <selection activeCell="B3" sqref="B3"/>
    </sheetView>
  </sheetViews>
  <sheetFormatPr defaultRowHeight="15" x14ac:dyDescent="0.25"/>
  <cols>
    <col min="1" max="1" width="11.85546875" style="14" bestFit="1" customWidth="1"/>
    <col min="2" max="16384" width="9.140625" style="14"/>
  </cols>
  <sheetData>
    <row r="1" spans="1:2" x14ac:dyDescent="0.25">
      <c r="A1" s="44" t="s">
        <v>53</v>
      </c>
      <c r="B1" s="21">
        <v>36.5</v>
      </c>
    </row>
    <row r="2" spans="1:2" x14ac:dyDescent="0.25">
      <c r="A2" s="21" t="s">
        <v>54</v>
      </c>
      <c r="B2" s="21">
        <v>11.3</v>
      </c>
    </row>
    <row r="3" spans="1:2" x14ac:dyDescent="0.25">
      <c r="A3" s="21"/>
      <c r="B3" s="45">
        <f>B2/B1</f>
        <v>0.30958904109589042</v>
      </c>
    </row>
  </sheetData>
  <scenarios current="1" sqref="B2:B3">
    <scenario name="Низкий" locked="1" count="1" user="Диана" comment="Автор: Эрнест , 11.10.2024">
      <inputCells r="B2" val="10"/>
    </scenario>
    <scenario name="Текущий" locked="1" count="1" user="Диана" comment="Автор: Эрнест, 11.10.2024">
      <inputCells r="B2" val="11,3"/>
    </scenario>
    <scenario name="Высокий" locked="1" count="1" user="Диана" comment="Автор: Эрнест, 11.10.2024">
      <inputCells r="B2" val="2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1</vt:lpstr>
      <vt:lpstr>2</vt:lpstr>
      <vt:lpstr>3</vt:lpstr>
      <vt:lpstr>4</vt:lpstr>
      <vt:lpstr>5</vt:lpstr>
      <vt:lpstr>6</vt:lpstr>
      <vt:lpstr>7</vt:lpstr>
      <vt:lpstr>Структура сценария</vt:lpstr>
      <vt:lpstr>Структура сценария 2</vt:lpstr>
      <vt:lpstr>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2024-10-11T07:01:46Z</dcterms:created>
  <dcterms:modified xsi:type="dcterms:W3CDTF">2024-10-11T08:13:50Z</dcterms:modified>
</cp:coreProperties>
</file>