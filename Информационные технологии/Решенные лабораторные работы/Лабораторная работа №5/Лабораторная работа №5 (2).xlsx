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 checkCompatibility="1"/>
  <mc:AlternateContent xmlns:mc="http://schemas.openxmlformats.org/markup-compatibility/2006">
    <mc:Choice Requires="x15">
      <x15ac:absPath xmlns:x15ac="http://schemas.microsoft.com/office/spreadsheetml/2010/11/ac" url="\\lib16\Students\ПМИб-3\Алекскандров Эрнест\Информационные технологии\Лаба 5 Excel\"/>
    </mc:Choice>
  </mc:AlternateContent>
  <xr:revisionPtr revIDLastSave="0" documentId="13_ncr:1_{F0578E3B-B6A9-4F49-A9E8-9D076FEB0A88}" xr6:coauthVersionLast="36" xr6:coauthVersionMax="36" xr10:uidLastSave="{00000000-0000-0000-0000-000000000000}"/>
  <bookViews>
    <workbookView xWindow="0" yWindow="0" windowWidth="19905" windowHeight="12090" firstSheet="1" activeTab="8" xr2:uid="{00000000-000D-0000-FFFF-FFFF00000000}"/>
  </bookViews>
  <sheets>
    <sheet name="Задача 1" sheetId="1" r:id="rId1"/>
    <sheet name="Структура сценария" sheetId="12" r:id="rId2"/>
    <sheet name="Задача 2" sheetId="3" r:id="rId3"/>
    <sheet name="Структура сценария 2" sheetId="16" r:id="rId4"/>
    <sheet name="Задача 3" sheetId="5" r:id="rId5"/>
    <sheet name="Структура сценария 3" sheetId="17" r:id="rId6"/>
    <sheet name="Задача 4" sheetId="7" r:id="rId7"/>
    <sheet name="Структура сценария 4" sheetId="18" r:id="rId8"/>
    <sheet name="Задача 5" sheetId="10" r:id="rId9"/>
    <sheet name="Структура сценария 5" sheetId="19" r:id="rId10"/>
    <sheet name="Задача 6" sheetId="2" r:id="rId11"/>
    <sheet name="Задача 7" sheetId="4" r:id="rId12"/>
    <sheet name="Задача 8" sheetId="6" r:id="rId13"/>
    <sheet name="Задача 9" sheetId="9" r:id="rId14"/>
    <sheet name="Задача 10" sheetId="11" r:id="rId15"/>
  </sheets>
  <definedNames>
    <definedName name="solver_adj" localSheetId="14" hidden="1">'Задача 10'!$B$3:$F$5</definedName>
    <definedName name="solver_adj" localSheetId="11" hidden="1">'Задача 7'!$B$3:$E$5</definedName>
    <definedName name="solver_adj" localSheetId="12" hidden="1">'Задача 8'!$B$3:$G$5</definedName>
    <definedName name="solver_adj" localSheetId="13" hidden="1">'Задача 9'!$B$3:$H$5</definedName>
    <definedName name="solver_cvg" localSheetId="14" hidden="1">0.0001</definedName>
    <definedName name="solver_cvg" localSheetId="10" hidden="1">0.0001</definedName>
    <definedName name="solver_cvg" localSheetId="11" hidden="1">0.0001</definedName>
    <definedName name="solver_cvg" localSheetId="12" hidden="1">0.0001</definedName>
    <definedName name="solver_cvg" localSheetId="13" hidden="1">0.0001</definedName>
    <definedName name="solver_drv" localSheetId="14" hidden="1">1</definedName>
    <definedName name="solver_drv" localSheetId="10" hidden="1">1</definedName>
    <definedName name="solver_drv" localSheetId="11" hidden="1">1</definedName>
    <definedName name="solver_drv" localSheetId="12" hidden="1">1</definedName>
    <definedName name="solver_drv" localSheetId="13" hidden="1">1</definedName>
    <definedName name="solver_eng" localSheetId="14" hidden="1">1</definedName>
    <definedName name="solver_eng" localSheetId="10" hidden="1">1</definedName>
    <definedName name="solver_eng" localSheetId="11" hidden="1">1</definedName>
    <definedName name="solver_eng" localSheetId="12" hidden="1">1</definedName>
    <definedName name="solver_eng" localSheetId="13" hidden="1">1</definedName>
    <definedName name="solver_est" localSheetId="14" hidden="1">1</definedName>
    <definedName name="solver_est" localSheetId="10" hidden="1">1</definedName>
    <definedName name="solver_est" localSheetId="11" hidden="1">1</definedName>
    <definedName name="solver_est" localSheetId="12" hidden="1">1</definedName>
    <definedName name="solver_est" localSheetId="13" hidden="1">1</definedName>
    <definedName name="solver_itr" localSheetId="14" hidden="1">2147483647</definedName>
    <definedName name="solver_itr" localSheetId="10" hidden="1">2147483647</definedName>
    <definedName name="solver_itr" localSheetId="11" hidden="1">2147483647</definedName>
    <definedName name="solver_itr" localSheetId="12" hidden="1">2147483647</definedName>
    <definedName name="solver_itr" localSheetId="13" hidden="1">2147483647</definedName>
    <definedName name="solver_lhs0" localSheetId="14" hidden="1">'Задача 10'!$G$3:$G$5</definedName>
    <definedName name="solver_lhs0" localSheetId="13" hidden="1">'Задача 9'!$I$3:$I$5</definedName>
    <definedName name="solver_lhs1" localSheetId="14" hidden="1">'Задача 10'!$B$3:$F$5</definedName>
    <definedName name="solver_lhs1" localSheetId="10" hidden="1">'Задача 6'!$E$3:$E$4</definedName>
    <definedName name="solver_lhs1" localSheetId="11" hidden="1">'Задача 7'!$B$3:$E$5</definedName>
    <definedName name="solver_lhs1" localSheetId="12" hidden="1">'Задача 8'!$B$3:$G$5</definedName>
    <definedName name="solver_lhs1" localSheetId="13" hidden="1">'Задача 9'!$B$3:$H$5</definedName>
    <definedName name="solver_lhs2" localSheetId="14" hidden="1">'Задача 10'!$B$3:$F$5</definedName>
    <definedName name="solver_lhs2" localSheetId="10" hidden="1">'Задача 6'!$E$3:$E$4</definedName>
    <definedName name="solver_lhs2" localSheetId="11" hidden="1">'Задача 7'!$B$3:$E$5</definedName>
    <definedName name="solver_lhs2" localSheetId="12" hidden="1">'Задача 8'!$B$3:$G$5</definedName>
    <definedName name="solver_lhs2" localSheetId="13" hidden="1">'Задача 9'!$B$3:$H$5</definedName>
    <definedName name="solver_lhs3" localSheetId="14" hidden="1">'Задача 10'!$B$6:$F$6</definedName>
    <definedName name="solver_lhs3" localSheetId="10" hidden="1">'Задача 6'!$E$3:$E$4</definedName>
    <definedName name="solver_lhs3" localSheetId="11" hidden="1">'Задача 7'!$B$6:$E$6</definedName>
    <definedName name="solver_lhs3" localSheetId="12" hidden="1">'Задача 8'!$B$6:$G$6</definedName>
    <definedName name="solver_lhs3" localSheetId="13" hidden="1">'Задача 9'!$B$6:$H$6</definedName>
    <definedName name="solver_lhs4" localSheetId="14" hidden="1">'Задача 10'!$G$3:$G$5</definedName>
    <definedName name="solver_lhs4" localSheetId="10" hidden="1">'Задача 6'!$E$3:$E$4</definedName>
    <definedName name="solver_lhs4" localSheetId="11" hidden="1">'Задача 7'!$F$3:$F$5</definedName>
    <definedName name="solver_lhs4" localSheetId="12" hidden="1">'Задача 8'!$H$3:$H$5</definedName>
    <definedName name="solver_lhs4" localSheetId="13" hidden="1">'Задача 9'!$I$3:$I$5</definedName>
    <definedName name="solver_mip" localSheetId="14" hidden="1">2147483647</definedName>
    <definedName name="solver_mip" localSheetId="10" hidden="1">2147483647</definedName>
    <definedName name="solver_mip" localSheetId="11" hidden="1">2147483647</definedName>
    <definedName name="solver_mip" localSheetId="12" hidden="1">2147483647</definedName>
    <definedName name="solver_mip" localSheetId="13" hidden="1">2147483647</definedName>
    <definedName name="solver_mni" localSheetId="14" hidden="1">30</definedName>
    <definedName name="solver_mni" localSheetId="10" hidden="1">30</definedName>
    <definedName name="solver_mni" localSheetId="11" hidden="1">30</definedName>
    <definedName name="solver_mni" localSheetId="12" hidden="1">30</definedName>
    <definedName name="solver_mni" localSheetId="13" hidden="1">30</definedName>
    <definedName name="solver_mrt" localSheetId="14" hidden="1">0.075</definedName>
    <definedName name="solver_mrt" localSheetId="10" hidden="1">0.075</definedName>
    <definedName name="solver_mrt" localSheetId="11" hidden="1">0.075</definedName>
    <definedName name="solver_mrt" localSheetId="12" hidden="1">0.075</definedName>
    <definedName name="solver_mrt" localSheetId="13" hidden="1">0.075</definedName>
    <definedName name="solver_msl" localSheetId="14" hidden="1">2</definedName>
    <definedName name="solver_msl" localSheetId="10" hidden="1">2</definedName>
    <definedName name="solver_msl" localSheetId="11" hidden="1">2</definedName>
    <definedName name="solver_msl" localSheetId="12" hidden="1">2</definedName>
    <definedName name="solver_msl" localSheetId="13" hidden="1">2</definedName>
    <definedName name="solver_neg" localSheetId="14" hidden="1">1</definedName>
    <definedName name="solver_neg" localSheetId="10" hidden="1">1</definedName>
    <definedName name="solver_neg" localSheetId="11" hidden="1">1</definedName>
    <definedName name="solver_neg" localSheetId="12" hidden="1">1</definedName>
    <definedName name="solver_neg" localSheetId="13" hidden="1">1</definedName>
    <definedName name="solver_nod" localSheetId="14" hidden="1">2147483647</definedName>
    <definedName name="solver_nod" localSheetId="10" hidden="1">2147483647</definedName>
    <definedName name="solver_nod" localSheetId="11" hidden="1">2147483647</definedName>
    <definedName name="solver_nod" localSheetId="12" hidden="1">2147483647</definedName>
    <definedName name="solver_nod" localSheetId="13" hidden="1">2147483647</definedName>
    <definedName name="solver_num" localSheetId="14" hidden="1">4</definedName>
    <definedName name="solver_num" localSheetId="10" hidden="1">0</definedName>
    <definedName name="solver_num" localSheetId="11" hidden="1">4</definedName>
    <definedName name="solver_num" localSheetId="12" hidden="1">4</definedName>
    <definedName name="solver_num" localSheetId="13" hidden="1">4</definedName>
    <definedName name="solver_nwt" localSheetId="14" hidden="1">1</definedName>
    <definedName name="solver_nwt" localSheetId="10" hidden="1">1</definedName>
    <definedName name="solver_nwt" localSheetId="11" hidden="1">1</definedName>
    <definedName name="solver_nwt" localSheetId="12" hidden="1">1</definedName>
    <definedName name="solver_nwt" localSheetId="13" hidden="1">1</definedName>
    <definedName name="solver_opt" localSheetId="14" hidden="1">'Задача 10'!$G$8</definedName>
    <definedName name="solver_opt" localSheetId="11" hidden="1">'Задача 7'!$F$8</definedName>
    <definedName name="solver_opt" localSheetId="12" hidden="1">'Задача 8'!$H$8</definedName>
    <definedName name="solver_opt" localSheetId="13" hidden="1">'Задача 9'!$I$8</definedName>
    <definedName name="solver_pre" localSheetId="14" hidden="1">0.000001</definedName>
    <definedName name="solver_pre" localSheetId="10" hidden="1">0.000001</definedName>
    <definedName name="solver_pre" localSheetId="11" hidden="1">0.000001</definedName>
    <definedName name="solver_pre" localSheetId="12" hidden="1">0.000001</definedName>
    <definedName name="solver_pre" localSheetId="13" hidden="1">0.000001</definedName>
    <definedName name="solver_rbv" localSheetId="14" hidden="1">1</definedName>
    <definedName name="solver_rbv" localSheetId="10" hidden="1">1</definedName>
    <definedName name="solver_rbv" localSheetId="11" hidden="1">1</definedName>
    <definedName name="solver_rbv" localSheetId="12" hidden="1">1</definedName>
    <definedName name="solver_rbv" localSheetId="13" hidden="1">1</definedName>
    <definedName name="solver_rel0" localSheetId="14" hidden="1">2</definedName>
    <definedName name="solver_rel0" localSheetId="13" hidden="1">2</definedName>
    <definedName name="solver_rel1" localSheetId="14" hidden="1">4</definedName>
    <definedName name="solver_rel1" localSheetId="10" hidden="1">2</definedName>
    <definedName name="solver_rel1" localSheetId="11" hidden="1">4</definedName>
    <definedName name="solver_rel1" localSheetId="12" hidden="1">4</definedName>
    <definedName name="solver_rel1" localSheetId="13" hidden="1">4</definedName>
    <definedName name="solver_rel2" localSheetId="14" hidden="1">3</definedName>
    <definedName name="solver_rel2" localSheetId="10" hidden="1">2</definedName>
    <definedName name="solver_rel2" localSheetId="11" hidden="1">3</definedName>
    <definedName name="solver_rel2" localSheetId="12" hidden="1">3</definedName>
    <definedName name="solver_rel2" localSheetId="13" hidden="1">3</definedName>
    <definedName name="solver_rel3" localSheetId="14" hidden="1">2</definedName>
    <definedName name="solver_rel3" localSheetId="10" hidden="1">2</definedName>
    <definedName name="solver_rel3" localSheetId="11" hidden="1">2</definedName>
    <definedName name="solver_rel3" localSheetId="12" hidden="1">2</definedName>
    <definedName name="solver_rel3" localSheetId="13" hidden="1">2</definedName>
    <definedName name="solver_rel4" localSheetId="14" hidden="1">2</definedName>
    <definedName name="solver_rel4" localSheetId="10" hidden="1">2</definedName>
    <definedName name="solver_rel4" localSheetId="11" hidden="1">2</definedName>
    <definedName name="solver_rel4" localSheetId="12" hidden="1">2</definedName>
    <definedName name="solver_rel4" localSheetId="13" hidden="1">2</definedName>
    <definedName name="solver_rhs0" localSheetId="14" hidden="1">'Задача 10'!$H$3:$H$5</definedName>
    <definedName name="solver_rhs0" localSheetId="13" hidden="1">'Задача 9'!$J$3:$J$5</definedName>
    <definedName name="solver_rhs1" localSheetId="14" hidden="1">целое</definedName>
    <definedName name="solver_rhs1" localSheetId="10" hidden="1">'Задача 6'!$F$3:$F$4</definedName>
    <definedName name="solver_rhs1" localSheetId="11" hidden="1">целое</definedName>
    <definedName name="solver_rhs1" localSheetId="12" hidden="1">целое</definedName>
    <definedName name="solver_rhs1" localSheetId="13" hidden="1">целое</definedName>
    <definedName name="solver_rhs2" localSheetId="14" hidden="1">0</definedName>
    <definedName name="solver_rhs2" localSheetId="10" hidden="1">'Задача 6'!$F$3:$F$4</definedName>
    <definedName name="solver_rhs2" localSheetId="11" hidden="1">0</definedName>
    <definedName name="solver_rhs2" localSheetId="12" hidden="1">0</definedName>
    <definedName name="solver_rhs2" localSheetId="13" hidden="1">0</definedName>
    <definedName name="solver_rhs3" localSheetId="14" hidden="1">'Задача 10'!$B$7:$F$7</definedName>
    <definedName name="solver_rhs3" localSheetId="10" hidden="1">'Задача 6'!$F$3:$F$4</definedName>
    <definedName name="solver_rhs3" localSheetId="11" hidden="1">'Задача 7'!$B$7:$E$7</definedName>
    <definedName name="solver_rhs3" localSheetId="12" hidden="1">'Задача 8'!$B$7:$G$7</definedName>
    <definedName name="solver_rhs3" localSheetId="13" hidden="1">'Задача 9'!$B$7:$H$7</definedName>
    <definedName name="solver_rhs4" localSheetId="14" hidden="1">'Задача 10'!$H$3:$H$5</definedName>
    <definedName name="solver_rhs4" localSheetId="10" hidden="1">'Задача 6'!$F$3:$F$4</definedName>
    <definedName name="solver_rhs4" localSheetId="11" hidden="1">'Задача 7'!$G$3:$G$5</definedName>
    <definedName name="solver_rhs4" localSheetId="12" hidden="1">'Задача 8'!$I$3:$I$5</definedName>
    <definedName name="solver_rhs4" localSheetId="13" hidden="1">'Задача 9'!$J$3:$J$5</definedName>
    <definedName name="solver_rlx" localSheetId="14" hidden="1">2</definedName>
    <definedName name="solver_rlx" localSheetId="10" hidden="1">2</definedName>
    <definedName name="solver_rlx" localSheetId="11" hidden="1">2</definedName>
    <definedName name="solver_rlx" localSheetId="12" hidden="1">2</definedName>
    <definedName name="solver_rlx" localSheetId="13" hidden="1">2</definedName>
    <definedName name="solver_rsd" localSheetId="14" hidden="1">0</definedName>
    <definedName name="solver_rsd" localSheetId="10" hidden="1">0</definedName>
    <definedName name="solver_rsd" localSheetId="11" hidden="1">0</definedName>
    <definedName name="solver_rsd" localSheetId="12" hidden="1">0</definedName>
    <definedName name="solver_rsd" localSheetId="13" hidden="1">0</definedName>
    <definedName name="solver_scl" localSheetId="14" hidden="1">1</definedName>
    <definedName name="solver_scl" localSheetId="10" hidden="1">1</definedName>
    <definedName name="solver_scl" localSheetId="11" hidden="1">1</definedName>
    <definedName name="solver_scl" localSheetId="12" hidden="1">1</definedName>
    <definedName name="solver_scl" localSheetId="13" hidden="1">1</definedName>
    <definedName name="solver_sho" localSheetId="14" hidden="1">2</definedName>
    <definedName name="solver_sho" localSheetId="10" hidden="1">2</definedName>
    <definedName name="solver_sho" localSheetId="11" hidden="1">2</definedName>
    <definedName name="solver_sho" localSheetId="12" hidden="1">2</definedName>
    <definedName name="solver_sho" localSheetId="13" hidden="1">2</definedName>
    <definedName name="solver_ssz" localSheetId="14" hidden="1">100</definedName>
    <definedName name="solver_ssz" localSheetId="10" hidden="1">100</definedName>
    <definedName name="solver_ssz" localSheetId="11" hidden="1">100</definedName>
    <definedName name="solver_ssz" localSheetId="12" hidden="1">100</definedName>
    <definedName name="solver_ssz" localSheetId="13" hidden="1">100</definedName>
    <definedName name="solver_tim" localSheetId="14" hidden="1">2147483647</definedName>
    <definedName name="solver_tim" localSheetId="10" hidden="1">2147483647</definedName>
    <definedName name="solver_tim" localSheetId="11" hidden="1">2147483647</definedName>
    <definedName name="solver_tim" localSheetId="12" hidden="1">2147483647</definedName>
    <definedName name="solver_tim" localSheetId="13" hidden="1">2147483647</definedName>
    <definedName name="solver_tol" localSheetId="14" hidden="1">0.01</definedName>
    <definedName name="solver_tol" localSheetId="10" hidden="1">0.01</definedName>
    <definedName name="solver_tol" localSheetId="11" hidden="1">0.01</definedName>
    <definedName name="solver_tol" localSheetId="12" hidden="1">0.01</definedName>
    <definedName name="solver_tol" localSheetId="13" hidden="1">0.01</definedName>
    <definedName name="solver_typ" localSheetId="14" hidden="1">2</definedName>
    <definedName name="solver_typ" localSheetId="10" hidden="1">2</definedName>
    <definedName name="solver_typ" localSheetId="11" hidden="1">2</definedName>
    <definedName name="solver_typ" localSheetId="12" hidden="1">2</definedName>
    <definedName name="solver_typ" localSheetId="13" hidden="1">2</definedName>
    <definedName name="solver_val" localSheetId="14" hidden="1">0</definedName>
    <definedName name="solver_val" localSheetId="10" hidden="1">0</definedName>
    <definedName name="solver_val" localSheetId="11" hidden="1">0</definedName>
    <definedName name="solver_val" localSheetId="12" hidden="1">0</definedName>
    <definedName name="solver_val" localSheetId="13" hidden="1">0</definedName>
    <definedName name="solver_ver" localSheetId="14" hidden="1">3</definedName>
    <definedName name="solver_ver" localSheetId="10" hidden="1">3</definedName>
    <definedName name="solver_ver" localSheetId="11" hidden="1">3</definedName>
    <definedName name="solver_ver" localSheetId="12" hidden="1">3</definedName>
    <definedName name="solver_ver" localSheetId="13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0" l="1"/>
  <c r="B6" i="7"/>
  <c r="B6" i="5"/>
  <c r="B6" i="3"/>
  <c r="B6" i="1"/>
</calcChain>
</file>

<file path=xl/sharedStrings.xml><?xml version="1.0" encoding="utf-8"?>
<sst xmlns="http://schemas.openxmlformats.org/spreadsheetml/2006/main" count="209" uniqueCount="84">
  <si>
    <t>Поставка сырья</t>
  </si>
  <si>
    <t>Общий объем сырья</t>
  </si>
  <si>
    <t>Постащик3</t>
  </si>
  <si>
    <t>Доля Поставщика</t>
  </si>
  <si>
    <t>Станции</t>
  </si>
  <si>
    <t>Магазины</t>
  </si>
  <si>
    <t>Реализовано</t>
  </si>
  <si>
    <t>Запасы</t>
  </si>
  <si>
    <t>М1</t>
  </si>
  <si>
    <t>М2</t>
  </si>
  <si>
    <t>М3</t>
  </si>
  <si>
    <t>С1</t>
  </si>
  <si>
    <t>С2</t>
  </si>
  <si>
    <t>Получено</t>
  </si>
  <si>
    <t>Потребность</t>
  </si>
  <si>
    <t>Доходы и расходы фирмы</t>
  </si>
  <si>
    <t>Общий доход</t>
  </si>
  <si>
    <t>Аренда</t>
  </si>
  <si>
    <t>Доля аренды</t>
  </si>
  <si>
    <t>Поставщики</t>
  </si>
  <si>
    <t>ТЭЦ</t>
  </si>
  <si>
    <t>ТЭЦ - 1</t>
  </si>
  <si>
    <t>ТЭЦ - 2</t>
  </si>
  <si>
    <t>ТЭЦ - 3</t>
  </si>
  <si>
    <t>ТЭЦ - 4</t>
  </si>
  <si>
    <t>Поставщик 1</t>
  </si>
  <si>
    <t>Поставщик 2</t>
  </si>
  <si>
    <t>Поставщик 3</t>
  </si>
  <si>
    <t>Прибыль фирмы</t>
  </si>
  <si>
    <t>Общая прибыль</t>
  </si>
  <si>
    <t>Прибыль Филиала1</t>
  </si>
  <si>
    <t>Доля прибыли Филиала1</t>
  </si>
  <si>
    <t>Хозяйство</t>
  </si>
  <si>
    <t>Участки</t>
  </si>
  <si>
    <t>Постребность</t>
  </si>
  <si>
    <t>1 участок</t>
  </si>
  <si>
    <t>2 участок</t>
  </si>
  <si>
    <t>3 участок</t>
  </si>
  <si>
    <t>4 участок</t>
  </si>
  <si>
    <t>5 участок</t>
  </si>
  <si>
    <t>6 участок</t>
  </si>
  <si>
    <t>«Урожайное»</t>
  </si>
  <si>
    <t>«Посев»</t>
  </si>
  <si>
    <t>«Широкие поля»</t>
  </si>
  <si>
    <t>Агент Николаев</t>
  </si>
  <si>
    <t>Доля Николаева</t>
  </si>
  <si>
    <t>Заводы</t>
  </si>
  <si>
    <t>«Продук-ты № 7»</t>
  </si>
  <si>
    <t>«Прод-маг»</t>
  </si>
  <si>
    <t>«Семья»</t>
  </si>
  <si>
    <t>«Магазин № 25»</t>
  </si>
  <si>
    <t>«Искра»</t>
  </si>
  <si>
    <t>«Молоко»</t>
  </si>
  <si>
    <t>«Продук-ты № 33»</t>
  </si>
  <si>
    <t>Молокозавод № 1</t>
  </si>
  <si>
    <t>Молокозавод № 2</t>
  </si>
  <si>
    <t>Молокозавод № 3</t>
  </si>
  <si>
    <t>Потребности</t>
  </si>
  <si>
    <t>Траты на рекламу</t>
  </si>
  <si>
    <t>Доля затрат на рекламу</t>
  </si>
  <si>
    <t>Производители</t>
  </si>
  <si>
    <t>Стройки</t>
  </si>
  <si>
    <t>стройка № 1</t>
  </si>
  <si>
    <t>стройка № 2</t>
  </si>
  <si>
    <t>стройка № 3</t>
  </si>
  <si>
    <t>стройка № 4</t>
  </si>
  <si>
    <t>стройка № 5</t>
  </si>
  <si>
    <t>Производитель № 1</t>
  </si>
  <si>
    <t>Производитель № 2</t>
  </si>
  <si>
    <t>Производитель № 3</t>
  </si>
  <si>
    <t>$B$4</t>
  </si>
  <si>
    <t>$B$6</t>
  </si>
  <si>
    <t>низкий</t>
  </si>
  <si>
    <t>Автор: User , 10.01.2007</t>
  </si>
  <si>
    <t>текущий</t>
  </si>
  <si>
    <t>высокий</t>
  </si>
  <si>
    <t>Структура сценария</t>
  </si>
  <si>
    <t>Изменяемые:</t>
  </si>
  <si>
    <t>Текущие значения:</t>
  </si>
  <si>
    <t>Результат:</t>
  </si>
  <si>
    <t xml:space="preserve">Примечания: столбец ''Текущие значения'' представляет значения изменяемых ячеек в </t>
  </si>
  <si>
    <t>момент создания Итогового отчета по Сценарию. Изменяемые ячейки для каждого</t>
  </si>
  <si>
    <t>сценария выделены серым цветом.</t>
  </si>
  <si>
    <t>Автор: Эрнест, 11.10.2024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</si>
</sst>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15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0"/>
      <name val="Arial Cyr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6"/>
      <name val="Times New Roman"/>
      <family val="1"/>
      <charset val="204"/>
    </font>
    <font>
      <sz val="14"/>
      <name val="Times New Roman"/>
      <family val="1"/>
      <charset val="204"/>
    </font>
    <font>
      <b/>
      <sz val="11"/>
      <color indexed="9"/>
      <name val="Arial Cyr"/>
      <charset val="204"/>
    </font>
    <font>
      <b/>
      <sz val="10"/>
      <color indexed="8"/>
      <name val="Arial Cyr"/>
      <charset val="204"/>
    </font>
    <font>
      <b/>
      <sz val="10"/>
      <color indexed="18"/>
      <name val="Arial Cyr"/>
      <charset val="204"/>
    </font>
    <font>
      <sz val="9"/>
      <color indexed="9"/>
      <name val="Arial Cyr"/>
      <charset val="204"/>
    </font>
    <font>
      <sz val="8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55">
    <xf numFmtId="0" fontId="0" fillId="0" borderId="0" xfId="0"/>
    <xf numFmtId="0" fontId="0" fillId="0" borderId="1" xfId="0" applyBorder="1"/>
    <xf numFmtId="9" fontId="0" fillId="0" borderId="1" xfId="2" applyFont="1" applyBorder="1"/>
    <xf numFmtId="0" fontId="6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5" fillId="0" borderId="1" xfId="0" applyFont="1" applyBorder="1" applyAlignment="1">
      <alignment horizontal="justify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1" xfId="1" applyFont="1" applyBorder="1"/>
    <xf numFmtId="1" fontId="9" fillId="0" borderId="4" xfId="0" applyNumberFormat="1" applyFont="1" applyBorder="1" applyAlignment="1">
      <alignment horizontal="center" vertical="center" wrapText="1"/>
    </xf>
    <xf numFmtId="1" fontId="9" fillId="0" borderId="6" xfId="0" applyNumberFormat="1" applyFont="1" applyBorder="1" applyAlignment="1">
      <alignment horizontal="center" vertical="center" wrapText="1"/>
    </xf>
    <xf numFmtId="1" fontId="9" fillId="0" borderId="5" xfId="0" applyNumberFormat="1" applyFont="1" applyBorder="1" applyAlignment="1">
      <alignment horizontal="center" vertical="center" wrapText="1"/>
    </xf>
    <xf numFmtId="1" fontId="9" fillId="0" borderId="7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0" fillId="0" borderId="0" xfId="0" applyAlignment="1"/>
    <xf numFmtId="0" fontId="9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0" fillId="0" borderId="0" xfId="0" applyFill="1" applyBorder="1" applyAlignment="1"/>
    <xf numFmtId="9" fontId="0" fillId="0" borderId="19" xfId="0" applyNumberFormat="1" applyFill="1" applyBorder="1" applyAlignment="1"/>
    <xf numFmtId="0" fontId="10" fillId="3" borderId="20" xfId="0" applyFont="1" applyFill="1" applyBorder="1" applyAlignment="1">
      <alignment horizontal="left"/>
    </xf>
    <xf numFmtId="0" fontId="10" fillId="3" borderId="18" xfId="0" applyFont="1" applyFill="1" applyBorder="1" applyAlignment="1">
      <alignment horizontal="left"/>
    </xf>
    <xf numFmtId="0" fontId="0" fillId="0" borderId="9" xfId="0" applyFill="1" applyBorder="1" applyAlignment="1"/>
    <xf numFmtId="0" fontId="11" fillId="4" borderId="0" xfId="0" applyFont="1" applyFill="1" applyBorder="1" applyAlignment="1">
      <alignment horizontal="left"/>
    </xf>
    <xf numFmtId="0" fontId="12" fillId="4" borderId="9" xfId="0" applyFont="1" applyFill="1" applyBorder="1" applyAlignment="1">
      <alignment horizontal="left"/>
    </xf>
    <xf numFmtId="0" fontId="11" fillId="4" borderId="19" xfId="0" applyFont="1" applyFill="1" applyBorder="1" applyAlignment="1">
      <alignment horizontal="left"/>
    </xf>
    <xf numFmtId="0" fontId="13" fillId="3" borderId="18" xfId="0" applyFont="1" applyFill="1" applyBorder="1" applyAlignment="1">
      <alignment horizontal="right"/>
    </xf>
    <xf numFmtId="0" fontId="13" fillId="3" borderId="20" xfId="0" applyFont="1" applyFill="1" applyBorder="1" applyAlignment="1">
      <alignment horizontal="right"/>
    </xf>
    <xf numFmtId="0" fontId="0" fillId="5" borderId="0" xfId="0" applyFill="1" applyBorder="1" applyAlignment="1"/>
    <xf numFmtId="0" fontId="14" fillId="0" borderId="0" xfId="0" applyFont="1" applyFill="1" applyBorder="1" applyAlignment="1">
      <alignment vertical="top" wrapText="1"/>
    </xf>
    <xf numFmtId="44" fontId="0" fillId="0" borderId="0" xfId="0" applyNumberFormat="1" applyFill="1" applyBorder="1" applyAlignment="1"/>
    <xf numFmtId="44" fontId="0" fillId="5" borderId="0" xfId="0" applyNumberFormat="1" applyFill="1" applyBorder="1" applyAlignme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</cellXfs>
  <cellStyles count="3"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7</xdr:row>
      <xdr:rowOff>9525</xdr:rowOff>
    </xdr:from>
    <xdr:to>
      <xdr:col>10</xdr:col>
      <xdr:colOff>285749</xdr:colOff>
      <xdr:row>21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524" y="1143000"/>
          <a:ext cx="7058025" cy="2381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Завод за 2022 г. получил для производства своей продукции 36,5 тонн сырья от разных поставщиков. Поставщик3 за этот год отправил заводу 11,3 тонны сырья.</a:t>
          </a:r>
        </a:p>
        <a:p>
          <a:endParaRPr lang="ru-RU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 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 ячейке В6</a:t>
          </a:r>
          <a:r>
            <a:rPr lang="ru-RU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рассчитайте долю (процент) этого поставщика в общем количестве поставленного сырья.</a:t>
          </a:r>
        </a:p>
        <a:p>
          <a:endParaRPr lang="ru-RU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Через подбор параметра определите, какой размер поставок Поставщик3 должен был сделать, чтобы его доля составила 25%.</a:t>
          </a:r>
        </a:p>
        <a:p>
          <a:endParaRPr lang="ru-RU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Создайте сравнительную таблицу сценариев (</a:t>
          </a:r>
          <a:r>
            <a:rPr lang="ru-RU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отчет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типу </a:t>
          </a:r>
          <a:r>
            <a:rPr lang="ru-RU" sz="12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структура сценариев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), рассчитывающих долю поставок Поставщика3 для случаев: если размер его поставок упадет до 10 тонн (название сценария – </a:t>
          </a:r>
          <a:r>
            <a:rPr lang="ru-RU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низкий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), останется прежним (название сценария – </a:t>
          </a:r>
          <a:r>
            <a:rPr lang="ru-RU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текущий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или возрастет до 20 тонн (название сценария – </a:t>
          </a:r>
          <a:r>
            <a:rPr lang="ru-RU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высокий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).</a:t>
          </a:r>
          <a:endParaRPr lang="ru-RU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7</xdr:row>
      <xdr:rowOff>9525</xdr:rowOff>
    </xdr:from>
    <xdr:to>
      <xdr:col>11</xdr:col>
      <xdr:colOff>123825</xdr:colOff>
      <xdr:row>19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9524" y="1143000"/>
          <a:ext cx="7867651" cy="2028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Фирма за 2021 г. затратила на аренду помещения 120 000 р. Общий доход фирмы за этот год составил 1 185 000 р.</a:t>
          </a:r>
        </a:p>
        <a:p>
          <a:endParaRPr lang="ru-RU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 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 ячейке В6</a:t>
          </a:r>
          <a:r>
            <a:rPr lang="ru-RU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рассчитайте процент дохода, потраченный фирмой на аренду.</a:t>
          </a:r>
        </a:p>
        <a:p>
          <a:endParaRPr lang="ru-RU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Через подбор параметра определите, какой размер платы за аренду должен был быть, чтобы его доля составила 5%.</a:t>
          </a:r>
        </a:p>
        <a:p>
          <a:endParaRPr lang="ru-RU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Создайте сравнительную таблицу сценариев (</a:t>
          </a:r>
          <a:r>
            <a:rPr lang="ru-RU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отчет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типу </a:t>
          </a:r>
          <a:r>
            <a:rPr lang="ru-RU" sz="12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структура сценариев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), рассчитывающих долю платы за аренду для случаев: если ее размер упадет до 110 000 р. (название сценария – </a:t>
          </a:r>
          <a:r>
            <a:rPr lang="ru-RU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низкий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), останется прежним (название сценария – </a:t>
          </a:r>
          <a:r>
            <a:rPr lang="ru-RU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текущий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или возрастет до 250 000 р. (название сценария – </a:t>
          </a:r>
          <a:r>
            <a:rPr lang="ru-RU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высокий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).</a:t>
          </a:r>
          <a:endParaRPr lang="ru-RU" sz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7</xdr:row>
      <xdr:rowOff>9525</xdr:rowOff>
    </xdr:from>
    <xdr:to>
      <xdr:col>11</xdr:col>
      <xdr:colOff>123825</xdr:colOff>
      <xdr:row>19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9524" y="1143000"/>
          <a:ext cx="7867651" cy="2028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Прибыль фирмы в целом за 2022 г. составила 985 000 р. Филиал1 за этот год принес фирме прибыль 212 800 р.</a:t>
          </a:r>
        </a:p>
        <a:p>
          <a:endParaRPr lang="ru-RU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 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 ячейке В6</a:t>
          </a:r>
          <a:r>
            <a:rPr lang="ru-RU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рассчитайте процент прибыли Филиала1 в общей прибыли фирмы за 2022 г.</a:t>
          </a:r>
        </a:p>
        <a:p>
          <a:endParaRPr lang="ru-RU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Через подбор параметра определите, какой размер прибыли Филиала1 должен был быть, чтобы его доля составила 30%.</a:t>
          </a:r>
        </a:p>
        <a:p>
          <a:endParaRPr lang="ru-RU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Создайте сравнительную таблицу сценариев (</a:t>
          </a:r>
          <a:r>
            <a:rPr lang="ru-RU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отчет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типу </a:t>
          </a:r>
          <a:r>
            <a:rPr lang="ru-RU" sz="12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структура сценариев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), рассчитывающих долю прибыли Филиала1 для случаев: если ее размер упадет до 200 000 р. (название сценария – </a:t>
          </a:r>
          <a:r>
            <a:rPr lang="ru-RU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низкий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), останется прежним (название сценария – </a:t>
          </a:r>
          <a:r>
            <a:rPr lang="ru-RU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текущий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или возрастет до 250 000 р. (название сценария – </a:t>
          </a:r>
          <a:r>
            <a:rPr lang="ru-RU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высокий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).</a:t>
          </a:r>
        </a:p>
        <a:p>
          <a:r>
            <a:rPr lang="ru-RU" sz="1200">
              <a:effectLst/>
            </a:rPr>
            <a:t> 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7</xdr:row>
      <xdr:rowOff>9525</xdr:rowOff>
    </xdr:from>
    <xdr:to>
      <xdr:col>11</xdr:col>
      <xdr:colOff>123825</xdr:colOff>
      <xdr:row>21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9524" y="1143000"/>
          <a:ext cx="8086726" cy="2257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Прибыль первого филиала фирмы за 2023</a:t>
          </a:r>
          <a:r>
            <a:rPr lang="ru-RU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г. составила 850 300 р. Торговый агент Николаев за этот год принес фирме прибыль 215 900 р.</a:t>
          </a:r>
        </a:p>
        <a:p>
          <a:endParaRPr lang="ru-RU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 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 ячейке В6</a:t>
          </a:r>
          <a:r>
            <a:rPr lang="ru-RU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рассчитайте процент прибыли агента Николаева в общей прибыли фирмы за 2023 г.</a:t>
          </a:r>
        </a:p>
        <a:p>
          <a:endParaRPr lang="ru-RU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Через подбор параметра определите, какой размер прибыли должен был быть у агента Николаева, чтобы его доля составила 30%.</a:t>
          </a:r>
        </a:p>
        <a:p>
          <a:endParaRPr lang="ru-RU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Создайте сравнительную таблицу сценариев (</a:t>
          </a:r>
          <a:r>
            <a:rPr lang="ru-RU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отчет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типу </a:t>
          </a:r>
          <a:r>
            <a:rPr lang="ru-RU" sz="12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структура сценариев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), рассчитывающих долю прибыли агента Николаева для случаев: если ее размер упадет до 150 000 р. (название сценария - </a:t>
          </a:r>
          <a:r>
            <a:rPr lang="ru-RU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низкий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), останется прежним (название сценария - </a:t>
          </a:r>
          <a:r>
            <a:rPr lang="ru-RU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текущий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или возрастет до 300 000 р. (название сценария - </a:t>
          </a:r>
          <a:r>
            <a:rPr lang="ru-RU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высокий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7</xdr:row>
      <xdr:rowOff>9525</xdr:rowOff>
    </xdr:from>
    <xdr:to>
      <xdr:col>11</xdr:col>
      <xdr:colOff>333375</xdr:colOff>
      <xdr:row>21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9524" y="1143000"/>
          <a:ext cx="8296276" cy="2314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Некоторая фирма в 2022 г. потратила 165 000 р. на рекламу своей продукции. Общий доход фирмы за этот год составил 2 830 000 р.</a:t>
          </a:r>
        </a:p>
        <a:p>
          <a:endParaRPr lang="ru-RU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 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 ячейке В6</a:t>
          </a:r>
          <a:r>
            <a:rPr lang="ru-RU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рассчитайте долю (процент) дохода, потраченный на рекламу.</a:t>
          </a:r>
        </a:p>
        <a:p>
          <a:endParaRPr lang="ru-RU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Через подбор параметра определите, какова должна быть сумма на рекламу, чтобы ее доля составляла 5% от общего дохода.</a:t>
          </a:r>
        </a:p>
        <a:p>
          <a:endParaRPr lang="ru-RU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Создайте сравнительную таблицу сценариев (</a:t>
          </a:r>
          <a:r>
            <a:rPr lang="ru-RU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отчет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типу </a:t>
          </a:r>
          <a:r>
            <a:rPr lang="ru-RU" sz="12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структура сценариев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), рассчитывающих долю затрат на рекламу для случаев: если ее размер упадет до 80 000 р. (название сценария – </a:t>
          </a:r>
          <a:r>
            <a:rPr lang="ru-RU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низкий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), останется прежним (название сценария – </a:t>
          </a:r>
          <a:r>
            <a:rPr lang="ru-RU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текущий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или возрастет до 200 000 р. (название сценария – </a:t>
          </a:r>
          <a:r>
            <a:rPr lang="ru-RU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высокий</a:t>
          </a:r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16</xdr:row>
      <xdr:rowOff>38101</xdr:rowOff>
    </xdr:from>
    <xdr:to>
      <xdr:col>3</xdr:col>
      <xdr:colOff>1133475</xdr:colOff>
      <xdr:row>29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28575" y="3514726"/>
          <a:ext cx="5762625" cy="21050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200">
              <a:effectLst/>
            </a:rPr>
            <a:t>На товарных станциях C1 и C2 имеется по 30 комплектов мебели.</a:t>
          </a:r>
        </a:p>
        <a:p>
          <a:endParaRPr lang="ru-RU" sz="1200">
            <a:effectLst/>
          </a:endParaRPr>
        </a:p>
        <a:p>
          <a:r>
            <a:rPr lang="ru-RU" sz="1200">
              <a:effectLst/>
            </a:rPr>
            <a:t>Известно, что перевозка одного комплекта со станции С1 в магазины М1, М2, М3 стоит соответственно 50 руб., 150 руб., 250 руб., а стоимость перевозки со станции С2 в те же магазины – 100 руб., 250 руб., 200 руб.</a:t>
          </a:r>
        </a:p>
        <a:p>
          <a:endParaRPr lang="ru-RU" sz="1200">
            <a:effectLst/>
          </a:endParaRPr>
        </a:p>
        <a:p>
          <a:r>
            <a:rPr lang="ru-RU" sz="1200">
              <a:effectLst/>
            </a:rPr>
            <a:t>Необходимо доставить в каждый магазин по 20 комплектов мебели.</a:t>
          </a:r>
        </a:p>
        <a:p>
          <a:endParaRPr lang="ru-RU" sz="1200">
            <a:effectLst/>
          </a:endParaRPr>
        </a:p>
        <a:p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Составьте план перевозок так, чтобы затраты на транспортировку мебели были наименьшими.</a:t>
          </a:r>
          <a:endParaRPr lang="ru-RU" sz="12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18</xdr:row>
      <xdr:rowOff>85726</xdr:rowOff>
    </xdr:from>
    <xdr:to>
      <xdr:col>7</xdr:col>
      <xdr:colOff>247650</xdr:colOff>
      <xdr:row>32</xdr:row>
      <xdr:rowOff>47626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04775" y="3829051"/>
          <a:ext cx="8220075" cy="2228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Распределите уголь от трёх поставщиков между четырьмя ТЭЦ с целью минимизировать затраты, если известны следующие данные:</a:t>
          </a:r>
        </a:p>
        <a:p>
          <a:endParaRPr lang="ru-RU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потребности каждой ТЭЦ в угле в месяц: ТЭЦ-1 – 9 000 т., ТЭЦ-2 – 16 500 т., ТЭЦ‑3 – 14 800 т., ТЭЦ-4 – 16 000 т.;</a:t>
          </a:r>
        </a:p>
        <a:p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поставщики могут поставлять каждый месяц следующие объемы угля: 1 поставщик – 21 300 т., 2 поставщик – 20 000 т., 3 поставщик – 15 000 т.;</a:t>
          </a:r>
        </a:p>
        <a:p>
          <a:r>
            <a:rPr lang="ru-RU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затраты на доставку одной тонны угля приведены в таблице:</a:t>
          </a:r>
        </a:p>
        <a:p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ru-R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</xdr:txBody>
    </xdr:sp>
    <xdr:clientData/>
  </xdr:twoCellAnchor>
  <xdr:twoCellAnchor editAs="oneCell">
    <xdr:from>
      <xdr:col>0</xdr:col>
      <xdr:colOff>86969</xdr:colOff>
      <xdr:row>27</xdr:row>
      <xdr:rowOff>76200</xdr:rowOff>
    </xdr:from>
    <xdr:to>
      <xdr:col>3</xdr:col>
      <xdr:colOff>742951</xdr:colOff>
      <xdr:row>31</xdr:row>
      <xdr:rowOff>72227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9" y="5276850"/>
          <a:ext cx="4427882" cy="64372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18</xdr:row>
      <xdr:rowOff>47625</xdr:rowOff>
    </xdr:from>
    <xdr:to>
      <xdr:col>8</xdr:col>
      <xdr:colOff>85725</xdr:colOff>
      <xdr:row>34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47625" y="4000500"/>
          <a:ext cx="8420100" cy="2581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200">
              <a:effectLst/>
            </a:rPr>
            <a:t>Распределите посевные площади между тремя хозяйствами «Урожайное», «Посев», «Широкие поля» с целью минимизировать затраты, если известны следующие данные:</a:t>
          </a:r>
        </a:p>
        <a:p>
          <a:endParaRPr lang="ru-RU" sz="1200">
            <a:effectLst/>
          </a:endParaRPr>
        </a:p>
        <a:p>
          <a:r>
            <a:rPr lang="ru-RU" sz="1200">
              <a:effectLst/>
            </a:rPr>
            <a:t>- потребности каждого хозяйства в посевных площадях: «Урожайное» – 900 га, «Посев» – 600 га, «Широкие поля» – 1100 га;</a:t>
          </a:r>
        </a:p>
        <a:p>
          <a:r>
            <a:rPr lang="ru-RU" sz="1200">
              <a:effectLst/>
            </a:rPr>
            <a:t>-</a:t>
          </a:r>
          <a:r>
            <a:rPr lang="ru-RU" sz="1200" baseline="0">
              <a:effectLst/>
            </a:rPr>
            <a:t> </a:t>
          </a:r>
          <a:r>
            <a:rPr lang="ru-RU" sz="1200">
              <a:effectLst/>
            </a:rPr>
            <a:t>для посевов имеется шесть участков, площади которых: 1 участок – 400 га, 2 участок – 600 га, 3 участок – 600 га, 4 участок – 500 га, 5 участок – 250 га, 6 участок – 250 га;</a:t>
          </a:r>
        </a:p>
        <a:p>
          <a:r>
            <a:rPr lang="ru-RU" sz="1200">
              <a:effectLst/>
            </a:rPr>
            <a:t>- затраты на обработку одного гектара каждого участка каждым хозяйством приведены в таблице:</a:t>
          </a:r>
        </a:p>
        <a:p>
          <a:endParaRPr lang="ru-RU" sz="1100"/>
        </a:p>
      </xdr:txBody>
    </xdr:sp>
    <xdr:clientData/>
  </xdr:twoCellAnchor>
  <xdr:twoCellAnchor editAs="oneCell">
    <xdr:from>
      <xdr:col>0</xdr:col>
      <xdr:colOff>276225</xdr:colOff>
      <xdr:row>27</xdr:row>
      <xdr:rowOff>66675</xdr:rowOff>
    </xdr:from>
    <xdr:to>
      <xdr:col>6</xdr:col>
      <xdr:colOff>142875</xdr:colOff>
      <xdr:row>32</xdr:row>
      <xdr:rowOff>12399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5476875"/>
          <a:ext cx="6067425" cy="75534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18</xdr:row>
      <xdr:rowOff>38100</xdr:rowOff>
    </xdr:from>
    <xdr:to>
      <xdr:col>8</xdr:col>
      <xdr:colOff>800100</xdr:colOff>
      <xdr:row>34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85725" y="4391025"/>
          <a:ext cx="11115675" cy="2705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effectLst/>
            </a:rPr>
            <a:t>Составьте план доставки молока по семи магазинам от трех молокозаводов с целью минимизировать затраты, если известны следующие данные:</a:t>
          </a:r>
        </a:p>
        <a:p>
          <a:endParaRPr lang="ru-RU">
            <a:effectLst/>
          </a:endParaRPr>
        </a:p>
        <a:p>
          <a:r>
            <a:rPr lang="ru-RU" sz="1100">
              <a:effectLst/>
            </a:rPr>
            <a:t>- потребности каждого магазина: «Продукты № 7» – 5500 л., «Продмаг» – 1500 л., «Семья» – 6000 л., «Магазин № 25» – 5300 л., «Искра» – 7500 л., «Молоко» – 8200 л., «Продукты № 33» – 4800 л.;</a:t>
          </a:r>
          <a:endParaRPr lang="ru-RU">
            <a:effectLst/>
          </a:endParaRPr>
        </a:p>
        <a:p>
          <a:r>
            <a:rPr lang="ru-RU" sz="1100">
              <a:effectLst/>
            </a:rPr>
            <a:t>- производство молокозаводов: Молокозавод № 1 – 13000 л., Молокозавод № 2 – 14500 л., Молокозавод № 3 – 11300 л.;</a:t>
          </a:r>
          <a:endParaRPr lang="ru-RU">
            <a:effectLst/>
          </a:endParaRPr>
        </a:p>
        <a:p>
          <a:r>
            <a:rPr lang="ru-RU" sz="1100">
              <a:effectLst/>
            </a:rPr>
            <a:t>- затраты на перевозку одного литра от каждого молокозавода в каждый магазин приведены в таблице:</a:t>
          </a:r>
          <a:endParaRPr lang="ru-RU">
            <a:effectLst/>
          </a:endParaRPr>
        </a:p>
        <a:p>
          <a:endParaRPr lang="ru-RU" sz="1100"/>
        </a:p>
      </xdr:txBody>
    </xdr:sp>
    <xdr:clientData/>
  </xdr:twoCellAnchor>
  <xdr:twoCellAnchor editAs="oneCell">
    <xdr:from>
      <xdr:col>0</xdr:col>
      <xdr:colOff>200024</xdr:colOff>
      <xdr:row>26</xdr:row>
      <xdr:rowOff>8368</xdr:rowOff>
    </xdr:from>
    <xdr:to>
      <xdr:col>3</xdr:col>
      <xdr:colOff>848709</xdr:colOff>
      <xdr:row>33</xdr:row>
      <xdr:rowOff>76435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4" y="5656693"/>
          <a:ext cx="5030185" cy="120154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17</xdr:row>
      <xdr:rowOff>0</xdr:rowOff>
    </xdr:from>
    <xdr:to>
      <xdr:col>6</xdr:col>
      <xdr:colOff>495299</xdr:colOff>
      <xdr:row>31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28574" y="3952875"/>
          <a:ext cx="8639175" cy="2409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200">
              <a:effectLst/>
            </a:rPr>
            <a:t>Составьте план перевозок цементного раствора по пяти стройкам от трёх производителей с целью минимизировать затраты, если известны следующие данные:</a:t>
          </a:r>
        </a:p>
        <a:p>
          <a:endParaRPr lang="ru-RU" sz="1200">
            <a:effectLst/>
          </a:endParaRPr>
        </a:p>
        <a:p>
          <a:r>
            <a:rPr lang="ru-RU" sz="1200">
              <a:effectLst/>
            </a:rPr>
            <a:t>- потребности каждой стройки в цементном растворе: стройка № 1 – 5000 м</a:t>
          </a:r>
          <a:r>
            <a:rPr lang="ru-RU" sz="1200" baseline="30000">
              <a:effectLst/>
            </a:rPr>
            <a:t>3</a:t>
          </a:r>
          <a:r>
            <a:rPr lang="ru-RU" sz="1200">
              <a:effectLst/>
            </a:rPr>
            <a:t>, стройка № 2 – 6500 м</a:t>
          </a:r>
          <a:r>
            <a:rPr lang="ru-RU" sz="1200" baseline="30000">
              <a:effectLst/>
            </a:rPr>
            <a:t>3</a:t>
          </a:r>
          <a:r>
            <a:rPr lang="ru-RU" sz="1200">
              <a:effectLst/>
            </a:rPr>
            <a:t>, стройка № 3 – 7000 м</a:t>
          </a:r>
          <a:r>
            <a:rPr lang="ru-RU" sz="1200" baseline="30000">
              <a:effectLst/>
            </a:rPr>
            <a:t>3</a:t>
          </a:r>
          <a:r>
            <a:rPr lang="ru-RU" sz="1200">
              <a:effectLst/>
            </a:rPr>
            <a:t>, стройка № 4 – 3000 м</a:t>
          </a:r>
          <a:r>
            <a:rPr lang="ru-RU" sz="1200" baseline="30000">
              <a:effectLst/>
            </a:rPr>
            <a:t>3</a:t>
          </a:r>
          <a:r>
            <a:rPr lang="ru-RU" sz="1200">
              <a:effectLst/>
            </a:rPr>
            <a:t>, стройка № 5 – 5500 м</a:t>
          </a:r>
          <a:r>
            <a:rPr lang="ru-RU" sz="1200" baseline="30000">
              <a:effectLst/>
            </a:rPr>
            <a:t>3</a:t>
          </a:r>
          <a:r>
            <a:rPr lang="ru-RU" sz="1200">
              <a:effectLst/>
            </a:rPr>
            <a:t>;</a:t>
          </a:r>
        </a:p>
        <a:p>
          <a:r>
            <a:rPr lang="ru-RU" sz="1200">
              <a:effectLst/>
            </a:rPr>
            <a:t>- производство цементного раствора производителями: 1 производитель – 9000 м</a:t>
          </a:r>
          <a:r>
            <a:rPr lang="ru-RU" sz="1200" baseline="30000">
              <a:effectLst/>
            </a:rPr>
            <a:t>3</a:t>
          </a:r>
          <a:r>
            <a:rPr lang="ru-RU" sz="1200">
              <a:effectLst/>
            </a:rPr>
            <a:t>, 2 производитель – 10000 м</a:t>
          </a:r>
          <a:r>
            <a:rPr lang="ru-RU" sz="1200" baseline="30000">
              <a:effectLst/>
            </a:rPr>
            <a:t>3</a:t>
          </a:r>
          <a:r>
            <a:rPr lang="ru-RU" sz="1200">
              <a:effectLst/>
            </a:rPr>
            <a:t>, 3 производитель – 8000 м</a:t>
          </a:r>
          <a:r>
            <a:rPr lang="ru-RU" sz="1200" baseline="30000">
              <a:effectLst/>
            </a:rPr>
            <a:t>3</a:t>
          </a:r>
          <a:r>
            <a:rPr lang="ru-RU" sz="1200">
              <a:effectLst/>
            </a:rPr>
            <a:t>;</a:t>
          </a:r>
        </a:p>
        <a:p>
          <a:r>
            <a:rPr lang="ru-RU" sz="1200">
              <a:effectLst/>
            </a:rPr>
            <a:t>- затраты на перевозку одного кубометра от каждого производителя на каждую стройку приведены в таблице:</a:t>
          </a:r>
        </a:p>
        <a:p>
          <a:endParaRPr lang="ru-RU" sz="1100"/>
        </a:p>
      </xdr:txBody>
    </xdr:sp>
    <xdr:clientData/>
  </xdr:twoCellAnchor>
  <xdr:twoCellAnchor editAs="oneCell">
    <xdr:from>
      <xdr:col>0</xdr:col>
      <xdr:colOff>47625</xdr:colOff>
      <xdr:row>26</xdr:row>
      <xdr:rowOff>133350</xdr:rowOff>
    </xdr:from>
    <xdr:to>
      <xdr:col>4</xdr:col>
      <xdr:colOff>102789</xdr:colOff>
      <xdr:row>31</xdr:row>
      <xdr:rowOff>76200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5543550"/>
          <a:ext cx="5674914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B6" sqref="B6"/>
    </sheetView>
  </sheetViews>
  <sheetFormatPr defaultRowHeight="12.75" x14ac:dyDescent="0.2"/>
  <cols>
    <col min="1" max="1" width="19.42578125" customWidth="1"/>
  </cols>
  <sheetData>
    <row r="1" spans="1:4" x14ac:dyDescent="0.2">
      <c r="A1" s="41" t="s">
        <v>0</v>
      </c>
      <c r="B1" s="41"/>
      <c r="C1" s="41"/>
      <c r="D1" s="41"/>
    </row>
    <row r="3" spans="1:4" x14ac:dyDescent="0.2">
      <c r="A3" s="1" t="s">
        <v>1</v>
      </c>
      <c r="B3" s="1">
        <v>36.5</v>
      </c>
    </row>
    <row r="4" spans="1:4" x14ac:dyDescent="0.2">
      <c r="A4" s="1" t="s">
        <v>2</v>
      </c>
      <c r="B4" s="1">
        <v>9.125</v>
      </c>
    </row>
    <row r="5" spans="1:4" x14ac:dyDescent="0.2">
      <c r="A5" s="1"/>
      <c r="B5" s="1"/>
    </row>
    <row r="6" spans="1:4" x14ac:dyDescent="0.2">
      <c r="A6" s="1" t="s">
        <v>3</v>
      </c>
      <c r="B6" s="2">
        <f>B4/B3</f>
        <v>0.25</v>
      </c>
    </row>
  </sheetData>
  <scenarios current="2" show="0" sqref="B6">
    <scenario name="низкий" locked="1" count="1" user="User" comment="Автор: User , 10.01.2007">
      <inputCells r="B4" val="10"/>
    </scenario>
    <scenario name="текущий" locked="1" count="1" user="User" comment="Автор: User , 10.01.2007">
      <inputCells r="B4" val="11,3"/>
    </scenario>
    <scenario name="высокий" locked="1" count="1" user="User" comment="Автор: User , 10.01.2007">
      <inputCells r="B4" val="20"/>
    </scenario>
  </scenarios>
  <mergeCells count="1">
    <mergeCell ref="A1:D1"/>
  </mergeCells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88830-9357-499F-B588-EDDCB2AEB1D7}">
  <sheetPr>
    <outlinePr summaryBelow="0"/>
  </sheetPr>
  <dimension ref="B1:G11"/>
  <sheetViews>
    <sheetView showGridLines="0" workbookViewId="0"/>
  </sheetViews>
  <sheetFormatPr defaultRowHeight="12.75" outlineLevelRow="1" outlineLevelCol="1" x14ac:dyDescent="0.2"/>
  <cols>
    <col min="3" max="3" width="5.28515625" bestFit="1" customWidth="1"/>
    <col min="4" max="7" width="16.5703125" bestFit="1" customWidth="1" outlineLevel="1"/>
  </cols>
  <sheetData>
    <row r="1" spans="2:7" ht="13.5" thickBot="1" x14ac:dyDescent="0.25"/>
    <row r="2" spans="2:7" ht="15" x14ac:dyDescent="0.25">
      <c r="B2" s="30" t="s">
        <v>76</v>
      </c>
      <c r="C2" s="30"/>
      <c r="D2" s="35"/>
      <c r="E2" s="35"/>
      <c r="F2" s="35"/>
      <c r="G2" s="35"/>
    </row>
    <row r="3" spans="2:7" ht="15" collapsed="1" x14ac:dyDescent="0.25">
      <c r="B3" s="29"/>
      <c r="C3" s="29"/>
      <c r="D3" s="36" t="s">
        <v>78</v>
      </c>
      <c r="E3" s="36" t="s">
        <v>72</v>
      </c>
      <c r="F3" s="36" t="s">
        <v>74</v>
      </c>
      <c r="G3" s="36" t="s">
        <v>75</v>
      </c>
    </row>
    <row r="4" spans="2:7" ht="22.5" hidden="1" outlineLevel="1" x14ac:dyDescent="0.2">
      <c r="B4" s="32"/>
      <c r="C4" s="32"/>
      <c r="D4" s="27"/>
      <c r="E4" s="38" t="s">
        <v>73</v>
      </c>
      <c r="F4" s="38" t="s">
        <v>73</v>
      </c>
      <c r="G4" s="38" t="s">
        <v>73</v>
      </c>
    </row>
    <row r="5" spans="2:7" x14ac:dyDescent="0.2">
      <c r="B5" s="33" t="s">
        <v>77</v>
      </c>
      <c r="C5" s="33"/>
      <c r="D5" s="31"/>
      <c r="E5" s="31"/>
      <c r="F5" s="31"/>
      <c r="G5" s="31"/>
    </row>
    <row r="6" spans="2:7" outlineLevel="1" x14ac:dyDescent="0.2">
      <c r="B6" s="32"/>
      <c r="C6" s="32" t="s">
        <v>70</v>
      </c>
      <c r="D6" s="27">
        <v>10</v>
      </c>
      <c r="E6" s="37">
        <v>10</v>
      </c>
      <c r="F6" s="37">
        <v>11.3</v>
      </c>
      <c r="G6" s="37">
        <v>20</v>
      </c>
    </row>
    <row r="7" spans="2:7" x14ac:dyDescent="0.2">
      <c r="B7" s="33" t="s">
        <v>79</v>
      </c>
      <c r="C7" s="33"/>
      <c r="D7" s="31"/>
      <c r="E7" s="31"/>
      <c r="F7" s="31"/>
      <c r="G7" s="31"/>
    </row>
    <row r="8" spans="2:7" ht="13.5" outlineLevel="1" thickBot="1" x14ac:dyDescent="0.25">
      <c r="B8" s="34"/>
      <c r="C8" s="34" t="s">
        <v>71</v>
      </c>
      <c r="D8" s="28">
        <v>0.27397260273972601</v>
      </c>
      <c r="E8" s="28">
        <v>0.27397260273972601</v>
      </c>
      <c r="F8" s="28">
        <v>0.30958904109589003</v>
      </c>
      <c r="G8" s="28">
        <v>0.54794520547945202</v>
      </c>
    </row>
    <row r="9" spans="2:7" x14ac:dyDescent="0.2">
      <c r="B9" t="s">
        <v>80</v>
      </c>
    </row>
    <row r="10" spans="2:7" x14ac:dyDescent="0.2">
      <c r="B10" t="s">
        <v>81</v>
      </c>
    </row>
    <row r="11" spans="2:7" x14ac:dyDescent="0.2">
      <c r="B11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B6" sqref="B6"/>
    </sheetView>
  </sheetViews>
  <sheetFormatPr defaultRowHeight="12.75" x14ac:dyDescent="0.2"/>
  <cols>
    <col min="1" max="1" width="19.42578125" customWidth="1"/>
    <col min="2" max="2" width="14.5703125" bestFit="1" customWidth="1"/>
  </cols>
  <sheetData>
    <row r="1" spans="1:4" x14ac:dyDescent="0.2">
      <c r="A1" s="41" t="s">
        <v>15</v>
      </c>
      <c r="B1" s="41"/>
      <c r="C1" s="41"/>
      <c r="D1" s="41"/>
    </row>
    <row r="3" spans="1:4" x14ac:dyDescent="0.2">
      <c r="A3" s="1" t="s">
        <v>16</v>
      </c>
      <c r="B3" s="14">
        <v>1185000</v>
      </c>
    </row>
    <row r="4" spans="1:4" x14ac:dyDescent="0.2">
      <c r="A4" s="1" t="s">
        <v>17</v>
      </c>
      <c r="B4" s="14">
        <v>59250</v>
      </c>
    </row>
    <row r="5" spans="1:4" x14ac:dyDescent="0.2">
      <c r="A5" s="1"/>
      <c r="B5" s="1"/>
    </row>
    <row r="6" spans="1:4" x14ac:dyDescent="0.2">
      <c r="A6" s="1" t="s">
        <v>18</v>
      </c>
      <c r="B6" s="2">
        <f>B4/B3</f>
        <v>0.05</v>
      </c>
    </row>
  </sheetData>
  <scenarios current="0" sqref="B6">
    <scenario name="низкий" locked="1" count="1" user="Диана" comment="Автор: Эрнест, 11.10.2024">
      <inputCells r="B4" val="110000" numFmtId="44"/>
    </scenario>
    <scenario name="текущий" locked="1" count="1" user="Диана" comment="Автор: Эрнест, 11.10.2024">
      <inputCells r="B4" val="120000" numFmtId="44"/>
    </scenario>
    <scenario name="высокий" locked="1" count="1" user="Диана" comment="Автор: Эрнест, 11.10.2024">
      <inputCells r="B4" val="250000" numFmtId="44"/>
    </scenario>
  </scenarios>
  <mergeCells count="1">
    <mergeCell ref="A1:D1"/>
  </mergeCells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66A97-A4B3-4A99-9DE6-A3D654D7E5EA}">
  <sheetPr>
    <outlinePr summaryBelow="0"/>
  </sheetPr>
  <dimension ref="B1:G11"/>
  <sheetViews>
    <sheetView showGridLines="0" workbookViewId="0"/>
  </sheetViews>
  <sheetFormatPr defaultRowHeight="12.75" outlineLevelRow="1" outlineLevelCol="1" x14ac:dyDescent="0.2"/>
  <cols>
    <col min="3" max="3" width="5.28515625" bestFit="1" customWidth="1"/>
    <col min="4" max="7" width="16.5703125" bestFit="1" customWidth="1" outlineLevel="1"/>
  </cols>
  <sheetData>
    <row r="1" spans="2:7" ht="13.5" thickBot="1" x14ac:dyDescent="0.25"/>
    <row r="2" spans="2:7" ht="15" x14ac:dyDescent="0.25">
      <c r="B2" s="30" t="s">
        <v>76</v>
      </c>
      <c r="C2" s="30"/>
      <c r="D2" s="35"/>
      <c r="E2" s="35"/>
      <c r="F2" s="35"/>
      <c r="G2" s="35"/>
    </row>
    <row r="3" spans="2:7" ht="15" collapsed="1" x14ac:dyDescent="0.25">
      <c r="B3" s="29"/>
      <c r="C3" s="29"/>
      <c r="D3" s="36" t="s">
        <v>78</v>
      </c>
      <c r="E3" s="36" t="s">
        <v>72</v>
      </c>
      <c r="F3" s="36" t="s">
        <v>74</v>
      </c>
      <c r="G3" s="36" t="s">
        <v>75</v>
      </c>
    </row>
    <row r="4" spans="2:7" ht="22.5" hidden="1" outlineLevel="1" x14ac:dyDescent="0.2">
      <c r="B4" s="32"/>
      <c r="C4" s="32"/>
      <c r="D4" s="27"/>
      <c r="E4" s="38" t="s">
        <v>83</v>
      </c>
      <c r="F4" s="38" t="s">
        <v>83</v>
      </c>
      <c r="G4" s="38" t="s">
        <v>83</v>
      </c>
    </row>
    <row r="5" spans="2:7" x14ac:dyDescent="0.2">
      <c r="B5" s="33" t="s">
        <v>77</v>
      </c>
      <c r="C5" s="33"/>
      <c r="D5" s="31"/>
      <c r="E5" s="31"/>
      <c r="F5" s="31"/>
      <c r="G5" s="31"/>
    </row>
    <row r="6" spans="2:7" outlineLevel="1" x14ac:dyDescent="0.2">
      <c r="B6" s="32"/>
      <c r="C6" s="32" t="s">
        <v>70</v>
      </c>
      <c r="D6" s="39">
        <v>250000</v>
      </c>
      <c r="E6" s="40">
        <v>110000</v>
      </c>
      <c r="F6" s="40">
        <v>120000</v>
      </c>
      <c r="G6" s="40">
        <v>250000</v>
      </c>
    </row>
    <row r="7" spans="2:7" x14ac:dyDescent="0.2">
      <c r="B7" s="33" t="s">
        <v>79</v>
      </c>
      <c r="C7" s="33"/>
      <c r="D7" s="31"/>
      <c r="E7" s="31"/>
      <c r="F7" s="31"/>
      <c r="G7" s="31"/>
    </row>
    <row r="8" spans="2:7" ht="13.5" outlineLevel="1" thickBot="1" x14ac:dyDescent="0.25">
      <c r="B8" s="34"/>
      <c r="C8" s="34" t="s">
        <v>71</v>
      </c>
      <c r="D8" s="28">
        <v>0.21097046413502099</v>
      </c>
      <c r="E8" s="28">
        <v>9.2827004219409301E-2</v>
      </c>
      <c r="F8" s="28">
        <v>0.10126582278481</v>
      </c>
      <c r="G8" s="28">
        <v>0.21097046413502099</v>
      </c>
    </row>
    <row r="9" spans="2:7" x14ac:dyDescent="0.2">
      <c r="B9" t="s">
        <v>80</v>
      </c>
    </row>
    <row r="10" spans="2:7" x14ac:dyDescent="0.2">
      <c r="B10" t="s">
        <v>81</v>
      </c>
    </row>
    <row r="11" spans="2:7" x14ac:dyDescent="0.2">
      <c r="B1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B6" sqref="B6"/>
    </sheetView>
  </sheetViews>
  <sheetFormatPr defaultRowHeight="12.75" x14ac:dyDescent="0.2"/>
  <cols>
    <col min="1" max="1" width="22.7109375" bestFit="1" customWidth="1"/>
    <col min="2" max="2" width="14.5703125" bestFit="1" customWidth="1"/>
  </cols>
  <sheetData>
    <row r="1" spans="1:4" x14ac:dyDescent="0.2">
      <c r="A1" s="41" t="s">
        <v>28</v>
      </c>
      <c r="B1" s="41"/>
      <c r="C1" s="41"/>
      <c r="D1" s="41"/>
    </row>
    <row r="3" spans="1:4" x14ac:dyDescent="0.2">
      <c r="A3" s="1" t="s">
        <v>29</v>
      </c>
      <c r="B3" s="14">
        <v>985000</v>
      </c>
    </row>
    <row r="4" spans="1:4" x14ac:dyDescent="0.2">
      <c r="A4" s="1" t="s">
        <v>30</v>
      </c>
      <c r="B4" s="14">
        <v>295499.99999999994</v>
      </c>
    </row>
    <row r="5" spans="1:4" x14ac:dyDescent="0.2">
      <c r="A5" s="1"/>
      <c r="B5" s="1"/>
    </row>
    <row r="6" spans="1:4" x14ac:dyDescent="0.2">
      <c r="A6" s="1" t="s">
        <v>31</v>
      </c>
      <c r="B6" s="2">
        <f>B4/B3</f>
        <v>0.29999999999999993</v>
      </c>
    </row>
  </sheetData>
  <scenarios current="0" show="1" sqref="B6">
    <scenario name="низкий" locked="1" count="1" user="Диана" comment="Автор: Эрнест, 11.10.2024">
      <inputCells r="B4" val="200000" numFmtId="44"/>
    </scenario>
    <scenario name="текущий" locked="1" count="1" user="Диана" comment="Автор: Эрнест, 11.10.2024">
      <inputCells r="B4" val="212800" numFmtId="44"/>
    </scenario>
    <scenario name="высокий" locked="1" count="1" user="Диана" comment="Автор: Эрнест, 11.10.2024">
      <inputCells r="B4" val="250000" numFmtId="44"/>
    </scenario>
  </scenarios>
  <mergeCells count="1">
    <mergeCell ref="A1:D1"/>
  </mergeCells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6DB52-6251-406B-B515-32C71300DC36}">
  <sheetPr>
    <outlinePr summaryBelow="0"/>
  </sheetPr>
  <dimension ref="B1:G11"/>
  <sheetViews>
    <sheetView showGridLines="0" workbookViewId="0"/>
  </sheetViews>
  <sheetFormatPr defaultRowHeight="12.75" outlineLevelRow="1" outlineLevelCol="1" x14ac:dyDescent="0.2"/>
  <cols>
    <col min="3" max="3" width="5.28515625" bestFit="1" customWidth="1"/>
    <col min="4" max="7" width="16.5703125" bestFit="1" customWidth="1" outlineLevel="1"/>
  </cols>
  <sheetData>
    <row r="1" spans="2:7" ht="13.5" thickBot="1" x14ac:dyDescent="0.25"/>
    <row r="2" spans="2:7" ht="15" x14ac:dyDescent="0.25">
      <c r="B2" s="30" t="s">
        <v>76</v>
      </c>
      <c r="C2" s="30"/>
      <c r="D2" s="35"/>
      <c r="E2" s="35"/>
      <c r="F2" s="35"/>
      <c r="G2" s="35"/>
    </row>
    <row r="3" spans="2:7" ht="15" collapsed="1" x14ac:dyDescent="0.25">
      <c r="B3" s="29"/>
      <c r="C3" s="29"/>
      <c r="D3" s="36" t="s">
        <v>78</v>
      </c>
      <c r="E3" s="36" t="s">
        <v>72</v>
      </c>
      <c r="F3" s="36" t="s">
        <v>74</v>
      </c>
      <c r="G3" s="36" t="s">
        <v>75</v>
      </c>
    </row>
    <row r="4" spans="2:7" ht="22.5" hidden="1" outlineLevel="1" x14ac:dyDescent="0.2">
      <c r="B4" s="32"/>
      <c r="C4" s="32"/>
      <c r="D4" s="27"/>
      <c r="E4" s="38" t="s">
        <v>83</v>
      </c>
      <c r="F4" s="38" t="s">
        <v>83</v>
      </c>
      <c r="G4" s="38" t="s">
        <v>83</v>
      </c>
    </row>
    <row r="5" spans="2:7" x14ac:dyDescent="0.2">
      <c r="B5" s="33" t="s">
        <v>77</v>
      </c>
      <c r="C5" s="33"/>
      <c r="D5" s="31"/>
      <c r="E5" s="31"/>
      <c r="F5" s="31"/>
      <c r="G5" s="31"/>
    </row>
    <row r="6" spans="2:7" outlineLevel="1" x14ac:dyDescent="0.2">
      <c r="B6" s="32"/>
      <c r="C6" s="32" t="s">
        <v>70</v>
      </c>
      <c r="D6" s="39">
        <v>212800</v>
      </c>
      <c r="E6" s="40">
        <v>200000</v>
      </c>
      <c r="F6" s="40">
        <v>212800</v>
      </c>
      <c r="G6" s="40">
        <v>250000</v>
      </c>
    </row>
    <row r="7" spans="2:7" x14ac:dyDescent="0.2">
      <c r="B7" s="33" t="s">
        <v>79</v>
      </c>
      <c r="C7" s="33"/>
      <c r="D7" s="31"/>
      <c r="E7" s="31"/>
      <c r="F7" s="31"/>
      <c r="G7" s="31"/>
    </row>
    <row r="8" spans="2:7" ht="13.5" outlineLevel="1" thickBot="1" x14ac:dyDescent="0.25">
      <c r="B8" s="34"/>
      <c r="C8" s="34" t="s">
        <v>71</v>
      </c>
      <c r="D8" s="28">
        <v>0.216040609137056</v>
      </c>
      <c r="E8" s="28">
        <v>0.20304568527918801</v>
      </c>
      <c r="F8" s="28">
        <v>0.216040609137056</v>
      </c>
      <c r="G8" s="28">
        <v>0.25380710659898498</v>
      </c>
    </row>
    <row r="9" spans="2:7" x14ac:dyDescent="0.2">
      <c r="B9" t="s">
        <v>80</v>
      </c>
    </row>
    <row r="10" spans="2:7" x14ac:dyDescent="0.2">
      <c r="B10" t="s">
        <v>81</v>
      </c>
    </row>
    <row r="11" spans="2:7" x14ac:dyDescent="0.2">
      <c r="B11" t="s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activeCell="B4" sqref="B4"/>
    </sheetView>
  </sheetViews>
  <sheetFormatPr defaultRowHeight="12.75" x14ac:dyDescent="0.2"/>
  <cols>
    <col min="1" max="1" width="22.7109375" bestFit="1" customWidth="1"/>
    <col min="2" max="2" width="14.5703125" bestFit="1" customWidth="1"/>
  </cols>
  <sheetData>
    <row r="1" spans="1:4" x14ac:dyDescent="0.2">
      <c r="A1" s="41" t="s">
        <v>28</v>
      </c>
      <c r="B1" s="41"/>
      <c r="C1" s="41"/>
      <c r="D1" s="41"/>
    </row>
    <row r="3" spans="1:4" x14ac:dyDescent="0.2">
      <c r="A3" s="1" t="s">
        <v>29</v>
      </c>
      <c r="B3" s="14">
        <v>850300</v>
      </c>
    </row>
    <row r="4" spans="1:4" x14ac:dyDescent="0.2">
      <c r="A4" s="1" t="s">
        <v>44</v>
      </c>
      <c r="B4" s="14">
        <v>255090</v>
      </c>
    </row>
    <row r="5" spans="1:4" x14ac:dyDescent="0.2">
      <c r="A5" s="1"/>
      <c r="B5" s="1"/>
    </row>
    <row r="6" spans="1:4" x14ac:dyDescent="0.2">
      <c r="A6" s="1" t="s">
        <v>45</v>
      </c>
      <c r="B6" s="2">
        <f>B4/B3</f>
        <v>0.3</v>
      </c>
    </row>
  </sheetData>
  <scenarios current="0" sqref="B6">
    <scenario name="низкий" locked="1" count="1" user="Диана" comment="Автор: Эрнест, 11.10.2024">
      <inputCells r="B4" val="150000" numFmtId="44"/>
    </scenario>
    <scenario name="текущий" locked="1" count="1" user="Диана" comment="Автор: Эрнест, 11.10.2024">
      <inputCells r="B4" val="215900" numFmtId="44"/>
    </scenario>
    <scenario name="высокий" locked="1" count="1" user="Диана" comment="Автор: Эрнест, 11.10.2024">
      <inputCells r="B4" val="300000" numFmtId="44"/>
    </scenario>
  </scenarios>
  <mergeCells count="1">
    <mergeCell ref="A1:D1"/>
  </mergeCells>
  <pageMargins left="0.75" right="0.75" top="1" bottom="1" header="0.5" footer="0.5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404CD-D665-4A34-B311-F2926D260F1A}">
  <sheetPr>
    <outlinePr summaryBelow="0"/>
  </sheetPr>
  <dimension ref="B1:G11"/>
  <sheetViews>
    <sheetView showGridLines="0" workbookViewId="0"/>
  </sheetViews>
  <sheetFormatPr defaultRowHeight="12.75" outlineLevelRow="1" outlineLevelCol="1" x14ac:dyDescent="0.2"/>
  <cols>
    <col min="3" max="3" width="5.28515625" bestFit="1" customWidth="1"/>
    <col min="4" max="7" width="16.5703125" bestFit="1" customWidth="1" outlineLevel="1"/>
  </cols>
  <sheetData>
    <row r="1" spans="2:7" ht="13.5" thickBot="1" x14ac:dyDescent="0.25"/>
    <row r="2" spans="2:7" ht="15" x14ac:dyDescent="0.25">
      <c r="B2" s="30" t="s">
        <v>76</v>
      </c>
      <c r="C2" s="30"/>
      <c r="D2" s="35"/>
      <c r="E2" s="35"/>
      <c r="F2" s="35"/>
      <c r="G2" s="35"/>
    </row>
    <row r="3" spans="2:7" ht="15" collapsed="1" x14ac:dyDescent="0.25">
      <c r="B3" s="29"/>
      <c r="C3" s="29"/>
      <c r="D3" s="36" t="s">
        <v>78</v>
      </c>
      <c r="E3" s="36" t="s">
        <v>72</v>
      </c>
      <c r="F3" s="36" t="s">
        <v>74</v>
      </c>
      <c r="G3" s="36" t="s">
        <v>75</v>
      </c>
    </row>
    <row r="4" spans="2:7" ht="22.5" hidden="1" outlineLevel="1" x14ac:dyDescent="0.2">
      <c r="B4" s="32"/>
      <c r="C4" s="32"/>
      <c r="D4" s="27"/>
      <c r="E4" s="38" t="s">
        <v>83</v>
      </c>
      <c r="F4" s="38" t="s">
        <v>83</v>
      </c>
      <c r="G4" s="38" t="s">
        <v>83</v>
      </c>
    </row>
    <row r="5" spans="2:7" x14ac:dyDescent="0.2">
      <c r="B5" s="33" t="s">
        <v>77</v>
      </c>
      <c r="C5" s="33"/>
      <c r="D5" s="31"/>
      <c r="E5" s="31"/>
      <c r="F5" s="31"/>
      <c r="G5" s="31"/>
    </row>
    <row r="6" spans="2:7" outlineLevel="1" x14ac:dyDescent="0.2">
      <c r="B6" s="32"/>
      <c r="C6" s="32" t="s">
        <v>70</v>
      </c>
      <c r="D6" s="39">
        <v>255090</v>
      </c>
      <c r="E6" s="40">
        <v>150000</v>
      </c>
      <c r="F6" s="40">
        <v>215900</v>
      </c>
      <c r="G6" s="40">
        <v>300000</v>
      </c>
    </row>
    <row r="7" spans="2:7" x14ac:dyDescent="0.2">
      <c r="B7" s="33" t="s">
        <v>79</v>
      </c>
      <c r="C7" s="33"/>
      <c r="D7" s="31"/>
      <c r="E7" s="31"/>
      <c r="F7" s="31"/>
      <c r="G7" s="31"/>
    </row>
    <row r="8" spans="2:7" ht="13.5" outlineLevel="1" thickBot="1" x14ac:dyDescent="0.25">
      <c r="B8" s="34"/>
      <c r="C8" s="34" t="s">
        <v>71</v>
      </c>
      <c r="D8" s="28">
        <v>0.3</v>
      </c>
      <c r="E8" s="28">
        <v>0.17640832647301</v>
      </c>
      <c r="F8" s="28">
        <v>0.25391038457015203</v>
      </c>
      <c r="G8" s="28">
        <v>0.35281665294601899</v>
      </c>
    </row>
    <row r="9" spans="2:7" x14ac:dyDescent="0.2">
      <c r="B9" t="s">
        <v>80</v>
      </c>
    </row>
    <row r="10" spans="2:7" x14ac:dyDescent="0.2">
      <c r="B10" t="s">
        <v>81</v>
      </c>
    </row>
    <row r="11" spans="2:7" x14ac:dyDescent="0.2">
      <c r="B11" t="s">
        <v>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tabSelected="1" workbookViewId="0">
      <selection activeCell="B4" sqref="B4"/>
    </sheetView>
  </sheetViews>
  <sheetFormatPr defaultRowHeight="12.75" x14ac:dyDescent="0.2"/>
  <cols>
    <col min="1" max="1" width="22.7109375" bestFit="1" customWidth="1"/>
    <col min="2" max="2" width="14.5703125" bestFit="1" customWidth="1"/>
  </cols>
  <sheetData>
    <row r="1" spans="1:4" x14ac:dyDescent="0.2">
      <c r="A1" s="41" t="s">
        <v>28</v>
      </c>
      <c r="B1" s="41"/>
      <c r="C1" s="41"/>
      <c r="D1" s="41"/>
    </row>
    <row r="3" spans="1:4" x14ac:dyDescent="0.2">
      <c r="A3" s="1" t="s">
        <v>29</v>
      </c>
      <c r="B3" s="14">
        <v>2830000</v>
      </c>
    </row>
    <row r="4" spans="1:4" x14ac:dyDescent="0.2">
      <c r="A4" s="1" t="s">
        <v>58</v>
      </c>
      <c r="B4" s="14">
        <v>141500</v>
      </c>
    </row>
    <row r="5" spans="1:4" x14ac:dyDescent="0.2">
      <c r="A5" s="1"/>
      <c r="B5" s="1"/>
    </row>
    <row r="6" spans="1:4" x14ac:dyDescent="0.2">
      <c r="A6" s="1" t="s">
        <v>59</v>
      </c>
      <c r="B6" s="2">
        <f>B4/B3</f>
        <v>0.05</v>
      </c>
    </row>
  </sheetData>
  <scenarios current="0" sqref="B6">
    <scenario name="низкий" locked="1" count="1" user="Диана" comment="Автор: Эрнест, 11.10.2024">
      <inputCells r="B4" val="80000" numFmtId="44"/>
    </scenario>
    <scenario name="текущий" locked="1" count="1" user="Диана" comment="Автор: Эрнест, 11.10.2024">
      <inputCells r="B4" val="165000" numFmtId="44"/>
    </scenario>
    <scenario name="высокий" locked="1" count="1" user="Диана" comment="Автор: Эрнест, 11.10.2024">
      <inputCells r="B4" val="200000" numFmtId="44"/>
    </scenario>
  </scenarios>
  <mergeCells count="1">
    <mergeCell ref="A1:D1"/>
  </mergeCells>
  <pageMargins left="0.75" right="0.75" top="1" bottom="1" header="0.5" footer="0.5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BB76A-B1D2-4904-87F0-61E9B7C9AEC6}">
  <sheetPr>
    <outlinePr summaryBelow="0"/>
  </sheetPr>
  <dimension ref="B1:G11"/>
  <sheetViews>
    <sheetView showGridLines="0" workbookViewId="0"/>
  </sheetViews>
  <sheetFormatPr defaultRowHeight="12.75" outlineLevelRow="1" outlineLevelCol="1" x14ac:dyDescent="0.2"/>
  <cols>
    <col min="3" max="3" width="5.28515625" bestFit="1" customWidth="1"/>
    <col min="4" max="7" width="16.5703125" bestFit="1" customWidth="1" outlineLevel="1"/>
  </cols>
  <sheetData>
    <row r="1" spans="2:7" ht="13.5" thickBot="1" x14ac:dyDescent="0.25"/>
    <row r="2" spans="2:7" ht="15" x14ac:dyDescent="0.25">
      <c r="B2" s="30" t="s">
        <v>76</v>
      </c>
      <c r="C2" s="30"/>
      <c r="D2" s="35"/>
      <c r="E2" s="35"/>
      <c r="F2" s="35"/>
      <c r="G2" s="35"/>
    </row>
    <row r="3" spans="2:7" ht="15" collapsed="1" x14ac:dyDescent="0.25">
      <c r="B3" s="29"/>
      <c r="C3" s="29"/>
      <c r="D3" s="36" t="s">
        <v>78</v>
      </c>
      <c r="E3" s="36" t="s">
        <v>72</v>
      </c>
      <c r="F3" s="36" t="s">
        <v>74</v>
      </c>
      <c r="G3" s="36" t="s">
        <v>75</v>
      </c>
    </row>
    <row r="4" spans="2:7" ht="22.5" hidden="1" outlineLevel="1" x14ac:dyDescent="0.2">
      <c r="B4" s="32"/>
      <c r="C4" s="32"/>
      <c r="D4" s="27"/>
      <c r="E4" s="38" t="s">
        <v>83</v>
      </c>
      <c r="F4" s="38" t="s">
        <v>83</v>
      </c>
      <c r="G4" s="38" t="s">
        <v>83</v>
      </c>
    </row>
    <row r="5" spans="2:7" x14ac:dyDescent="0.2">
      <c r="B5" s="33" t="s">
        <v>77</v>
      </c>
      <c r="C5" s="33"/>
      <c r="D5" s="31"/>
      <c r="E5" s="31"/>
      <c r="F5" s="31"/>
      <c r="G5" s="31"/>
    </row>
    <row r="6" spans="2:7" outlineLevel="1" x14ac:dyDescent="0.2">
      <c r="B6" s="32"/>
      <c r="C6" s="32" t="s">
        <v>70</v>
      </c>
      <c r="D6" s="39">
        <v>141500</v>
      </c>
      <c r="E6" s="40">
        <v>80000</v>
      </c>
      <c r="F6" s="40">
        <v>165000</v>
      </c>
      <c r="G6" s="40">
        <v>200000</v>
      </c>
    </row>
    <row r="7" spans="2:7" x14ac:dyDescent="0.2">
      <c r="B7" s="33" t="s">
        <v>79</v>
      </c>
      <c r="C7" s="33"/>
      <c r="D7" s="31"/>
      <c r="E7" s="31"/>
      <c r="F7" s="31"/>
      <c r="G7" s="31"/>
    </row>
    <row r="8" spans="2:7" ht="13.5" outlineLevel="1" thickBot="1" x14ac:dyDescent="0.25">
      <c r="B8" s="34"/>
      <c r="C8" s="34" t="s">
        <v>71</v>
      </c>
      <c r="D8" s="28">
        <v>0.05</v>
      </c>
      <c r="E8" s="28">
        <v>2.8268551236749099E-2</v>
      </c>
      <c r="F8" s="28">
        <v>5.83038869257951E-2</v>
      </c>
      <c r="G8" s="28">
        <v>7.0671378091872794E-2</v>
      </c>
    </row>
    <row r="9" spans="2:7" x14ac:dyDescent="0.2">
      <c r="B9" t="s">
        <v>80</v>
      </c>
    </row>
    <row r="10" spans="2:7" x14ac:dyDescent="0.2">
      <c r="B10" t="s">
        <v>81</v>
      </c>
    </row>
    <row r="11" spans="2:7" x14ac:dyDescent="0.2">
      <c r="B11" t="s">
        <v>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workbookViewId="0">
      <selection activeCell="C31" sqref="C31"/>
    </sheetView>
  </sheetViews>
  <sheetFormatPr defaultRowHeight="12.75" x14ac:dyDescent="0.2"/>
  <cols>
    <col min="1" max="1" width="28.42578125" customWidth="1"/>
    <col min="2" max="2" width="20.28515625" customWidth="1"/>
    <col min="3" max="3" width="21.140625" customWidth="1"/>
    <col min="4" max="4" width="19.140625" customWidth="1"/>
    <col min="5" max="5" width="22.5703125" customWidth="1"/>
    <col min="6" max="6" width="18.85546875" customWidth="1"/>
  </cols>
  <sheetData>
    <row r="1" spans="1:6" ht="20.100000000000001" customHeight="1" x14ac:dyDescent="0.2">
      <c r="A1" s="42" t="s">
        <v>4</v>
      </c>
      <c r="B1" s="42" t="s">
        <v>5</v>
      </c>
      <c r="C1" s="42"/>
      <c r="D1" s="42"/>
      <c r="E1" s="43" t="s">
        <v>6</v>
      </c>
      <c r="F1" s="42" t="s">
        <v>7</v>
      </c>
    </row>
    <row r="2" spans="1:6" ht="19.5" thickBot="1" x14ac:dyDescent="0.25">
      <c r="A2" s="42"/>
      <c r="B2" s="3" t="s">
        <v>8</v>
      </c>
      <c r="C2" s="3" t="s">
        <v>9</v>
      </c>
      <c r="D2" s="3" t="s">
        <v>10</v>
      </c>
      <c r="E2" s="44"/>
      <c r="F2" s="42"/>
    </row>
    <row r="3" spans="1:6" ht="20.100000000000001" customHeight="1" thickBot="1" x14ac:dyDescent="0.25">
      <c r="A3" s="4" t="s">
        <v>11</v>
      </c>
      <c r="B3" s="3"/>
      <c r="C3" s="3"/>
      <c r="D3" s="3"/>
      <c r="E3" s="3"/>
      <c r="F3" s="3"/>
    </row>
    <row r="4" spans="1:6" ht="20.100000000000001" customHeight="1" thickBot="1" x14ac:dyDescent="0.25">
      <c r="A4" s="5" t="s">
        <v>12</v>
      </c>
      <c r="B4" s="3"/>
      <c r="C4" s="3"/>
      <c r="D4" s="3"/>
      <c r="E4" s="3"/>
      <c r="F4" s="3"/>
    </row>
    <row r="5" spans="1:6" ht="20.100000000000001" customHeight="1" x14ac:dyDescent="0.2">
      <c r="A5" s="6" t="s">
        <v>13</v>
      </c>
      <c r="B5" s="3"/>
      <c r="C5" s="3"/>
      <c r="D5" s="3"/>
      <c r="E5" s="3"/>
      <c r="F5" s="3"/>
    </row>
    <row r="6" spans="1:6" ht="20.100000000000001" customHeight="1" x14ac:dyDescent="0.2">
      <c r="A6" s="6" t="s">
        <v>14</v>
      </c>
      <c r="B6" s="3"/>
      <c r="C6" s="3"/>
      <c r="D6" s="3"/>
      <c r="E6" s="3"/>
      <c r="F6" s="7"/>
    </row>
    <row r="7" spans="1:6" ht="15" x14ac:dyDescent="0.25">
      <c r="E7" s="8"/>
    </row>
    <row r="11" spans="1:6" ht="20.100000000000001" customHeight="1" x14ac:dyDescent="0.2">
      <c r="A11" s="42" t="s">
        <v>4</v>
      </c>
      <c r="B11" s="42" t="s">
        <v>5</v>
      </c>
      <c r="C11" s="42"/>
      <c r="D11" s="42"/>
    </row>
    <row r="12" spans="1:6" ht="20.100000000000001" customHeight="1" thickBot="1" x14ac:dyDescent="0.25">
      <c r="A12" s="42"/>
      <c r="B12" s="3" t="s">
        <v>8</v>
      </c>
      <c r="C12" s="3" t="s">
        <v>9</v>
      </c>
      <c r="D12" s="3" t="s">
        <v>10</v>
      </c>
    </row>
    <row r="13" spans="1:6" ht="20.100000000000001" customHeight="1" thickBot="1" x14ac:dyDescent="0.25">
      <c r="A13" s="4" t="s">
        <v>11</v>
      </c>
      <c r="B13" s="9"/>
      <c r="C13" s="10"/>
      <c r="D13" s="10"/>
    </row>
    <row r="14" spans="1:6" ht="20.100000000000001" customHeight="1" thickBot="1" x14ac:dyDescent="0.25">
      <c r="A14" s="5" t="s">
        <v>12</v>
      </c>
      <c r="B14" s="11"/>
      <c r="C14" s="12"/>
      <c r="D14" s="12"/>
    </row>
    <row r="22" spans="1:1" x14ac:dyDescent="0.2">
      <c r="A22" s="13"/>
    </row>
  </sheetData>
  <mergeCells count="6">
    <mergeCell ref="A1:A2"/>
    <mergeCell ref="B1:D1"/>
    <mergeCell ref="E1:E2"/>
    <mergeCell ref="F1:F2"/>
    <mergeCell ref="A11:A12"/>
    <mergeCell ref="B11:D11"/>
  </mergeCells>
  <pageMargins left="0.75" right="0.75" top="1" bottom="1" header="0.5" footer="0.5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6"/>
  <sheetViews>
    <sheetView workbookViewId="0">
      <selection activeCell="D37" sqref="D37"/>
    </sheetView>
  </sheetViews>
  <sheetFormatPr defaultRowHeight="12.75" x14ac:dyDescent="0.2"/>
  <cols>
    <col min="1" max="3" width="18.85546875" customWidth="1"/>
    <col min="4" max="4" width="13.28515625" customWidth="1"/>
    <col min="5" max="5" width="14.42578125" customWidth="1"/>
    <col min="6" max="6" width="17.7109375" customWidth="1"/>
    <col min="7" max="7" width="19.140625" customWidth="1"/>
  </cols>
  <sheetData>
    <row r="1" spans="1:7" ht="18.75" x14ac:dyDescent="0.2">
      <c r="A1" s="42" t="s">
        <v>19</v>
      </c>
      <c r="B1" s="45" t="s">
        <v>20</v>
      </c>
      <c r="C1" s="46"/>
      <c r="D1" s="46"/>
      <c r="E1" s="47"/>
      <c r="F1" s="43" t="s">
        <v>6</v>
      </c>
      <c r="G1" s="42" t="s">
        <v>7</v>
      </c>
    </row>
    <row r="2" spans="1:7" x14ac:dyDescent="0.2">
      <c r="A2" s="42"/>
      <c r="B2" t="s">
        <v>21</v>
      </c>
      <c r="C2" t="s">
        <v>22</v>
      </c>
      <c r="D2" t="s">
        <v>23</v>
      </c>
      <c r="E2" t="s">
        <v>24</v>
      </c>
      <c r="F2" s="44"/>
      <c r="G2" s="42"/>
    </row>
    <row r="3" spans="1:7" ht="18.75" x14ac:dyDescent="0.2">
      <c r="A3" s="3" t="s">
        <v>25</v>
      </c>
      <c r="B3" s="3"/>
      <c r="C3" s="3"/>
      <c r="D3" s="3"/>
      <c r="E3" s="3"/>
      <c r="F3" s="3"/>
      <c r="G3" s="3"/>
    </row>
    <row r="4" spans="1:7" ht="18.75" x14ac:dyDescent="0.2">
      <c r="A4" s="3" t="s">
        <v>26</v>
      </c>
      <c r="B4" s="3"/>
      <c r="C4" s="3"/>
      <c r="D4" s="3"/>
      <c r="E4" s="3"/>
      <c r="F4" s="3"/>
      <c r="G4" s="3"/>
    </row>
    <row r="5" spans="1:7" ht="18.75" x14ac:dyDescent="0.2">
      <c r="A5" s="3" t="s">
        <v>27</v>
      </c>
      <c r="B5" s="3"/>
      <c r="C5" s="3"/>
      <c r="D5" s="3"/>
      <c r="E5" s="3"/>
      <c r="F5" s="3"/>
      <c r="G5" s="3"/>
    </row>
    <row r="6" spans="1:7" ht="18.75" x14ac:dyDescent="0.2">
      <c r="A6" s="6" t="s">
        <v>13</v>
      </c>
      <c r="B6" s="3"/>
      <c r="C6" s="3"/>
      <c r="D6" s="3"/>
      <c r="E6" s="3"/>
      <c r="F6" s="3"/>
      <c r="G6" s="3"/>
    </row>
    <row r="7" spans="1:7" ht="18.75" x14ac:dyDescent="0.2">
      <c r="A7" s="6" t="s">
        <v>14</v>
      </c>
      <c r="B7" s="6"/>
      <c r="C7" s="6"/>
      <c r="D7" s="3"/>
      <c r="E7" s="3"/>
      <c r="F7" s="3"/>
      <c r="G7" s="7"/>
    </row>
    <row r="8" spans="1:7" ht="15" x14ac:dyDescent="0.25">
      <c r="F8" s="8"/>
    </row>
    <row r="12" spans="1:7" ht="18.75" x14ac:dyDescent="0.2">
      <c r="A12" s="42" t="s">
        <v>19</v>
      </c>
      <c r="B12" s="45" t="s">
        <v>20</v>
      </c>
      <c r="C12" s="46"/>
      <c r="D12" s="46"/>
      <c r="E12" s="47"/>
    </row>
    <row r="13" spans="1:7" ht="13.5" thickBot="1" x14ac:dyDescent="0.25">
      <c r="A13" s="42"/>
      <c r="B13" t="s">
        <v>21</v>
      </c>
      <c r="C13" t="s">
        <v>22</v>
      </c>
      <c r="D13" t="s">
        <v>23</v>
      </c>
      <c r="E13" t="s">
        <v>24</v>
      </c>
    </row>
    <row r="14" spans="1:7" ht="19.5" thickBot="1" x14ac:dyDescent="0.25">
      <c r="A14" s="3" t="s">
        <v>25</v>
      </c>
      <c r="B14" s="15"/>
      <c r="C14" s="16"/>
      <c r="D14" s="16"/>
      <c r="E14" s="16"/>
    </row>
    <row r="15" spans="1:7" ht="19.5" thickBot="1" x14ac:dyDescent="0.25">
      <c r="A15" s="3" t="s">
        <v>26</v>
      </c>
      <c r="B15" s="17"/>
      <c r="C15" s="18"/>
      <c r="D15" s="18"/>
      <c r="E15" s="18"/>
    </row>
    <row r="16" spans="1:7" ht="19.5" thickBot="1" x14ac:dyDescent="0.25">
      <c r="A16" s="3" t="s">
        <v>27</v>
      </c>
      <c r="B16" s="17"/>
      <c r="C16" s="18"/>
      <c r="D16" s="18"/>
      <c r="E16" s="18"/>
    </row>
  </sheetData>
  <mergeCells count="6">
    <mergeCell ref="A1:A2"/>
    <mergeCell ref="B1:E1"/>
    <mergeCell ref="F1:F2"/>
    <mergeCell ref="G1:G2"/>
    <mergeCell ref="A12:A13"/>
    <mergeCell ref="B12:E12"/>
  </mergeCells>
  <pageMargins left="0.75" right="0.75" top="1" bottom="1" header="0.5" footer="0.5"/>
  <headerFooter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7"/>
  <sheetViews>
    <sheetView workbookViewId="0">
      <selection activeCell="L26" sqref="L26"/>
    </sheetView>
  </sheetViews>
  <sheetFormatPr defaultRowHeight="12.75" x14ac:dyDescent="0.2"/>
  <cols>
    <col min="1" max="1" width="21.7109375" customWidth="1"/>
    <col min="2" max="3" width="13.5703125" customWidth="1"/>
    <col min="4" max="7" width="14.7109375" customWidth="1"/>
    <col min="8" max="8" width="18" customWidth="1"/>
    <col min="9" max="9" width="18.7109375" bestFit="1" customWidth="1"/>
  </cols>
  <sheetData>
    <row r="1" spans="1:9" ht="19.5" thickBot="1" x14ac:dyDescent="0.25">
      <c r="A1" s="42" t="s">
        <v>32</v>
      </c>
      <c r="B1" s="48" t="s">
        <v>33</v>
      </c>
      <c r="C1" s="49"/>
      <c r="D1" s="49"/>
      <c r="E1" s="49"/>
      <c r="F1" s="49"/>
      <c r="G1" s="50"/>
      <c r="H1" s="43" t="s">
        <v>6</v>
      </c>
      <c r="I1" s="42" t="s">
        <v>34</v>
      </c>
    </row>
    <row r="2" spans="1:9" ht="19.5" thickBot="1" x14ac:dyDescent="0.25">
      <c r="A2" s="42"/>
      <c r="B2" s="19" t="s">
        <v>35</v>
      </c>
      <c r="C2" s="19" t="s">
        <v>36</v>
      </c>
      <c r="D2" s="19" t="s">
        <v>37</v>
      </c>
      <c r="E2" s="19" t="s">
        <v>38</v>
      </c>
      <c r="F2" s="19" t="s">
        <v>39</v>
      </c>
      <c r="G2" s="19" t="s">
        <v>40</v>
      </c>
      <c r="H2" s="44"/>
      <c r="I2" s="42"/>
    </row>
    <row r="3" spans="1:9" ht="19.5" thickBot="1" x14ac:dyDescent="0.25">
      <c r="A3" s="20" t="s">
        <v>41</v>
      </c>
      <c r="B3" s="3"/>
      <c r="C3" s="3"/>
      <c r="D3" s="3"/>
      <c r="E3" s="3"/>
      <c r="F3" s="3"/>
      <c r="G3" s="3"/>
      <c r="H3" s="3"/>
      <c r="I3" s="3"/>
    </row>
    <row r="4" spans="1:9" ht="19.5" thickBot="1" x14ac:dyDescent="0.25">
      <c r="A4" s="20" t="s">
        <v>42</v>
      </c>
      <c r="B4" s="3"/>
      <c r="C4" s="3"/>
      <c r="D4" s="3"/>
      <c r="E4" s="3"/>
      <c r="F4" s="3"/>
      <c r="G4" s="3"/>
      <c r="H4" s="3"/>
      <c r="I4" s="3"/>
    </row>
    <row r="5" spans="1:9" ht="19.5" thickBot="1" x14ac:dyDescent="0.25">
      <c r="A5" s="20" t="s">
        <v>43</v>
      </c>
      <c r="B5" s="3"/>
      <c r="C5" s="3"/>
      <c r="D5" s="3"/>
      <c r="E5" s="3"/>
      <c r="F5" s="3"/>
      <c r="G5" s="3"/>
      <c r="H5" s="3"/>
      <c r="I5" s="3"/>
    </row>
    <row r="6" spans="1:9" ht="18.75" x14ac:dyDescent="0.2">
      <c r="A6" s="6" t="s">
        <v>13</v>
      </c>
      <c r="B6" s="3"/>
      <c r="C6" s="3"/>
      <c r="D6" s="3"/>
      <c r="E6" s="3"/>
      <c r="F6" s="3"/>
      <c r="G6" s="3"/>
      <c r="H6" s="3"/>
      <c r="I6" s="3"/>
    </row>
    <row r="7" spans="1:9" ht="18.75" x14ac:dyDescent="0.2">
      <c r="A7" s="6" t="s">
        <v>7</v>
      </c>
      <c r="B7" s="3"/>
      <c r="C7" s="3"/>
      <c r="D7" s="3"/>
      <c r="E7" s="3"/>
      <c r="F7" s="3"/>
      <c r="G7" s="3"/>
      <c r="H7" s="3"/>
      <c r="I7" s="7"/>
    </row>
    <row r="8" spans="1:9" ht="15" x14ac:dyDescent="0.25">
      <c r="H8" s="8"/>
    </row>
    <row r="12" spans="1:9" x14ac:dyDescent="0.2">
      <c r="A12" s="21"/>
    </row>
    <row r="13" spans="1:9" ht="19.5" thickBot="1" x14ac:dyDescent="0.25">
      <c r="A13" s="42" t="s">
        <v>32</v>
      </c>
      <c r="B13" s="48" t="s">
        <v>33</v>
      </c>
      <c r="C13" s="49"/>
      <c r="D13" s="49"/>
      <c r="E13" s="49"/>
      <c r="F13" s="49"/>
      <c r="G13" s="50"/>
    </row>
    <row r="14" spans="1:9" ht="19.5" thickBot="1" x14ac:dyDescent="0.25">
      <c r="A14" s="42"/>
      <c r="B14" s="19" t="s">
        <v>35</v>
      </c>
      <c r="C14" s="19" t="s">
        <v>36</v>
      </c>
      <c r="D14" s="19" t="s">
        <v>37</v>
      </c>
      <c r="E14" s="19" t="s">
        <v>38</v>
      </c>
      <c r="F14" s="19" t="s">
        <v>39</v>
      </c>
      <c r="G14" s="19" t="s">
        <v>40</v>
      </c>
    </row>
    <row r="15" spans="1:9" ht="19.5" thickBot="1" x14ac:dyDescent="0.25">
      <c r="A15" s="20" t="s">
        <v>41</v>
      </c>
      <c r="B15" s="18"/>
      <c r="C15" s="18"/>
      <c r="D15" s="18"/>
      <c r="E15" s="18"/>
      <c r="F15" s="18"/>
      <c r="G15" s="18"/>
    </row>
    <row r="16" spans="1:9" ht="19.5" thickBot="1" x14ac:dyDescent="0.25">
      <c r="A16" s="20" t="s">
        <v>42</v>
      </c>
      <c r="B16" s="18"/>
      <c r="C16" s="18"/>
      <c r="D16" s="18"/>
      <c r="E16" s="18"/>
      <c r="F16" s="18"/>
      <c r="G16" s="18"/>
    </row>
    <row r="17" spans="1:7" ht="19.5" thickBot="1" x14ac:dyDescent="0.25">
      <c r="A17" s="20" t="s">
        <v>43</v>
      </c>
      <c r="B17" s="18"/>
      <c r="C17" s="18"/>
      <c r="D17" s="18"/>
      <c r="E17" s="18"/>
      <c r="F17" s="18"/>
      <c r="G17" s="18"/>
    </row>
  </sheetData>
  <mergeCells count="6">
    <mergeCell ref="A1:A2"/>
    <mergeCell ref="B1:G1"/>
    <mergeCell ref="H1:H2"/>
    <mergeCell ref="I1:I2"/>
    <mergeCell ref="A13:A14"/>
    <mergeCell ref="B13:G13"/>
  </mergeCells>
  <pageMargins left="0.75" right="0.75" top="1" bottom="1" header="0.5" footer="0.5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6"/>
  <sheetViews>
    <sheetView workbookViewId="0">
      <selection activeCell="L19" sqref="L19"/>
    </sheetView>
  </sheetViews>
  <sheetFormatPr defaultRowHeight="12.75" x14ac:dyDescent="0.2"/>
  <cols>
    <col min="1" max="1" width="25.7109375" customWidth="1"/>
    <col min="2" max="2" width="21.7109375" customWidth="1"/>
    <col min="3" max="3" width="18.28515625" customWidth="1"/>
    <col min="4" max="4" width="18.5703125" customWidth="1"/>
    <col min="5" max="5" width="21.5703125" customWidth="1"/>
    <col min="6" max="8" width="16.7109375" customWidth="1"/>
    <col min="9" max="9" width="18" customWidth="1"/>
    <col min="10" max="10" width="18.7109375" bestFit="1" customWidth="1"/>
  </cols>
  <sheetData>
    <row r="1" spans="1:10" ht="19.5" thickBot="1" x14ac:dyDescent="0.25">
      <c r="A1" s="42" t="s">
        <v>46</v>
      </c>
      <c r="B1" s="51" t="s">
        <v>5</v>
      </c>
      <c r="C1" s="52"/>
      <c r="D1" s="52"/>
      <c r="E1" s="52"/>
      <c r="F1" s="52"/>
      <c r="G1" s="52"/>
      <c r="H1" s="52"/>
      <c r="I1" s="53" t="s">
        <v>6</v>
      </c>
      <c r="J1" s="42" t="s">
        <v>7</v>
      </c>
    </row>
    <row r="2" spans="1:10" ht="38.25" customHeight="1" thickBot="1" x14ac:dyDescent="0.25">
      <c r="A2" s="42"/>
      <c r="B2" s="22" t="s">
        <v>47</v>
      </c>
      <c r="C2" s="23" t="s">
        <v>48</v>
      </c>
      <c r="D2" s="23" t="s">
        <v>49</v>
      </c>
      <c r="E2" s="23" t="s">
        <v>50</v>
      </c>
      <c r="F2" s="23" t="s">
        <v>51</v>
      </c>
      <c r="G2" s="23" t="s">
        <v>52</v>
      </c>
      <c r="H2" s="23" t="s">
        <v>53</v>
      </c>
      <c r="I2" s="54"/>
      <c r="J2" s="42"/>
    </row>
    <row r="3" spans="1:10" ht="19.5" thickBot="1" x14ac:dyDescent="0.25">
      <c r="A3" s="24" t="s">
        <v>54</v>
      </c>
      <c r="B3" s="3"/>
      <c r="C3" s="3"/>
      <c r="D3" s="3"/>
      <c r="E3" s="3"/>
      <c r="F3" s="3"/>
      <c r="G3" s="3"/>
      <c r="H3" s="3"/>
      <c r="I3" s="3"/>
      <c r="J3" s="3"/>
    </row>
    <row r="4" spans="1:10" ht="19.5" thickBot="1" x14ac:dyDescent="0.25">
      <c r="A4" s="20" t="s">
        <v>55</v>
      </c>
      <c r="B4" s="3"/>
      <c r="C4" s="3"/>
      <c r="D4" s="3"/>
      <c r="E4" s="3"/>
      <c r="F4" s="3"/>
      <c r="G4" s="3"/>
      <c r="H4" s="3"/>
      <c r="I4" s="3"/>
      <c r="J4" s="3"/>
    </row>
    <row r="5" spans="1:10" ht="19.5" thickBot="1" x14ac:dyDescent="0.25">
      <c r="A5" s="20" t="s">
        <v>56</v>
      </c>
      <c r="B5" s="3"/>
      <c r="C5" s="3"/>
      <c r="D5" s="3"/>
      <c r="E5" s="3"/>
      <c r="F5" s="3"/>
      <c r="G5" s="3"/>
      <c r="H5" s="3"/>
      <c r="I5" s="3"/>
      <c r="J5" s="3"/>
    </row>
    <row r="6" spans="1:10" ht="18.75" x14ac:dyDescent="0.2">
      <c r="A6" s="6" t="s">
        <v>13</v>
      </c>
      <c r="B6" s="3"/>
      <c r="C6" s="3"/>
      <c r="D6" s="3"/>
      <c r="E6" s="3"/>
      <c r="F6" s="3"/>
      <c r="G6" s="3"/>
      <c r="H6" s="3"/>
      <c r="I6" s="3"/>
      <c r="J6" s="3"/>
    </row>
    <row r="7" spans="1:10" ht="18.75" x14ac:dyDescent="0.2">
      <c r="A7" s="6" t="s">
        <v>57</v>
      </c>
      <c r="B7" s="3"/>
      <c r="C7" s="3"/>
      <c r="D7" s="3"/>
      <c r="E7" s="3"/>
      <c r="F7" s="3"/>
      <c r="G7" s="3"/>
      <c r="H7" s="3"/>
      <c r="I7" s="3"/>
      <c r="J7" s="7"/>
    </row>
    <row r="8" spans="1:10" ht="15" x14ac:dyDescent="0.25">
      <c r="I8" s="8"/>
    </row>
    <row r="12" spans="1:10" ht="13.5" thickBot="1" x14ac:dyDescent="0.25">
      <c r="A12" s="21"/>
    </row>
    <row r="13" spans="1:10" ht="38.25" thickBot="1" x14ac:dyDescent="0.25">
      <c r="A13" s="24"/>
      <c r="B13" s="22" t="s">
        <v>47</v>
      </c>
      <c r="C13" s="22" t="s">
        <v>48</v>
      </c>
      <c r="D13" s="22" t="s">
        <v>49</v>
      </c>
      <c r="E13" s="22" t="s">
        <v>50</v>
      </c>
      <c r="F13" s="22" t="s">
        <v>51</v>
      </c>
      <c r="G13" s="22" t="s">
        <v>52</v>
      </c>
      <c r="H13" s="22" t="s">
        <v>53</v>
      </c>
    </row>
    <row r="14" spans="1:10" ht="19.5" thickBot="1" x14ac:dyDescent="0.25">
      <c r="A14" s="24" t="s">
        <v>54</v>
      </c>
      <c r="B14" s="22"/>
      <c r="C14" s="23"/>
      <c r="D14" s="23"/>
      <c r="E14" s="23"/>
      <c r="F14" s="23"/>
      <c r="G14" s="23"/>
      <c r="H14" s="23"/>
    </row>
    <row r="15" spans="1:10" ht="19.5" thickBot="1" x14ac:dyDescent="0.25">
      <c r="A15" s="20" t="s">
        <v>55</v>
      </c>
      <c r="B15" s="25"/>
      <c r="C15" s="26"/>
      <c r="D15" s="26"/>
      <c r="E15" s="26"/>
      <c r="F15" s="26"/>
      <c r="G15" s="26"/>
      <c r="H15" s="26"/>
    </row>
    <row r="16" spans="1:10" ht="19.5" thickBot="1" x14ac:dyDescent="0.25">
      <c r="A16" s="20" t="s">
        <v>56</v>
      </c>
      <c r="B16" s="25"/>
      <c r="C16" s="26"/>
      <c r="D16" s="26"/>
      <c r="E16" s="26"/>
      <c r="F16" s="26"/>
      <c r="G16" s="26"/>
      <c r="H16" s="26"/>
    </row>
  </sheetData>
  <mergeCells count="4">
    <mergeCell ref="A1:A2"/>
    <mergeCell ref="B1:H1"/>
    <mergeCell ref="I1:I2"/>
    <mergeCell ref="J1:J2"/>
  </mergeCells>
  <pageMargins left="0.75" right="0.75" top="1" bottom="1" header="0.5" footer="0.5"/>
  <pageSetup paperSize="9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"/>
  <sheetViews>
    <sheetView workbookViewId="0">
      <selection activeCell="H27" sqref="H27"/>
    </sheetView>
  </sheetViews>
  <sheetFormatPr defaultRowHeight="12.75" x14ac:dyDescent="0.2"/>
  <cols>
    <col min="1" max="1" width="25.7109375" customWidth="1"/>
    <col min="2" max="2" width="21.7109375" customWidth="1"/>
    <col min="3" max="3" width="18.28515625" customWidth="1"/>
    <col min="4" max="4" width="18.5703125" customWidth="1"/>
    <col min="5" max="5" width="21.5703125" customWidth="1"/>
    <col min="6" max="6" width="16.7109375" customWidth="1"/>
    <col min="7" max="7" width="18" customWidth="1"/>
    <col min="8" max="8" width="18.7109375" bestFit="1" customWidth="1"/>
  </cols>
  <sheetData>
    <row r="1" spans="1:8" ht="19.5" thickBot="1" x14ac:dyDescent="0.25">
      <c r="A1" s="42" t="s">
        <v>60</v>
      </c>
      <c r="B1" s="48" t="s">
        <v>61</v>
      </c>
      <c r="C1" s="49"/>
      <c r="D1" s="49"/>
      <c r="E1" s="49"/>
      <c r="F1" s="49"/>
      <c r="G1" s="53" t="s">
        <v>6</v>
      </c>
      <c r="H1" s="42" t="s">
        <v>7</v>
      </c>
    </row>
    <row r="2" spans="1:8" ht="38.25" customHeight="1" thickBot="1" x14ac:dyDescent="0.25">
      <c r="A2" s="42"/>
      <c r="B2" s="24" t="s">
        <v>62</v>
      </c>
      <c r="C2" s="19" t="s">
        <v>63</v>
      </c>
      <c r="D2" s="19" t="s">
        <v>64</v>
      </c>
      <c r="E2" s="19" t="s">
        <v>65</v>
      </c>
      <c r="F2" s="19" t="s">
        <v>66</v>
      </c>
      <c r="G2" s="54"/>
      <c r="H2" s="42"/>
    </row>
    <row r="3" spans="1:8" ht="19.5" thickBot="1" x14ac:dyDescent="0.25">
      <c r="A3" s="20" t="s">
        <v>67</v>
      </c>
      <c r="B3" s="3"/>
      <c r="C3" s="3"/>
      <c r="D3" s="3"/>
      <c r="E3" s="3"/>
      <c r="F3" s="3"/>
      <c r="G3" s="3"/>
      <c r="H3" s="3"/>
    </row>
    <row r="4" spans="1:8" ht="19.5" thickBot="1" x14ac:dyDescent="0.25">
      <c r="A4" s="20" t="s">
        <v>68</v>
      </c>
      <c r="B4" s="3"/>
      <c r="C4" s="3"/>
      <c r="D4" s="3"/>
      <c r="E4" s="3"/>
      <c r="F4" s="3"/>
      <c r="G4" s="3"/>
      <c r="H4" s="3"/>
    </row>
    <row r="5" spans="1:8" ht="19.5" thickBot="1" x14ac:dyDescent="0.25">
      <c r="A5" s="20" t="s">
        <v>69</v>
      </c>
      <c r="B5" s="3"/>
      <c r="C5" s="3"/>
      <c r="D5" s="3"/>
      <c r="E5" s="3"/>
      <c r="F5" s="3"/>
      <c r="G5" s="3"/>
      <c r="H5" s="3"/>
    </row>
    <row r="6" spans="1:8" ht="18.75" x14ac:dyDescent="0.2">
      <c r="A6" s="6" t="s">
        <v>13</v>
      </c>
      <c r="B6" s="3"/>
      <c r="C6" s="3"/>
      <c r="D6" s="3"/>
      <c r="E6" s="3"/>
      <c r="F6" s="3"/>
      <c r="G6" s="3"/>
      <c r="H6" s="3"/>
    </row>
    <row r="7" spans="1:8" ht="18.75" x14ac:dyDescent="0.2">
      <c r="A7" s="6" t="s">
        <v>57</v>
      </c>
      <c r="B7" s="3"/>
      <c r="C7" s="3"/>
      <c r="D7" s="3"/>
      <c r="E7" s="3"/>
      <c r="F7" s="3"/>
      <c r="G7" s="3"/>
      <c r="H7" s="7"/>
    </row>
    <row r="8" spans="1:8" ht="15" x14ac:dyDescent="0.25">
      <c r="G8" s="8"/>
    </row>
    <row r="12" spans="1:8" ht="13.5" thickBot="1" x14ac:dyDescent="0.25">
      <c r="A12" s="21"/>
    </row>
    <row r="13" spans="1:8" ht="19.5" thickBot="1" x14ac:dyDescent="0.25">
      <c r="A13" s="24"/>
      <c r="B13" s="24" t="s">
        <v>62</v>
      </c>
      <c r="C13" s="19" t="s">
        <v>63</v>
      </c>
      <c r="D13" s="19" t="s">
        <v>64</v>
      </c>
      <c r="E13" s="19" t="s">
        <v>65</v>
      </c>
      <c r="F13" s="19" t="s">
        <v>66</v>
      </c>
    </row>
    <row r="14" spans="1:8" ht="19.5" thickBot="1" x14ac:dyDescent="0.25">
      <c r="A14" s="20" t="s">
        <v>67</v>
      </c>
      <c r="B14" s="22"/>
      <c r="C14" s="23"/>
      <c r="D14" s="23"/>
      <c r="E14" s="23"/>
      <c r="F14" s="23"/>
    </row>
    <row r="15" spans="1:8" ht="19.5" thickBot="1" x14ac:dyDescent="0.25">
      <c r="A15" s="20" t="s">
        <v>68</v>
      </c>
      <c r="B15" s="25"/>
      <c r="C15" s="26"/>
      <c r="D15" s="26"/>
      <c r="E15" s="26"/>
      <c r="F15" s="26"/>
    </row>
    <row r="16" spans="1:8" ht="19.5" thickBot="1" x14ac:dyDescent="0.25">
      <c r="A16" s="20" t="s">
        <v>69</v>
      </c>
      <c r="B16" s="25"/>
      <c r="C16" s="26"/>
      <c r="D16" s="26"/>
      <c r="E16" s="26"/>
      <c r="F16" s="26"/>
    </row>
  </sheetData>
  <mergeCells count="4">
    <mergeCell ref="A1:A2"/>
    <mergeCell ref="B1:F1"/>
    <mergeCell ref="G1:G2"/>
    <mergeCell ref="H1:H2"/>
  </mergeCells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Задача 1</vt:lpstr>
      <vt:lpstr>Структура сценария</vt:lpstr>
      <vt:lpstr>Задача 2</vt:lpstr>
      <vt:lpstr>Структура сценария 2</vt:lpstr>
      <vt:lpstr>Задача 3</vt:lpstr>
      <vt:lpstr>Структура сценария 3</vt:lpstr>
      <vt:lpstr>Задача 4</vt:lpstr>
      <vt:lpstr>Структура сценария 4</vt:lpstr>
      <vt:lpstr>Задача 5</vt:lpstr>
      <vt:lpstr>Структура сценария 5</vt:lpstr>
      <vt:lpstr>Задача 6</vt:lpstr>
      <vt:lpstr>Задача 7</vt:lpstr>
      <vt:lpstr>Задача 8</vt:lpstr>
      <vt:lpstr>Задача 9</vt:lpstr>
      <vt:lpstr>Задача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2023-10-16T12:13:30Z</dcterms:created>
  <dcterms:modified xsi:type="dcterms:W3CDTF">2024-10-11T08:35:34Z</dcterms:modified>
</cp:coreProperties>
</file>