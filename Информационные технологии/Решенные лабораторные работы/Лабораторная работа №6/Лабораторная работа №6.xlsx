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Home\Desktop\Информационные технологии\Решенные лабораторные работы\Лаба 6 Excel\"/>
    </mc:Choice>
  </mc:AlternateContent>
  <xr:revisionPtr revIDLastSave="0" documentId="13_ncr:1_{E79A1067-1007-4FD0-AD89-79CBB01A907D}" xr6:coauthVersionLast="47" xr6:coauthVersionMax="47" xr10:uidLastSave="{00000000-0000-0000-0000-000000000000}"/>
  <bookViews>
    <workbookView xWindow="-120" yWindow="330" windowWidth="29040" windowHeight="15990" xr2:uid="{00000000-000D-0000-FFFF-FFFF00000000}"/>
  </bookViews>
  <sheets>
    <sheet name="1" sheetId="1" r:id="rId1"/>
    <sheet name="Отчет о результатах 1" sheetId="2" r:id="rId2"/>
    <sheet name="2" sheetId="3" r:id="rId3"/>
    <sheet name="3" sheetId="4" r:id="rId4"/>
    <sheet name="4" sheetId="5" r:id="rId5"/>
    <sheet name="Отчет о результатах 2" sheetId="6" r:id="rId6"/>
  </sheets>
  <definedNames>
    <definedName name="solver_adj" localSheetId="0" hidden="1">'1'!$B$3:$D$6</definedName>
    <definedName name="solver_adj" localSheetId="2" hidden="1">'2'!$B$3:$B$4</definedName>
    <definedName name="solver_adj" localSheetId="3" hidden="1">'3'!$B$3:$E$7</definedName>
    <definedName name="solver_adj" localSheetId="4" hidden="1">'4'!$B$2:$B$9</definedName>
    <definedName name="solver_cvg" localSheetId="0" hidden="1">0.0001</definedName>
    <definedName name="solver_cvg" localSheetId="2" hidden="1">0.0001</definedName>
    <definedName name="solver_cvg" localSheetId="3" hidden="1">0.0001</definedName>
    <definedName name="solver_cvg" localSheetId="4" hidden="1">0.0001</definedName>
    <definedName name="solver_drv" localSheetId="0" hidden="1">1</definedName>
    <definedName name="solver_drv" localSheetId="2" hidden="1">1</definedName>
    <definedName name="solver_drv" localSheetId="3" hidden="1">2</definedName>
    <definedName name="solver_drv" localSheetId="4" hidden="1">1</definedName>
    <definedName name="solver_eng" localSheetId="0" hidden="1">1</definedName>
    <definedName name="solver_eng" localSheetId="2" hidden="1">1</definedName>
    <definedName name="solver_eng" localSheetId="3" hidden="1">1</definedName>
    <definedName name="solver_eng" localSheetId="4" hidden="1">1</definedName>
    <definedName name="solver_est" localSheetId="0" hidden="1">1</definedName>
    <definedName name="solver_est" localSheetId="2" hidden="1">1</definedName>
    <definedName name="solver_est" localSheetId="3" hidden="1">1</definedName>
    <definedName name="solver_est" localSheetId="4" hidden="1">1</definedName>
    <definedName name="solver_itr" localSheetId="0" hidden="1">2147483647</definedName>
    <definedName name="solver_itr" localSheetId="2" hidden="1">2147483647</definedName>
    <definedName name="solver_itr" localSheetId="3" hidden="1">2147483647</definedName>
    <definedName name="solver_itr" localSheetId="4" hidden="1">2147483647</definedName>
    <definedName name="solver_lhs1" localSheetId="0" hidden="1">'1'!$B$3:$D$6</definedName>
    <definedName name="solver_lhs1" localSheetId="2" hidden="1">'2'!$B$10</definedName>
    <definedName name="solver_lhs1" localSheetId="3" hidden="1">'3'!$B$3:$E$7</definedName>
    <definedName name="solver_lhs1" localSheetId="4" hidden="1">'4'!$B$2:$B$9</definedName>
    <definedName name="solver_lhs2" localSheetId="0" hidden="1">'1'!$B$3:$D$6</definedName>
    <definedName name="solver_lhs2" localSheetId="2" hidden="1">'2'!$B$11</definedName>
    <definedName name="solver_lhs2" localSheetId="3" hidden="1">'3'!$B$3:$E$7</definedName>
    <definedName name="solver_lhs2" localSheetId="4" hidden="1">'4'!$C$10</definedName>
    <definedName name="solver_lhs3" localSheetId="0" hidden="1">'1'!$B$7:$D$7</definedName>
    <definedName name="solver_lhs3" localSheetId="2" hidden="1">'2'!$B$3:$B$4</definedName>
    <definedName name="solver_lhs3" localSheetId="3" hidden="1">'3'!$B$8:$E$8</definedName>
    <definedName name="solver_lhs3" localSheetId="4" hidden="1">'4'!$C$10</definedName>
    <definedName name="solver_lhs4" localSheetId="0" hidden="1">'1'!$E$3:$E$6</definedName>
    <definedName name="solver_lhs4" localSheetId="3" hidden="1">'3'!$F$3:$F$7</definedName>
    <definedName name="solver_mip" localSheetId="0" hidden="1">2147483647</definedName>
    <definedName name="solver_mip" localSheetId="2" hidden="1">2147483647</definedName>
    <definedName name="solver_mip" localSheetId="3" hidden="1">2147483647</definedName>
    <definedName name="solver_mip" localSheetId="4" hidden="1">2147483647</definedName>
    <definedName name="solver_mni" localSheetId="0" hidden="1">30</definedName>
    <definedName name="solver_mni" localSheetId="2" hidden="1">30</definedName>
    <definedName name="solver_mni" localSheetId="3" hidden="1">30</definedName>
    <definedName name="solver_mni" localSheetId="4" hidden="1">30</definedName>
    <definedName name="solver_mrt" localSheetId="0" hidden="1">0.075</definedName>
    <definedName name="solver_mrt" localSheetId="2" hidden="1">0.075</definedName>
    <definedName name="solver_mrt" localSheetId="3" hidden="1">0.075</definedName>
    <definedName name="solver_mrt" localSheetId="4" hidden="1">0.075</definedName>
    <definedName name="solver_msl" localSheetId="0" hidden="1">2</definedName>
    <definedName name="solver_msl" localSheetId="2" hidden="1">2</definedName>
    <definedName name="solver_msl" localSheetId="3" hidden="1">2</definedName>
    <definedName name="solver_msl" localSheetId="4" hidden="1">2</definedName>
    <definedName name="solver_neg" localSheetId="0" hidden="1">1</definedName>
    <definedName name="solver_neg" localSheetId="2" hidden="1">1</definedName>
    <definedName name="solver_neg" localSheetId="3" hidden="1">1</definedName>
    <definedName name="solver_neg" localSheetId="4" hidden="1">1</definedName>
    <definedName name="solver_nod" localSheetId="0" hidden="1">2147483647</definedName>
    <definedName name="solver_nod" localSheetId="2" hidden="1">2147483647</definedName>
    <definedName name="solver_nod" localSheetId="3" hidden="1">2147483647</definedName>
    <definedName name="solver_nod" localSheetId="4" hidden="1">2147483647</definedName>
    <definedName name="solver_num" localSheetId="0" hidden="1">4</definedName>
    <definedName name="solver_num" localSheetId="2" hidden="1">3</definedName>
    <definedName name="solver_num" localSheetId="3" hidden="1">4</definedName>
    <definedName name="solver_num" localSheetId="4" hidden="1">2</definedName>
    <definedName name="solver_nwt" localSheetId="0" hidden="1">1</definedName>
    <definedName name="solver_nwt" localSheetId="2" hidden="1">1</definedName>
    <definedName name="solver_nwt" localSheetId="3" hidden="1">1</definedName>
    <definedName name="solver_nwt" localSheetId="4" hidden="1">1</definedName>
    <definedName name="solver_opt" localSheetId="0" hidden="1">'1'!$E$9</definedName>
    <definedName name="solver_opt" localSheetId="2" hidden="1">'2'!$B$7</definedName>
    <definedName name="solver_opt" localSheetId="3" hidden="1">'3'!$F$10</definedName>
    <definedName name="solver_opt" localSheetId="4" hidden="1">'4'!$F$3</definedName>
    <definedName name="solver_pre" localSheetId="0" hidden="1">0.000001</definedName>
    <definedName name="solver_pre" localSheetId="2" hidden="1">0.000001</definedName>
    <definedName name="solver_pre" localSheetId="3" hidden="1">0.000001</definedName>
    <definedName name="solver_pre" localSheetId="4" hidden="1">0.000001</definedName>
    <definedName name="solver_rbv" localSheetId="0" hidden="1">1</definedName>
    <definedName name="solver_rbv" localSheetId="2" hidden="1">1</definedName>
    <definedName name="solver_rbv" localSheetId="3" hidden="1">2</definedName>
    <definedName name="solver_rbv" localSheetId="4" hidden="1">1</definedName>
    <definedName name="solver_rel1" localSheetId="0" hidden="1">4</definedName>
    <definedName name="solver_rel1" localSheetId="2" hidden="1">1</definedName>
    <definedName name="solver_rel1" localSheetId="3" hidden="1">4</definedName>
    <definedName name="solver_rel1" localSheetId="4" hidden="1">4</definedName>
    <definedName name="solver_rel2" localSheetId="0" hidden="1">3</definedName>
    <definedName name="solver_rel2" localSheetId="2" hidden="1">1</definedName>
    <definedName name="solver_rel2" localSheetId="3" hidden="1">3</definedName>
    <definedName name="solver_rel2" localSheetId="4" hidden="1">2</definedName>
    <definedName name="solver_rel3" localSheetId="0" hidden="1">2</definedName>
    <definedName name="solver_rel3" localSheetId="2" hidden="1">4</definedName>
    <definedName name="solver_rel3" localSheetId="3" hidden="1">3</definedName>
    <definedName name="solver_rel3" localSheetId="4" hidden="1">2</definedName>
    <definedName name="solver_rel4" localSheetId="0" hidden="1">2</definedName>
    <definedName name="solver_rel4" localSheetId="3" hidden="1">1</definedName>
    <definedName name="solver_rhs1" localSheetId="0" hidden="1">"целое"</definedName>
    <definedName name="solver_rhs1" localSheetId="2" hidden="1">'2'!$C$10</definedName>
    <definedName name="solver_rhs1" localSheetId="3" hidden="1">"целое"</definedName>
    <definedName name="solver_rhs1" localSheetId="4" hidden="1">"целое"</definedName>
    <definedName name="solver_rhs2" localSheetId="0" hidden="1">0</definedName>
    <definedName name="solver_rhs2" localSheetId="2" hidden="1">'2'!$C$11</definedName>
    <definedName name="solver_rhs2" localSheetId="3" hidden="1">0</definedName>
    <definedName name="solver_rhs2" localSheetId="4" hidden="1">'4'!$F$5</definedName>
    <definedName name="solver_rhs3" localSheetId="0" hidden="1">'1'!$B$8:$D$8</definedName>
    <definedName name="solver_rhs3" localSheetId="2" hidden="1">"целое"</definedName>
    <definedName name="solver_rhs3" localSheetId="3" hidden="1">'3'!$B$9:$E$9</definedName>
    <definedName name="solver_rhs3" localSheetId="4" hidden="1">'4'!$F$5</definedName>
    <definedName name="solver_rhs4" localSheetId="0" hidden="1">'1'!$F$3:$F$6</definedName>
    <definedName name="solver_rhs4" localSheetId="3" hidden="1">'3'!$G$3:$G$7</definedName>
    <definedName name="solver_rlx" localSheetId="0" hidden="1">2</definedName>
    <definedName name="solver_rlx" localSheetId="2" hidden="1">2</definedName>
    <definedName name="solver_rlx" localSheetId="3" hidden="1">2</definedName>
    <definedName name="solver_rlx" localSheetId="4" hidden="1">2</definedName>
    <definedName name="solver_rsd" localSheetId="0" hidden="1">0</definedName>
    <definedName name="solver_rsd" localSheetId="2" hidden="1">0</definedName>
    <definedName name="solver_rsd" localSheetId="3" hidden="1">0</definedName>
    <definedName name="solver_rsd" localSheetId="4" hidden="1">0</definedName>
    <definedName name="solver_scl" localSheetId="0" hidden="1">1</definedName>
    <definedName name="solver_scl" localSheetId="2" hidden="1">1</definedName>
    <definedName name="solver_scl" localSheetId="3" hidden="1">2</definedName>
    <definedName name="solver_scl" localSheetId="4" hidden="1">1</definedName>
    <definedName name="solver_sho" localSheetId="0" hidden="1">2</definedName>
    <definedName name="solver_sho" localSheetId="2" hidden="1">2</definedName>
    <definedName name="solver_sho" localSheetId="3" hidden="1">2</definedName>
    <definedName name="solver_sho" localSheetId="4" hidden="1">2</definedName>
    <definedName name="solver_ssz" localSheetId="0" hidden="1">100</definedName>
    <definedName name="solver_ssz" localSheetId="2" hidden="1">100</definedName>
    <definedName name="solver_ssz" localSheetId="3" hidden="1">100</definedName>
    <definedName name="solver_ssz" localSheetId="4" hidden="1">100</definedName>
    <definedName name="solver_tim" localSheetId="0" hidden="1">2147483647</definedName>
    <definedName name="solver_tim" localSheetId="2" hidden="1">2147483647</definedName>
    <definedName name="solver_tim" localSheetId="3" hidden="1">2147483647</definedName>
    <definedName name="solver_tim" localSheetId="4" hidden="1">2147483647</definedName>
    <definedName name="solver_tol" localSheetId="0" hidden="1">0.01</definedName>
    <definedName name="solver_tol" localSheetId="2" hidden="1">0.01</definedName>
    <definedName name="solver_tol" localSheetId="3" hidden="1">0.01</definedName>
    <definedName name="solver_tol" localSheetId="4" hidden="1">0.01</definedName>
    <definedName name="solver_typ" localSheetId="0" hidden="1">2</definedName>
    <definedName name="solver_typ" localSheetId="2" hidden="1">1</definedName>
    <definedName name="solver_typ" localSheetId="3" hidden="1">2</definedName>
    <definedName name="solver_typ" localSheetId="4" hidden="1">2</definedName>
    <definedName name="solver_val" localSheetId="0" hidden="1">0</definedName>
    <definedName name="solver_val" localSheetId="2" hidden="1">0</definedName>
    <definedName name="solver_val" localSheetId="3" hidden="1">0</definedName>
    <definedName name="solver_val" localSheetId="4" hidden="1">0</definedName>
    <definedName name="solver_ver" localSheetId="0" hidden="1">3</definedName>
    <definedName name="solver_ver" localSheetId="2" hidden="1">3</definedName>
    <definedName name="solver_ver" localSheetId="3" hidden="1">3</definedName>
    <definedName name="solver_ver" localSheetId="4" hidden="1">3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" i="5" l="1"/>
  <c r="B10" i="5" l="1"/>
  <c r="F3" i="5" s="1"/>
  <c r="C3" i="5"/>
  <c r="C4" i="5"/>
  <c r="C5" i="5"/>
  <c r="C6" i="5"/>
  <c r="C7" i="5"/>
  <c r="C8" i="5"/>
  <c r="C9" i="5"/>
  <c r="F10" i="4"/>
  <c r="F4" i="4"/>
  <c r="F5" i="4"/>
  <c r="F6" i="4"/>
  <c r="F7" i="4"/>
  <c r="F3" i="4"/>
  <c r="C8" i="4"/>
  <c r="D8" i="4"/>
  <c r="E8" i="4"/>
  <c r="B8" i="4"/>
  <c r="B11" i="3"/>
  <c r="B10" i="3"/>
  <c r="B7" i="3"/>
  <c r="E9" i="1"/>
  <c r="C7" i="1"/>
  <c r="D7" i="1"/>
  <c r="B7" i="1"/>
  <c r="E4" i="1"/>
  <c r="E5" i="1"/>
  <c r="E6" i="1"/>
  <c r="E3" i="1"/>
  <c r="C10" i="5" l="1"/>
</calcChain>
</file>

<file path=xl/sharedStrings.xml><?xml version="1.0" encoding="utf-8"?>
<sst xmlns="http://schemas.openxmlformats.org/spreadsheetml/2006/main" count="285" uniqueCount="145">
  <si>
    <t>Поставщики</t>
  </si>
  <si>
    <t>План перевозок</t>
  </si>
  <si>
    <t>Поставщик А1</t>
  </si>
  <si>
    <t>Поставщик А2</t>
  </si>
  <si>
    <t>Поставщик А3</t>
  </si>
  <si>
    <t>Поставщик А4</t>
  </si>
  <si>
    <t>Потребитель В1</t>
  </si>
  <si>
    <t>Потребитель В2</t>
  </si>
  <si>
    <t>Потребитель В3</t>
  </si>
  <si>
    <t>Реализовано</t>
  </si>
  <si>
    <t>Запасы</t>
  </si>
  <si>
    <t>Получено</t>
  </si>
  <si>
    <t>Потребность</t>
  </si>
  <si>
    <t>Тарифы</t>
  </si>
  <si>
    <t>Целевая функция</t>
  </si>
  <si>
    <t>Microsoft Excel 16.0 Отчет о результатах</t>
  </si>
  <si>
    <t>Отчет создан: 11.10.2024 12:05:36</t>
  </si>
  <si>
    <t>Результат: Решение найдено. Все ограничения и условия оптимальности выполнены.</t>
  </si>
  <si>
    <t>Модуль поиска решения</t>
  </si>
  <si>
    <t>Модуль: Поиск решения нелинейных задач методом ОПГ</t>
  </si>
  <si>
    <t>Время решения: 0,094 секунд.</t>
  </si>
  <si>
    <t>Число итераций: 1 Число подзадач: 4</t>
  </si>
  <si>
    <t>Параметры поиска решения</t>
  </si>
  <si>
    <t>Максимальное время Без пределов,  Число итераций Без пределов, Precision 0,000001, Использовать автоматическое масштабирование</t>
  </si>
  <si>
    <t xml:space="preserve"> Сходимость 0,0001, Размер совокупности 100, Случайное начальное значение 0, Правые производные, Обязательные границы</t>
  </si>
  <si>
    <t>Максимальное число подзадач Без пределов, Максимальное число целочисленных решений Без пределов, Целочисленное отклонение 1%, Считать неотрицательными</t>
  </si>
  <si>
    <t>Ячейка целевой функции (Минимум)</t>
  </si>
  <si>
    <t>Ячейка</t>
  </si>
  <si>
    <t>Имя</t>
  </si>
  <si>
    <t>Исходное значение</t>
  </si>
  <si>
    <t>Окончательное значение</t>
  </si>
  <si>
    <t>Ячейки переменных</t>
  </si>
  <si>
    <t>Целочисленное</t>
  </si>
  <si>
    <t>Ограничения</t>
  </si>
  <si>
    <t>Значение ячейки</t>
  </si>
  <si>
    <t>Формула</t>
  </si>
  <si>
    <t>Состояние</t>
  </si>
  <si>
    <t>Допуск</t>
  </si>
  <si>
    <t>$E$9</t>
  </si>
  <si>
    <t>Целевая функция Реализовано</t>
  </si>
  <si>
    <t>$B$3</t>
  </si>
  <si>
    <t>Поставщик А1 Потребитель В1</t>
  </si>
  <si>
    <t>$C$3</t>
  </si>
  <si>
    <t>Поставщик А1 Потребитель В2</t>
  </si>
  <si>
    <t>$D$3</t>
  </si>
  <si>
    <t>Поставщик А1 Потребитель В3</t>
  </si>
  <si>
    <t>$B$4</t>
  </si>
  <si>
    <t>Поставщик А2 Потребитель В1</t>
  </si>
  <si>
    <t>$C$4</t>
  </si>
  <si>
    <t>Поставщик А2 Потребитель В2</t>
  </si>
  <si>
    <t>$D$4</t>
  </si>
  <si>
    <t>Поставщик А2 Потребитель В3</t>
  </si>
  <si>
    <t>$B$5</t>
  </si>
  <si>
    <t>Поставщик А3 Потребитель В1</t>
  </si>
  <si>
    <t>$C$5</t>
  </si>
  <si>
    <t>Поставщик А3 Потребитель В2</t>
  </si>
  <si>
    <t>$D$5</t>
  </si>
  <si>
    <t>Поставщик А3 Потребитель В3</t>
  </si>
  <si>
    <t>$B$6</t>
  </si>
  <si>
    <t>Поставщик А4 Потребитель В1</t>
  </si>
  <si>
    <t>$C$6</t>
  </si>
  <si>
    <t>Поставщик А4 Потребитель В2</t>
  </si>
  <si>
    <t>$D$6</t>
  </si>
  <si>
    <t>Поставщик А4 Потребитель В3</t>
  </si>
  <si>
    <t>$B$7</t>
  </si>
  <si>
    <t>Получено Потребитель В1</t>
  </si>
  <si>
    <t>$B$7=$B$8</t>
  </si>
  <si>
    <t>Привязка</t>
  </si>
  <si>
    <t>$C$7</t>
  </si>
  <si>
    <t>Получено Потребитель В2</t>
  </si>
  <si>
    <t>$C$7=$C$8</t>
  </si>
  <si>
    <t>$D$7</t>
  </si>
  <si>
    <t>Получено Потребитель В3</t>
  </si>
  <si>
    <t>$D$7=$D$8</t>
  </si>
  <si>
    <t>$E$3</t>
  </si>
  <si>
    <t>Поставщик А1 Реализовано</t>
  </si>
  <si>
    <t>$E$3=$F$3</t>
  </si>
  <si>
    <t>$E$4</t>
  </si>
  <si>
    <t>Поставщик А2 Реализовано</t>
  </si>
  <si>
    <t>$E$4=$F$4</t>
  </si>
  <si>
    <t>$E$5</t>
  </si>
  <si>
    <t>Поставщик А3 Реализовано</t>
  </si>
  <si>
    <t>$E$5=$F$5</t>
  </si>
  <si>
    <t>$E$6</t>
  </si>
  <si>
    <t>Поставщик А4 Реализовано</t>
  </si>
  <si>
    <t>$E$6=$F$6</t>
  </si>
  <si>
    <t>$B$3&gt;=0</t>
  </si>
  <si>
    <t>$C$3&gt;=0</t>
  </si>
  <si>
    <t>$D$3&gt;=0</t>
  </si>
  <si>
    <t>Без привязки</t>
  </si>
  <si>
    <t>$B$4&gt;=0</t>
  </si>
  <si>
    <t>$C$4&gt;=0</t>
  </si>
  <si>
    <t>$D$4&gt;=0</t>
  </si>
  <si>
    <t>$B$5&gt;=0</t>
  </si>
  <si>
    <t>$C$5&gt;=0</t>
  </si>
  <si>
    <t>$D$5&gt;=0</t>
  </si>
  <si>
    <t>$B$6&gt;=0</t>
  </si>
  <si>
    <t>$C$6&gt;=0</t>
  </si>
  <si>
    <t>$D$6&gt;=0</t>
  </si>
  <si>
    <t>$B$3:$D$6=Целочисленное</t>
  </si>
  <si>
    <t>$B$3:$D$6</t>
  </si>
  <si>
    <t>$B$7:$D$7 = $B$8:$D$8</t>
  </si>
  <si>
    <t>$E$3:$E$6 = $F$3:$F$6</t>
  </si>
  <si>
    <t>$B$3:$D$6 &gt;= 0</t>
  </si>
  <si>
    <t>Данные</t>
  </si>
  <si>
    <t>Вид продукции</t>
  </si>
  <si>
    <t>Количество</t>
  </si>
  <si>
    <t>Прибыль</t>
  </si>
  <si>
    <t>Расход материала (кв.м)</t>
  </si>
  <si>
    <t>Время изготовления 1 шт (ч.)</t>
  </si>
  <si>
    <t>Изделие А</t>
  </si>
  <si>
    <t>Изделие В</t>
  </si>
  <si>
    <t>В неделю</t>
  </si>
  <si>
    <t>Ед. изм</t>
  </si>
  <si>
    <t>Материал</t>
  </si>
  <si>
    <t>Время</t>
  </si>
  <si>
    <t>кв. м</t>
  </si>
  <si>
    <t>ч.</t>
  </si>
  <si>
    <t>Наро-Фоминск</t>
  </si>
  <si>
    <t>Солнечногорск</t>
  </si>
  <si>
    <t>Домодедово</t>
  </si>
  <si>
    <t>Балашиха</t>
  </si>
  <si>
    <t>Ногинск</t>
  </si>
  <si>
    <t>Лужники</t>
  </si>
  <si>
    <t>Сокол</t>
  </si>
  <si>
    <t>Измайлово</t>
  </si>
  <si>
    <t>Юго-запад</t>
  </si>
  <si>
    <t>Наминал</t>
  </si>
  <si>
    <t>Сумма</t>
  </si>
  <si>
    <t>Итог</t>
  </si>
  <si>
    <t>Требуемая сумма</t>
  </si>
  <si>
    <t>Отчет создан: 11.10.2024 12:47:10</t>
  </si>
  <si>
    <t>Результат: Поиск сошелся к текущему решению. Все ограничения выполнены.</t>
  </si>
  <si>
    <t>Время решения: 46,172 секунд.</t>
  </si>
  <si>
    <t>Число итераций: 5 Число подзадач: 3416</t>
  </si>
  <si>
    <t>$F$3</t>
  </si>
  <si>
    <t>$B$2</t>
  </si>
  <si>
    <t>$B$8</t>
  </si>
  <si>
    <t>$B$9</t>
  </si>
  <si>
    <t>$C$10</t>
  </si>
  <si>
    <t>Итог Сумма</t>
  </si>
  <si>
    <t>$C$10=$F$5</t>
  </si>
  <si>
    <t>$B$2:$B$9=Целочисленное</t>
  </si>
  <si>
    <t>$B$2:$B$9</t>
  </si>
  <si>
    <t>Лист: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</si>
</sst>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₽&quot;_-;\-* #,##0.00\ &quot;₽&quot;_-;_-* &quot;-&quot;??\ &quot;₽&quot;_-;_-@_-"/>
    <numFmt numFmtId="164" formatCode="#,##0.00\ &quot;₽&quot;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1"/>
      <color indexed="18"/>
      <name val="Calibri"/>
      <family val="2"/>
      <scheme val="minor"/>
    </font>
    <font>
      <b/>
      <sz val="11"/>
      <name val="Calibri"/>
      <family val="2"/>
      <charset val="204"/>
      <scheme val="minor"/>
    </font>
    <font>
      <b/>
      <sz val="11"/>
      <color indexed="1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6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0" fontId="2" fillId="0" borderId="0" xfId="0" applyFont="1"/>
    <xf numFmtId="0" fontId="0" fillId="0" borderId="5" xfId="0" applyFill="1" applyBorder="1" applyAlignment="1"/>
    <xf numFmtId="0" fontId="5" fillId="0" borderId="4" xfId="0" applyFont="1" applyFill="1" applyBorder="1" applyAlignment="1">
      <alignment horizontal="center"/>
    </xf>
    <xf numFmtId="0" fontId="0" fillId="0" borderId="0" xfId="0" applyFill="1" applyBorder="1" applyAlignment="1"/>
    <xf numFmtId="0" fontId="0" fillId="0" borderId="6" xfId="0" applyFill="1" applyBorder="1" applyAlignment="1"/>
    <xf numFmtId="0" fontId="0" fillId="0" borderId="5" xfId="0" applyNumberFormat="1" applyFill="1" applyBorder="1" applyAlignment="1"/>
    <xf numFmtId="0" fontId="0" fillId="0" borderId="6" xfId="0" applyNumberFormat="1" applyFill="1" applyBorder="1" applyAlignment="1"/>
    <xf numFmtId="0" fontId="0" fillId="0" borderId="0" xfId="0" applyNumberFormat="1" applyFill="1" applyBorder="1" applyAlignment="1"/>
    <xf numFmtId="0" fontId="5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left"/>
    </xf>
    <xf numFmtId="0" fontId="6" fillId="0" borderId="6" xfId="0" applyFont="1" applyFill="1" applyBorder="1" applyAlignment="1">
      <alignment horizontal="left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0" fontId="0" fillId="3" borderId="1" xfId="0" applyFill="1" applyBorder="1"/>
    <xf numFmtId="0" fontId="0" fillId="0" borderId="1" xfId="0" applyBorder="1"/>
    <xf numFmtId="0" fontId="2" fillId="0" borderId="1" xfId="0" applyFont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44" fontId="0" fillId="0" borderId="1" xfId="1" applyFont="1" applyBorder="1"/>
    <xf numFmtId="44" fontId="0" fillId="0" borderId="1" xfId="1" applyFont="1" applyBorder="1" applyAlignment="1">
      <alignment horizontal="left"/>
    </xf>
    <xf numFmtId="0" fontId="3" fillId="0" borderId="1" xfId="0" applyFont="1" applyBorder="1"/>
    <xf numFmtId="0" fontId="3" fillId="2" borderId="1" xfId="0" applyFont="1" applyFill="1" applyBorder="1"/>
    <xf numFmtId="0" fontId="3" fillId="0" borderId="1" xfId="0" applyFont="1" applyFill="1" applyBorder="1"/>
    <xf numFmtId="44" fontId="3" fillId="0" borderId="1" xfId="1" applyFont="1" applyBorder="1"/>
    <xf numFmtId="0" fontId="4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 vertical="center"/>
    </xf>
    <xf numFmtId="164" fontId="3" fillId="4" borderId="1" xfId="1" applyNumberFormat="1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/>
    </xf>
    <xf numFmtId="164" fontId="0" fillId="0" borderId="6" xfId="0" applyNumberFormat="1" applyFill="1" applyBorder="1" applyAlignment="1"/>
    <xf numFmtId="0" fontId="7" fillId="0" borderId="0" xfId="0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right" vertical="center"/>
    </xf>
    <xf numFmtId="0" fontId="4" fillId="0" borderId="3" xfId="0" applyFont="1" applyBorder="1" applyAlignment="1">
      <alignment horizontal="right" vertical="center"/>
    </xf>
    <xf numFmtId="0" fontId="4" fillId="0" borderId="2" xfId="0" applyFont="1" applyBorder="1" applyAlignment="1">
      <alignment horizontal="right"/>
    </xf>
    <xf numFmtId="0" fontId="4" fillId="0" borderId="3" xfId="0" applyFont="1" applyBorder="1" applyAlignment="1">
      <alignment horizontal="right"/>
    </xf>
  </cellXfs>
  <cellStyles count="2">
    <cellStyle name="Денежный" xfId="1" builtinId="4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workbookViewId="0">
      <selection activeCell="G16" sqref="G16"/>
    </sheetView>
  </sheetViews>
  <sheetFormatPr defaultRowHeight="15" x14ac:dyDescent="0.25"/>
  <cols>
    <col min="1" max="1" width="14.42578125" style="1" bestFit="1" customWidth="1"/>
    <col min="2" max="4" width="15.85546875" style="1" bestFit="1" customWidth="1"/>
    <col min="5" max="5" width="13.5703125" style="1" bestFit="1" customWidth="1"/>
    <col min="6" max="16384" width="9.140625" style="1"/>
  </cols>
  <sheetData>
    <row r="1" spans="1:6" x14ac:dyDescent="0.25">
      <c r="A1" s="40" t="s">
        <v>0</v>
      </c>
      <c r="B1" s="41" t="s">
        <v>1</v>
      </c>
      <c r="C1" s="41"/>
      <c r="D1" s="41"/>
      <c r="E1" s="40" t="s">
        <v>9</v>
      </c>
      <c r="F1" s="41" t="s">
        <v>10</v>
      </c>
    </row>
    <row r="2" spans="1:6" x14ac:dyDescent="0.25">
      <c r="A2" s="40"/>
      <c r="B2" s="2" t="s">
        <v>6</v>
      </c>
      <c r="C2" s="2" t="s">
        <v>7</v>
      </c>
      <c r="D2" s="2" t="s">
        <v>8</v>
      </c>
      <c r="E2" s="40"/>
      <c r="F2" s="41"/>
    </row>
    <row r="3" spans="1:6" x14ac:dyDescent="0.25">
      <c r="A3" s="6" t="s">
        <v>2</v>
      </c>
      <c r="B3" s="2">
        <v>0</v>
      </c>
      <c r="C3" s="2">
        <v>0</v>
      </c>
      <c r="D3" s="2">
        <v>15</v>
      </c>
      <c r="E3" s="2">
        <f>SUM(B3:D3)</f>
        <v>15</v>
      </c>
      <c r="F3" s="5">
        <v>15</v>
      </c>
    </row>
    <row r="4" spans="1:6" x14ac:dyDescent="0.25">
      <c r="A4" s="6" t="s">
        <v>3</v>
      </c>
      <c r="B4" s="2">
        <v>0</v>
      </c>
      <c r="C4" s="2">
        <v>20</v>
      </c>
      <c r="D4" s="2">
        <v>5</v>
      </c>
      <c r="E4" s="2">
        <f t="shared" ref="E4:E6" si="0">SUM(B4:D4)</f>
        <v>25</v>
      </c>
      <c r="F4" s="5">
        <v>25</v>
      </c>
    </row>
    <row r="5" spans="1:6" x14ac:dyDescent="0.25">
      <c r="A5" s="6" t="s">
        <v>4</v>
      </c>
      <c r="B5" s="2">
        <v>10</v>
      </c>
      <c r="C5" s="2">
        <v>0</v>
      </c>
      <c r="D5" s="2">
        <v>0</v>
      </c>
      <c r="E5" s="2">
        <f t="shared" si="0"/>
        <v>10</v>
      </c>
      <c r="F5" s="5">
        <v>10</v>
      </c>
    </row>
    <row r="6" spans="1:6" x14ac:dyDescent="0.25">
      <c r="A6" s="6" t="s">
        <v>5</v>
      </c>
      <c r="B6" s="2">
        <v>0</v>
      </c>
      <c r="C6" s="2">
        <v>0</v>
      </c>
      <c r="D6" s="2">
        <v>15</v>
      </c>
      <c r="E6" s="2">
        <f t="shared" si="0"/>
        <v>15</v>
      </c>
      <c r="F6" s="5">
        <v>15</v>
      </c>
    </row>
    <row r="7" spans="1:6" x14ac:dyDescent="0.25">
      <c r="A7" s="3" t="s">
        <v>11</v>
      </c>
      <c r="B7" s="2">
        <f>SUM(B3:B6)</f>
        <v>10</v>
      </c>
      <c r="C7" s="2">
        <f t="shared" ref="C7:D7" si="1">SUM(C3:C6)</f>
        <v>20</v>
      </c>
      <c r="D7" s="2">
        <f t="shared" si="1"/>
        <v>35</v>
      </c>
      <c r="E7" s="2"/>
      <c r="F7" s="2"/>
    </row>
    <row r="8" spans="1:6" x14ac:dyDescent="0.25">
      <c r="A8" s="4" t="s">
        <v>12</v>
      </c>
      <c r="B8" s="5">
        <v>10</v>
      </c>
      <c r="C8" s="5">
        <v>20</v>
      </c>
      <c r="D8" s="5">
        <v>35</v>
      </c>
      <c r="E8" s="2"/>
      <c r="F8" s="2"/>
    </row>
    <row r="9" spans="1:6" x14ac:dyDescent="0.25">
      <c r="A9" s="2"/>
      <c r="B9" s="2"/>
      <c r="C9" s="42" t="s">
        <v>14</v>
      </c>
      <c r="D9" s="43"/>
      <c r="E9" s="2">
        <f>SUMPRODUCT(B3:D6,B14:D17)</f>
        <v>190</v>
      </c>
      <c r="F9" s="2"/>
    </row>
    <row r="12" spans="1:6" x14ac:dyDescent="0.25">
      <c r="A12" s="40" t="s">
        <v>0</v>
      </c>
      <c r="B12" s="41" t="s">
        <v>13</v>
      </c>
      <c r="C12" s="41"/>
      <c r="D12" s="41"/>
    </row>
    <row r="13" spans="1:6" x14ac:dyDescent="0.25">
      <c r="A13" s="40"/>
      <c r="B13" s="2" t="s">
        <v>6</v>
      </c>
      <c r="C13" s="2" t="s">
        <v>7</v>
      </c>
      <c r="D13" s="2" t="s">
        <v>8</v>
      </c>
    </row>
    <row r="14" spans="1:6" x14ac:dyDescent="0.25">
      <c r="A14" s="6" t="s">
        <v>2</v>
      </c>
      <c r="B14" s="2">
        <v>5</v>
      </c>
      <c r="C14" s="2">
        <v>4</v>
      </c>
      <c r="D14" s="2">
        <v>4</v>
      </c>
    </row>
    <row r="15" spans="1:6" x14ac:dyDescent="0.25">
      <c r="A15" s="6" t="s">
        <v>3</v>
      </c>
      <c r="B15" s="2">
        <v>2</v>
      </c>
      <c r="C15" s="2">
        <v>2</v>
      </c>
      <c r="D15" s="2">
        <v>3</v>
      </c>
    </row>
    <row r="16" spans="1:6" x14ac:dyDescent="0.25">
      <c r="A16" s="6" t="s">
        <v>4</v>
      </c>
      <c r="B16" s="2">
        <v>3</v>
      </c>
      <c r="C16" s="2">
        <v>4</v>
      </c>
      <c r="D16" s="2">
        <v>5</v>
      </c>
    </row>
    <row r="17" spans="1:4" x14ac:dyDescent="0.25">
      <c r="A17" s="6" t="s">
        <v>5</v>
      </c>
      <c r="B17" s="2">
        <v>5</v>
      </c>
      <c r="C17" s="2">
        <v>3</v>
      </c>
      <c r="D17" s="2">
        <v>3</v>
      </c>
    </row>
  </sheetData>
  <mergeCells count="7">
    <mergeCell ref="A1:A2"/>
    <mergeCell ref="B1:D1"/>
    <mergeCell ref="E1:E2"/>
    <mergeCell ref="F1:F2"/>
    <mergeCell ref="A12:A13"/>
    <mergeCell ref="B12:D12"/>
    <mergeCell ref="C9:D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A22B7-A139-4A09-9C13-60A8BFC6BCF1}">
  <dimension ref="A1:G64"/>
  <sheetViews>
    <sheetView showGridLines="0" workbookViewId="0">
      <selection activeCell="C21" sqref="C21"/>
    </sheetView>
  </sheetViews>
  <sheetFormatPr defaultRowHeight="15" outlineLevelRow="1" x14ac:dyDescent="0.25"/>
  <cols>
    <col min="1" max="1" width="2.28515625" customWidth="1"/>
    <col min="2" max="2" width="26.28515625" bestFit="1" customWidth="1"/>
    <col min="3" max="3" width="30" bestFit="1" customWidth="1"/>
    <col min="4" max="4" width="19.42578125" bestFit="1" customWidth="1"/>
    <col min="5" max="5" width="24.7109375" bestFit="1" customWidth="1"/>
    <col min="6" max="6" width="15.85546875" bestFit="1" customWidth="1"/>
    <col min="7" max="7" width="7.5703125" bestFit="1" customWidth="1"/>
  </cols>
  <sheetData>
    <row r="1" spans="1:5" x14ac:dyDescent="0.25">
      <c r="A1" s="7" t="s">
        <v>15</v>
      </c>
    </row>
    <row r="2" spans="1:5" x14ac:dyDescent="0.25">
      <c r="A2" s="7" t="s">
        <v>144</v>
      </c>
    </row>
    <row r="3" spans="1:5" x14ac:dyDescent="0.25">
      <c r="A3" s="7" t="s">
        <v>16</v>
      </c>
    </row>
    <row r="4" spans="1:5" x14ac:dyDescent="0.25">
      <c r="A4" s="7" t="s">
        <v>17</v>
      </c>
    </row>
    <row r="5" spans="1:5" x14ac:dyDescent="0.25">
      <c r="A5" s="7" t="s">
        <v>18</v>
      </c>
    </row>
    <row r="6" spans="1:5" hidden="1" outlineLevel="1" x14ac:dyDescent="0.25">
      <c r="A6" s="7"/>
      <c r="B6" t="s">
        <v>19</v>
      </c>
    </row>
    <row r="7" spans="1:5" hidden="1" outlineLevel="1" x14ac:dyDescent="0.25">
      <c r="A7" s="7"/>
      <c r="B7" t="s">
        <v>20</v>
      </c>
    </row>
    <row r="8" spans="1:5" hidden="1" outlineLevel="1" x14ac:dyDescent="0.25">
      <c r="A8" s="7"/>
      <c r="B8" t="s">
        <v>21</v>
      </c>
    </row>
    <row r="9" spans="1:5" collapsed="1" x14ac:dyDescent="0.25">
      <c r="A9" s="7" t="s">
        <v>22</v>
      </c>
    </row>
    <row r="10" spans="1:5" hidden="1" outlineLevel="1" x14ac:dyDescent="0.25">
      <c r="B10" t="s">
        <v>23</v>
      </c>
    </row>
    <row r="11" spans="1:5" hidden="1" outlineLevel="1" x14ac:dyDescent="0.25">
      <c r="B11" t="s">
        <v>24</v>
      </c>
    </row>
    <row r="12" spans="1:5" hidden="1" outlineLevel="1" x14ac:dyDescent="0.25">
      <c r="B12" t="s">
        <v>25</v>
      </c>
    </row>
    <row r="13" spans="1:5" collapsed="1" x14ac:dyDescent="0.25"/>
    <row r="14" spans="1:5" ht="15.75" thickBot="1" x14ac:dyDescent="0.3">
      <c r="A14" t="s">
        <v>26</v>
      </c>
    </row>
    <row r="15" spans="1:5" ht="15.75" thickBot="1" x14ac:dyDescent="0.3">
      <c r="B15" s="9" t="s">
        <v>27</v>
      </c>
      <c r="C15" s="9" t="s">
        <v>28</v>
      </c>
      <c r="D15" s="9" t="s">
        <v>29</v>
      </c>
      <c r="E15" s="9" t="s">
        <v>30</v>
      </c>
    </row>
    <row r="16" spans="1:5" ht="15.75" thickBot="1" x14ac:dyDescent="0.3">
      <c r="B16" s="8" t="s">
        <v>38</v>
      </c>
      <c r="C16" s="8" t="s">
        <v>39</v>
      </c>
      <c r="D16" s="12">
        <v>0</v>
      </c>
      <c r="E16" s="12">
        <v>190</v>
      </c>
    </row>
    <row r="19" spans="1:6" ht="15.75" thickBot="1" x14ac:dyDescent="0.3">
      <c r="A19" t="s">
        <v>31</v>
      </c>
    </row>
    <row r="20" spans="1:6" ht="15.75" thickBot="1" x14ac:dyDescent="0.3">
      <c r="B20" s="9" t="s">
        <v>27</v>
      </c>
      <c r="C20" s="9" t="s">
        <v>28</v>
      </c>
      <c r="D20" s="9" t="s">
        <v>29</v>
      </c>
      <c r="E20" s="9" t="s">
        <v>30</v>
      </c>
      <c r="F20" s="9" t="s">
        <v>32</v>
      </c>
    </row>
    <row r="21" spans="1:6" x14ac:dyDescent="0.25">
      <c r="B21" s="16" t="s">
        <v>100</v>
      </c>
      <c r="C21" s="15"/>
      <c r="D21" s="15"/>
      <c r="E21" s="15"/>
      <c r="F21" s="15"/>
    </row>
    <row r="22" spans="1:6" hidden="1" outlineLevel="1" x14ac:dyDescent="0.25">
      <c r="B22" s="11" t="s">
        <v>40</v>
      </c>
      <c r="C22" s="11" t="s">
        <v>41</v>
      </c>
      <c r="D22" s="13">
        <v>0</v>
      </c>
      <c r="E22" s="13">
        <v>0</v>
      </c>
      <c r="F22" s="11" t="s">
        <v>32</v>
      </c>
    </row>
    <row r="23" spans="1:6" hidden="1" outlineLevel="1" x14ac:dyDescent="0.25">
      <c r="B23" s="11" t="s">
        <v>42</v>
      </c>
      <c r="C23" s="11" t="s">
        <v>43</v>
      </c>
      <c r="D23" s="13">
        <v>0</v>
      </c>
      <c r="E23" s="13">
        <v>0</v>
      </c>
      <c r="F23" s="11" t="s">
        <v>32</v>
      </c>
    </row>
    <row r="24" spans="1:6" hidden="1" outlineLevel="1" x14ac:dyDescent="0.25">
      <c r="B24" s="11" t="s">
        <v>44</v>
      </c>
      <c r="C24" s="11" t="s">
        <v>45</v>
      </c>
      <c r="D24" s="13">
        <v>0</v>
      </c>
      <c r="E24" s="13">
        <v>15</v>
      </c>
      <c r="F24" s="11" t="s">
        <v>32</v>
      </c>
    </row>
    <row r="25" spans="1:6" hidden="1" outlineLevel="1" x14ac:dyDescent="0.25">
      <c r="B25" s="11" t="s">
        <v>46</v>
      </c>
      <c r="C25" s="11" t="s">
        <v>47</v>
      </c>
      <c r="D25" s="13">
        <v>0</v>
      </c>
      <c r="E25" s="13">
        <v>0</v>
      </c>
      <c r="F25" s="11" t="s">
        <v>32</v>
      </c>
    </row>
    <row r="26" spans="1:6" hidden="1" outlineLevel="1" x14ac:dyDescent="0.25">
      <c r="B26" s="11" t="s">
        <v>48</v>
      </c>
      <c r="C26" s="11" t="s">
        <v>49</v>
      </c>
      <c r="D26" s="13">
        <v>0</v>
      </c>
      <c r="E26" s="13">
        <v>20</v>
      </c>
      <c r="F26" s="11" t="s">
        <v>32</v>
      </c>
    </row>
    <row r="27" spans="1:6" hidden="1" outlineLevel="1" x14ac:dyDescent="0.25">
      <c r="B27" s="11" t="s">
        <v>50</v>
      </c>
      <c r="C27" s="11" t="s">
        <v>51</v>
      </c>
      <c r="D27" s="13">
        <v>0</v>
      </c>
      <c r="E27" s="13">
        <v>5</v>
      </c>
      <c r="F27" s="11" t="s">
        <v>32</v>
      </c>
    </row>
    <row r="28" spans="1:6" hidden="1" outlineLevel="1" x14ac:dyDescent="0.25">
      <c r="B28" s="11" t="s">
        <v>52</v>
      </c>
      <c r="C28" s="11" t="s">
        <v>53</v>
      </c>
      <c r="D28" s="13">
        <v>0</v>
      </c>
      <c r="E28" s="13">
        <v>10</v>
      </c>
      <c r="F28" s="11" t="s">
        <v>32</v>
      </c>
    </row>
    <row r="29" spans="1:6" hidden="1" outlineLevel="1" x14ac:dyDescent="0.25">
      <c r="B29" s="11" t="s">
        <v>54</v>
      </c>
      <c r="C29" s="11" t="s">
        <v>55</v>
      </c>
      <c r="D29" s="13">
        <v>0</v>
      </c>
      <c r="E29" s="13">
        <v>0</v>
      </c>
      <c r="F29" s="11" t="s">
        <v>32</v>
      </c>
    </row>
    <row r="30" spans="1:6" hidden="1" outlineLevel="1" x14ac:dyDescent="0.25">
      <c r="B30" s="11" t="s">
        <v>56</v>
      </c>
      <c r="C30" s="11" t="s">
        <v>57</v>
      </c>
      <c r="D30" s="13">
        <v>0</v>
      </c>
      <c r="E30" s="13">
        <v>0</v>
      </c>
      <c r="F30" s="11" t="s">
        <v>32</v>
      </c>
    </row>
    <row r="31" spans="1:6" hidden="1" outlineLevel="1" x14ac:dyDescent="0.25">
      <c r="B31" s="11" t="s">
        <v>58</v>
      </c>
      <c r="C31" s="11" t="s">
        <v>59</v>
      </c>
      <c r="D31" s="13">
        <v>0</v>
      </c>
      <c r="E31" s="13">
        <v>0</v>
      </c>
      <c r="F31" s="11" t="s">
        <v>32</v>
      </c>
    </row>
    <row r="32" spans="1:6" hidden="1" outlineLevel="1" x14ac:dyDescent="0.25">
      <c r="B32" s="11" t="s">
        <v>60</v>
      </c>
      <c r="C32" s="11" t="s">
        <v>61</v>
      </c>
      <c r="D32" s="13">
        <v>0</v>
      </c>
      <c r="E32" s="13">
        <v>0</v>
      </c>
      <c r="F32" s="11" t="s">
        <v>32</v>
      </c>
    </row>
    <row r="33" spans="1:7" ht="15.75" hidden="1" outlineLevel="1" thickBot="1" x14ac:dyDescent="0.3">
      <c r="B33" s="8" t="s">
        <v>62</v>
      </c>
      <c r="C33" s="8" t="s">
        <v>63</v>
      </c>
      <c r="D33" s="12">
        <v>0</v>
      </c>
      <c r="E33" s="12">
        <v>15</v>
      </c>
      <c r="F33" s="8" t="s">
        <v>32</v>
      </c>
    </row>
    <row r="34" spans="1:7" collapsed="1" x14ac:dyDescent="0.25">
      <c r="B34" s="10"/>
      <c r="C34" s="10"/>
      <c r="D34" s="14"/>
      <c r="E34" s="14"/>
      <c r="F34" s="10"/>
    </row>
    <row r="37" spans="1:7" ht="15.75" thickBot="1" x14ac:dyDescent="0.3">
      <c r="A37" t="s">
        <v>33</v>
      </c>
    </row>
    <row r="38" spans="1:7" ht="15.75" thickBot="1" x14ac:dyDescent="0.3">
      <c r="B38" s="9" t="s">
        <v>27</v>
      </c>
      <c r="C38" s="9" t="s">
        <v>28</v>
      </c>
      <c r="D38" s="9" t="s">
        <v>34</v>
      </c>
      <c r="E38" s="9" t="s">
        <v>35</v>
      </c>
      <c r="F38" s="9" t="s">
        <v>36</v>
      </c>
      <c r="G38" s="9" t="s">
        <v>37</v>
      </c>
    </row>
    <row r="39" spans="1:7" x14ac:dyDescent="0.25">
      <c r="B39" s="16" t="s">
        <v>101</v>
      </c>
      <c r="C39" s="15"/>
      <c r="D39" s="15"/>
      <c r="E39" s="15"/>
      <c r="F39" s="15"/>
      <c r="G39" s="15"/>
    </row>
    <row r="40" spans="1:7" hidden="1" outlineLevel="1" x14ac:dyDescent="0.25">
      <c r="B40" s="11" t="s">
        <v>64</v>
      </c>
      <c r="C40" s="11" t="s">
        <v>65</v>
      </c>
      <c r="D40" s="13">
        <v>10</v>
      </c>
      <c r="E40" s="11" t="s">
        <v>66</v>
      </c>
      <c r="F40" s="11" t="s">
        <v>67</v>
      </c>
      <c r="G40" s="11">
        <v>0</v>
      </c>
    </row>
    <row r="41" spans="1:7" hidden="1" outlineLevel="1" x14ac:dyDescent="0.25">
      <c r="B41" s="11" t="s">
        <v>68</v>
      </c>
      <c r="C41" s="11" t="s">
        <v>69</v>
      </c>
      <c r="D41" s="13">
        <v>20</v>
      </c>
      <c r="E41" s="11" t="s">
        <v>70</v>
      </c>
      <c r="F41" s="11" t="s">
        <v>67</v>
      </c>
      <c r="G41" s="11">
        <v>0</v>
      </c>
    </row>
    <row r="42" spans="1:7" hidden="1" outlineLevel="1" x14ac:dyDescent="0.25">
      <c r="B42" s="11" t="s">
        <v>71</v>
      </c>
      <c r="C42" s="11" t="s">
        <v>72</v>
      </c>
      <c r="D42" s="13">
        <v>35</v>
      </c>
      <c r="E42" s="11" t="s">
        <v>73</v>
      </c>
      <c r="F42" s="11" t="s">
        <v>67</v>
      </c>
      <c r="G42" s="11">
        <v>0</v>
      </c>
    </row>
    <row r="43" spans="1:7" collapsed="1" x14ac:dyDescent="0.25">
      <c r="B43" s="11"/>
      <c r="C43" s="11"/>
      <c r="D43" s="13"/>
      <c r="E43" s="11"/>
      <c r="F43" s="11"/>
      <c r="G43" s="11"/>
    </row>
    <row r="44" spans="1:7" x14ac:dyDescent="0.25">
      <c r="B44" s="17" t="s">
        <v>102</v>
      </c>
      <c r="C44" s="11"/>
      <c r="D44" s="13"/>
      <c r="E44" s="11"/>
      <c r="F44" s="11"/>
      <c r="G44" s="11"/>
    </row>
    <row r="45" spans="1:7" hidden="1" outlineLevel="1" x14ac:dyDescent="0.25">
      <c r="B45" s="11" t="s">
        <v>74</v>
      </c>
      <c r="C45" s="11" t="s">
        <v>75</v>
      </c>
      <c r="D45" s="13">
        <v>15</v>
      </c>
      <c r="E45" s="11" t="s">
        <v>76</v>
      </c>
      <c r="F45" s="11" t="s">
        <v>67</v>
      </c>
      <c r="G45" s="11">
        <v>0</v>
      </c>
    </row>
    <row r="46" spans="1:7" hidden="1" outlineLevel="1" x14ac:dyDescent="0.25">
      <c r="B46" s="11" t="s">
        <v>77</v>
      </c>
      <c r="C46" s="11" t="s">
        <v>78</v>
      </c>
      <c r="D46" s="13">
        <v>25</v>
      </c>
      <c r="E46" s="11" t="s">
        <v>79</v>
      </c>
      <c r="F46" s="11" t="s">
        <v>67</v>
      </c>
      <c r="G46" s="11">
        <v>0</v>
      </c>
    </row>
    <row r="47" spans="1:7" hidden="1" outlineLevel="1" x14ac:dyDescent="0.25">
      <c r="B47" s="11" t="s">
        <v>80</v>
      </c>
      <c r="C47" s="11" t="s">
        <v>81</v>
      </c>
      <c r="D47" s="13">
        <v>10</v>
      </c>
      <c r="E47" s="11" t="s">
        <v>82</v>
      </c>
      <c r="F47" s="11" t="s">
        <v>67</v>
      </c>
      <c r="G47" s="11">
        <v>0</v>
      </c>
    </row>
    <row r="48" spans="1:7" hidden="1" outlineLevel="1" x14ac:dyDescent="0.25">
      <c r="B48" s="11" t="s">
        <v>83</v>
      </c>
      <c r="C48" s="11" t="s">
        <v>84</v>
      </c>
      <c r="D48" s="13">
        <v>15</v>
      </c>
      <c r="E48" s="11" t="s">
        <v>85</v>
      </c>
      <c r="F48" s="11" t="s">
        <v>67</v>
      </c>
      <c r="G48" s="11">
        <v>0</v>
      </c>
    </row>
    <row r="49" spans="2:7" collapsed="1" x14ac:dyDescent="0.25">
      <c r="B49" s="11"/>
      <c r="C49" s="11"/>
      <c r="D49" s="13"/>
      <c r="E49" s="11"/>
      <c r="F49" s="11"/>
      <c r="G49" s="11"/>
    </row>
    <row r="50" spans="2:7" x14ac:dyDescent="0.25">
      <c r="B50" s="17" t="s">
        <v>103</v>
      </c>
      <c r="C50" s="11"/>
      <c r="D50" s="13"/>
      <c r="E50" s="11"/>
      <c r="F50" s="11"/>
      <c r="G50" s="11"/>
    </row>
    <row r="51" spans="2:7" hidden="1" outlineLevel="1" x14ac:dyDescent="0.25">
      <c r="B51" s="11" t="s">
        <v>40</v>
      </c>
      <c r="C51" s="11" t="s">
        <v>41</v>
      </c>
      <c r="D51" s="13">
        <v>0</v>
      </c>
      <c r="E51" s="11" t="s">
        <v>86</v>
      </c>
      <c r="F51" s="11" t="s">
        <v>67</v>
      </c>
      <c r="G51" s="13">
        <v>0</v>
      </c>
    </row>
    <row r="52" spans="2:7" hidden="1" outlineLevel="1" x14ac:dyDescent="0.25">
      <c r="B52" s="11" t="s">
        <v>42</v>
      </c>
      <c r="C52" s="11" t="s">
        <v>43</v>
      </c>
      <c r="D52" s="13">
        <v>0</v>
      </c>
      <c r="E52" s="11" t="s">
        <v>87</v>
      </c>
      <c r="F52" s="11" t="s">
        <v>67</v>
      </c>
      <c r="G52" s="13">
        <v>0</v>
      </c>
    </row>
    <row r="53" spans="2:7" hidden="1" outlineLevel="1" x14ac:dyDescent="0.25">
      <c r="B53" s="11" t="s">
        <v>44</v>
      </c>
      <c r="C53" s="11" t="s">
        <v>45</v>
      </c>
      <c r="D53" s="13">
        <v>15</v>
      </c>
      <c r="E53" s="11" t="s">
        <v>88</v>
      </c>
      <c r="F53" s="11" t="s">
        <v>89</v>
      </c>
      <c r="G53" s="13">
        <v>15</v>
      </c>
    </row>
    <row r="54" spans="2:7" hidden="1" outlineLevel="1" x14ac:dyDescent="0.25">
      <c r="B54" s="11" t="s">
        <v>46</v>
      </c>
      <c r="C54" s="11" t="s">
        <v>47</v>
      </c>
      <c r="D54" s="13">
        <v>0</v>
      </c>
      <c r="E54" s="11" t="s">
        <v>90</v>
      </c>
      <c r="F54" s="11" t="s">
        <v>67</v>
      </c>
      <c r="G54" s="13">
        <v>0</v>
      </c>
    </row>
    <row r="55" spans="2:7" hidden="1" outlineLevel="1" x14ac:dyDescent="0.25">
      <c r="B55" s="11" t="s">
        <v>48</v>
      </c>
      <c r="C55" s="11" t="s">
        <v>49</v>
      </c>
      <c r="D55" s="13">
        <v>20</v>
      </c>
      <c r="E55" s="11" t="s">
        <v>91</v>
      </c>
      <c r="F55" s="11" t="s">
        <v>89</v>
      </c>
      <c r="G55" s="13">
        <v>20</v>
      </c>
    </row>
    <row r="56" spans="2:7" hidden="1" outlineLevel="1" x14ac:dyDescent="0.25">
      <c r="B56" s="11" t="s">
        <v>50</v>
      </c>
      <c r="C56" s="11" t="s">
        <v>51</v>
      </c>
      <c r="D56" s="13">
        <v>5</v>
      </c>
      <c r="E56" s="11" t="s">
        <v>92</v>
      </c>
      <c r="F56" s="11" t="s">
        <v>67</v>
      </c>
      <c r="G56" s="13">
        <v>0</v>
      </c>
    </row>
    <row r="57" spans="2:7" hidden="1" outlineLevel="1" x14ac:dyDescent="0.25">
      <c r="B57" s="11" t="s">
        <v>52</v>
      </c>
      <c r="C57" s="11" t="s">
        <v>53</v>
      </c>
      <c r="D57" s="13">
        <v>10</v>
      </c>
      <c r="E57" s="11" t="s">
        <v>93</v>
      </c>
      <c r="F57" s="11" t="s">
        <v>89</v>
      </c>
      <c r="G57" s="13">
        <v>10</v>
      </c>
    </row>
    <row r="58" spans="2:7" hidden="1" outlineLevel="1" x14ac:dyDescent="0.25">
      <c r="B58" s="11" t="s">
        <v>54</v>
      </c>
      <c r="C58" s="11" t="s">
        <v>55</v>
      </c>
      <c r="D58" s="13">
        <v>0</v>
      </c>
      <c r="E58" s="11" t="s">
        <v>94</v>
      </c>
      <c r="F58" s="11" t="s">
        <v>67</v>
      </c>
      <c r="G58" s="13">
        <v>0</v>
      </c>
    </row>
    <row r="59" spans="2:7" hidden="1" outlineLevel="1" x14ac:dyDescent="0.25">
      <c r="B59" s="11" t="s">
        <v>56</v>
      </c>
      <c r="C59" s="11" t="s">
        <v>57</v>
      </c>
      <c r="D59" s="13">
        <v>0</v>
      </c>
      <c r="E59" s="11" t="s">
        <v>95</v>
      </c>
      <c r="F59" s="11" t="s">
        <v>67</v>
      </c>
      <c r="G59" s="13">
        <v>0</v>
      </c>
    </row>
    <row r="60" spans="2:7" hidden="1" outlineLevel="1" x14ac:dyDescent="0.25">
      <c r="B60" s="11" t="s">
        <v>58</v>
      </c>
      <c r="C60" s="11" t="s">
        <v>59</v>
      </c>
      <c r="D60" s="13">
        <v>0</v>
      </c>
      <c r="E60" s="11" t="s">
        <v>96</v>
      </c>
      <c r="F60" s="11" t="s">
        <v>67</v>
      </c>
      <c r="G60" s="13">
        <v>0</v>
      </c>
    </row>
    <row r="61" spans="2:7" hidden="1" outlineLevel="1" x14ac:dyDescent="0.25">
      <c r="B61" s="11" t="s">
        <v>60</v>
      </c>
      <c r="C61" s="11" t="s">
        <v>61</v>
      </c>
      <c r="D61" s="13">
        <v>0</v>
      </c>
      <c r="E61" s="11" t="s">
        <v>97</v>
      </c>
      <c r="F61" s="11" t="s">
        <v>67</v>
      </c>
      <c r="G61" s="13">
        <v>0</v>
      </c>
    </row>
    <row r="62" spans="2:7" hidden="1" outlineLevel="1" x14ac:dyDescent="0.25">
      <c r="B62" s="11" t="s">
        <v>62</v>
      </c>
      <c r="C62" s="11" t="s">
        <v>63</v>
      </c>
      <c r="D62" s="13">
        <v>15</v>
      </c>
      <c r="E62" s="11" t="s">
        <v>98</v>
      </c>
      <c r="F62" s="11" t="s">
        <v>89</v>
      </c>
      <c r="G62" s="13">
        <v>15</v>
      </c>
    </row>
    <row r="63" spans="2:7" collapsed="1" x14ac:dyDescent="0.25">
      <c r="B63" s="11"/>
      <c r="C63" s="11"/>
      <c r="D63" s="13"/>
      <c r="E63" s="11"/>
      <c r="F63" s="11"/>
      <c r="G63" s="13"/>
    </row>
    <row r="64" spans="2:7" ht="15.75" thickBot="1" x14ac:dyDescent="0.3">
      <c r="B64" s="8" t="s">
        <v>99</v>
      </c>
      <c r="C64" s="8"/>
      <c r="D64" s="8"/>
      <c r="E64" s="8"/>
      <c r="F64" s="8"/>
      <c r="G64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CA7B1-A922-47A3-AF10-8588EE374680}">
  <dimension ref="A1:E11"/>
  <sheetViews>
    <sheetView workbookViewId="0">
      <selection activeCell="E13" sqref="E13"/>
    </sheetView>
  </sheetViews>
  <sheetFormatPr defaultRowHeight="15" x14ac:dyDescent="0.25"/>
  <cols>
    <col min="1" max="1" width="18.28515625" bestFit="1" customWidth="1"/>
    <col min="2" max="2" width="12" bestFit="1" customWidth="1"/>
    <col min="3" max="3" width="9.5703125" bestFit="1" customWidth="1"/>
    <col min="4" max="4" width="12.42578125" customWidth="1"/>
    <col min="5" max="5" width="14.42578125" customWidth="1"/>
  </cols>
  <sheetData>
    <row r="1" spans="1:5" x14ac:dyDescent="0.25">
      <c r="A1" s="7" t="s">
        <v>104</v>
      </c>
    </row>
    <row r="2" spans="1:5" ht="45" x14ac:dyDescent="0.25">
      <c r="A2" s="18" t="s">
        <v>105</v>
      </c>
      <c r="B2" s="18" t="s">
        <v>106</v>
      </c>
      <c r="C2" s="18" t="s">
        <v>107</v>
      </c>
      <c r="D2" s="19" t="s">
        <v>108</v>
      </c>
      <c r="E2" s="19" t="s">
        <v>109</v>
      </c>
    </row>
    <row r="3" spans="1:5" x14ac:dyDescent="0.25">
      <c r="A3" s="20" t="s">
        <v>110</v>
      </c>
      <c r="B3" s="20">
        <v>25</v>
      </c>
      <c r="C3" s="27">
        <v>600</v>
      </c>
      <c r="D3" s="20">
        <v>3</v>
      </c>
      <c r="E3" s="20">
        <v>1</v>
      </c>
    </row>
    <row r="4" spans="1:5" x14ac:dyDescent="0.25">
      <c r="A4" s="20" t="s">
        <v>111</v>
      </c>
      <c r="B4" s="20">
        <v>6</v>
      </c>
      <c r="C4" s="27">
        <v>900</v>
      </c>
      <c r="D4" s="20">
        <v>4</v>
      </c>
      <c r="E4" s="20">
        <v>2.5</v>
      </c>
    </row>
    <row r="6" spans="1:5" x14ac:dyDescent="0.25">
      <c r="A6" s="7" t="s">
        <v>14</v>
      </c>
    </row>
    <row r="7" spans="1:5" x14ac:dyDescent="0.25">
      <c r="A7" s="21" t="s">
        <v>107</v>
      </c>
      <c r="B7" s="26">
        <f>SUMPRODUCT(B3:B4,C3:C4)</f>
        <v>20400</v>
      </c>
    </row>
    <row r="9" spans="1:5" x14ac:dyDescent="0.25">
      <c r="A9" s="23" t="s">
        <v>33</v>
      </c>
      <c r="B9" s="24" t="s">
        <v>35</v>
      </c>
      <c r="C9" s="24" t="s">
        <v>112</v>
      </c>
      <c r="D9" s="24" t="s">
        <v>113</v>
      </c>
    </row>
    <row r="10" spans="1:5" x14ac:dyDescent="0.25">
      <c r="A10" s="21" t="s">
        <v>114</v>
      </c>
      <c r="B10" s="22">
        <f>SUMPRODUCT(B3:B4,D3:D4)</f>
        <v>99</v>
      </c>
      <c r="C10" s="22">
        <v>100</v>
      </c>
      <c r="D10" s="25" t="s">
        <v>116</v>
      </c>
    </row>
    <row r="11" spans="1:5" x14ac:dyDescent="0.25">
      <c r="A11" s="21" t="s">
        <v>115</v>
      </c>
      <c r="B11" s="22">
        <f>SUMPRODUCT(B3:B4,E3:E4)</f>
        <v>40</v>
      </c>
      <c r="C11" s="22">
        <v>40</v>
      </c>
      <c r="D11" s="25" t="s">
        <v>117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6F147-1069-45AF-8ACE-0E34E1DFD152}">
  <dimension ref="A1:G19"/>
  <sheetViews>
    <sheetView workbookViewId="0">
      <selection activeCell="F3" sqref="F3"/>
    </sheetView>
  </sheetViews>
  <sheetFormatPr defaultRowHeight="15" x14ac:dyDescent="0.25"/>
  <cols>
    <col min="1" max="1" width="14.42578125" bestFit="1" customWidth="1"/>
    <col min="2" max="3" width="15.85546875" bestFit="1" customWidth="1"/>
    <col min="4" max="4" width="15.85546875" customWidth="1"/>
    <col min="5" max="5" width="15.85546875" bestFit="1" customWidth="1"/>
    <col min="6" max="6" width="14.85546875" bestFit="1" customWidth="1"/>
    <col min="7" max="7" width="8.140625" bestFit="1" customWidth="1"/>
  </cols>
  <sheetData>
    <row r="1" spans="1:7" x14ac:dyDescent="0.25">
      <c r="A1" s="40" t="s">
        <v>0</v>
      </c>
      <c r="B1" s="41" t="s">
        <v>1</v>
      </c>
      <c r="C1" s="41"/>
      <c r="D1" s="41"/>
      <c r="E1" s="41"/>
      <c r="F1" s="40" t="s">
        <v>9</v>
      </c>
      <c r="G1" s="41" t="s">
        <v>10</v>
      </c>
    </row>
    <row r="2" spans="1:7" x14ac:dyDescent="0.25">
      <c r="A2" s="40"/>
      <c r="B2" s="2" t="s">
        <v>123</v>
      </c>
      <c r="C2" s="2" t="s">
        <v>124</v>
      </c>
      <c r="D2" s="2" t="s">
        <v>125</v>
      </c>
      <c r="E2" s="2" t="s">
        <v>126</v>
      </c>
      <c r="F2" s="40"/>
      <c r="G2" s="41"/>
    </row>
    <row r="3" spans="1:7" x14ac:dyDescent="0.25">
      <c r="A3" s="6" t="s">
        <v>118</v>
      </c>
      <c r="B3" s="28">
        <v>0</v>
      </c>
      <c r="C3" s="28">
        <v>0</v>
      </c>
      <c r="D3" s="28">
        <v>0</v>
      </c>
      <c r="E3" s="28">
        <v>285</v>
      </c>
      <c r="F3" s="28">
        <f>SUM(B3:E3)</f>
        <v>285</v>
      </c>
      <c r="G3" s="29">
        <v>300</v>
      </c>
    </row>
    <row r="4" spans="1:7" x14ac:dyDescent="0.25">
      <c r="A4" s="6" t="s">
        <v>119</v>
      </c>
      <c r="B4" s="28">
        <v>0</v>
      </c>
      <c r="C4" s="28">
        <v>115</v>
      </c>
      <c r="D4" s="28">
        <v>0</v>
      </c>
      <c r="E4" s="28">
        <v>0</v>
      </c>
      <c r="F4" s="28">
        <f t="shared" ref="F4:F7" si="0">SUM(B4:E4)</f>
        <v>115</v>
      </c>
      <c r="G4" s="29">
        <v>240</v>
      </c>
    </row>
    <row r="5" spans="1:7" x14ac:dyDescent="0.25">
      <c r="A5" s="6" t="s">
        <v>120</v>
      </c>
      <c r="B5" s="28">
        <v>120</v>
      </c>
      <c r="C5" s="28">
        <v>0</v>
      </c>
      <c r="D5" s="28">
        <v>0</v>
      </c>
      <c r="E5" s="28">
        <v>50</v>
      </c>
      <c r="F5" s="28">
        <f t="shared" si="0"/>
        <v>170</v>
      </c>
      <c r="G5" s="29">
        <v>170</v>
      </c>
    </row>
    <row r="6" spans="1:7" x14ac:dyDescent="0.25">
      <c r="A6" s="6" t="s">
        <v>121</v>
      </c>
      <c r="B6" s="28">
        <v>120</v>
      </c>
      <c r="C6" s="28">
        <v>0</v>
      </c>
      <c r="D6" s="28">
        <v>0</v>
      </c>
      <c r="E6" s="28">
        <v>0</v>
      </c>
      <c r="F6" s="28">
        <f t="shared" si="0"/>
        <v>120</v>
      </c>
      <c r="G6" s="29">
        <v>120</v>
      </c>
    </row>
    <row r="7" spans="1:7" x14ac:dyDescent="0.25">
      <c r="A7" s="6" t="s">
        <v>122</v>
      </c>
      <c r="B7" s="28">
        <v>0</v>
      </c>
      <c r="C7" s="28">
        <v>0</v>
      </c>
      <c r="D7" s="28">
        <v>280</v>
      </c>
      <c r="E7" s="28">
        <v>0</v>
      </c>
      <c r="F7" s="28">
        <f t="shared" si="0"/>
        <v>280</v>
      </c>
      <c r="G7" s="29">
        <v>320</v>
      </c>
    </row>
    <row r="8" spans="1:7" x14ac:dyDescent="0.25">
      <c r="A8" s="3" t="s">
        <v>11</v>
      </c>
      <c r="B8" s="28">
        <f>SUM(B3:B7)</f>
        <v>240</v>
      </c>
      <c r="C8" s="28">
        <f t="shared" ref="C8:E8" si="1">SUM(C3:C7)</f>
        <v>115</v>
      </c>
      <c r="D8" s="28">
        <f t="shared" si="1"/>
        <v>280</v>
      </c>
      <c r="E8" s="28">
        <f t="shared" si="1"/>
        <v>335</v>
      </c>
      <c r="F8" s="28"/>
      <c r="G8" s="30"/>
    </row>
    <row r="9" spans="1:7" x14ac:dyDescent="0.25">
      <c r="A9" s="4" t="s">
        <v>12</v>
      </c>
      <c r="B9" s="29">
        <v>240</v>
      </c>
      <c r="C9" s="29">
        <v>115</v>
      </c>
      <c r="D9" s="29">
        <v>280</v>
      </c>
      <c r="E9" s="29">
        <v>335</v>
      </c>
      <c r="F9" s="28"/>
      <c r="G9" s="28"/>
    </row>
    <row r="10" spans="1:7" x14ac:dyDescent="0.25">
      <c r="A10" s="22"/>
      <c r="B10" s="28"/>
      <c r="C10" s="28"/>
      <c r="D10" s="44" t="s">
        <v>14</v>
      </c>
      <c r="E10" s="45"/>
      <c r="F10" s="31">
        <f>SUMPRODUCT(B3:E7,B15:E19)</f>
        <v>2679775</v>
      </c>
      <c r="G10" s="28"/>
    </row>
    <row r="13" spans="1:7" x14ac:dyDescent="0.25">
      <c r="A13" s="40" t="s">
        <v>0</v>
      </c>
      <c r="B13" s="41" t="s">
        <v>13</v>
      </c>
      <c r="C13" s="41"/>
      <c r="D13" s="41"/>
      <c r="E13" s="41"/>
    </row>
    <row r="14" spans="1:7" x14ac:dyDescent="0.25">
      <c r="A14" s="40"/>
      <c r="B14" s="2" t="s">
        <v>123</v>
      </c>
      <c r="C14" s="2" t="s">
        <v>124</v>
      </c>
      <c r="D14" s="2" t="s">
        <v>125</v>
      </c>
      <c r="E14" s="2" t="s">
        <v>126</v>
      </c>
    </row>
    <row r="15" spans="1:7" x14ac:dyDescent="0.25">
      <c r="A15" s="6" t="s">
        <v>118</v>
      </c>
      <c r="B15" s="31">
        <v>4700</v>
      </c>
      <c r="C15" s="31">
        <v>4150</v>
      </c>
      <c r="D15" s="31">
        <v>4500</v>
      </c>
      <c r="E15" s="31">
        <v>3265</v>
      </c>
    </row>
    <row r="16" spans="1:7" x14ac:dyDescent="0.25">
      <c r="A16" s="6" t="s">
        <v>119</v>
      </c>
      <c r="B16" s="31">
        <v>3900</v>
      </c>
      <c r="C16" s="31">
        <v>3230</v>
      </c>
      <c r="D16" s="31">
        <v>3800</v>
      </c>
      <c r="E16" s="31">
        <v>4100</v>
      </c>
    </row>
    <row r="17" spans="1:5" x14ac:dyDescent="0.25">
      <c r="A17" s="6" t="s">
        <v>120</v>
      </c>
      <c r="B17" s="31">
        <v>2365</v>
      </c>
      <c r="C17" s="31">
        <v>2730</v>
      </c>
      <c r="D17" s="31">
        <v>2100</v>
      </c>
      <c r="E17" s="31">
        <v>1800</v>
      </c>
    </row>
    <row r="18" spans="1:5" x14ac:dyDescent="0.25">
      <c r="A18" s="6" t="s">
        <v>121</v>
      </c>
      <c r="B18" s="31">
        <v>1950</v>
      </c>
      <c r="C18" s="31">
        <v>1940</v>
      </c>
      <c r="D18" s="31">
        <v>900</v>
      </c>
      <c r="E18" s="31">
        <v>2400</v>
      </c>
    </row>
    <row r="19" spans="1:5" x14ac:dyDescent="0.25">
      <c r="A19" s="6" t="s">
        <v>122</v>
      </c>
      <c r="B19" s="31">
        <v>3900</v>
      </c>
      <c r="C19" s="31">
        <v>3600</v>
      </c>
      <c r="D19" s="31">
        <v>2750</v>
      </c>
      <c r="E19" s="31">
        <v>4400</v>
      </c>
    </row>
  </sheetData>
  <mergeCells count="7">
    <mergeCell ref="G1:G2"/>
    <mergeCell ref="D10:E10"/>
    <mergeCell ref="A13:A14"/>
    <mergeCell ref="B13:E13"/>
    <mergeCell ref="A1:A2"/>
    <mergeCell ref="B1:E1"/>
    <mergeCell ref="F1:F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D85B2-D9A0-4AD4-B878-96C3B6C3D448}">
  <dimension ref="A1:F10"/>
  <sheetViews>
    <sheetView workbookViewId="0">
      <selection activeCell="E9" sqref="E9"/>
    </sheetView>
  </sheetViews>
  <sheetFormatPr defaultRowHeight="15" x14ac:dyDescent="0.25"/>
  <cols>
    <col min="1" max="1" width="11.140625" style="1" bestFit="1" customWidth="1"/>
    <col min="2" max="2" width="12.85546875" style="1" bestFit="1" customWidth="1"/>
    <col min="3" max="3" width="9.7109375" style="1" bestFit="1" customWidth="1"/>
    <col min="4" max="4" width="9.140625" style="1"/>
    <col min="5" max="5" width="19" style="1" bestFit="1" customWidth="1"/>
    <col min="6" max="6" width="9.7109375" style="1" bestFit="1" customWidth="1"/>
    <col min="7" max="16384" width="9.140625" style="1"/>
  </cols>
  <sheetData>
    <row r="1" spans="1:6" x14ac:dyDescent="0.25">
      <c r="A1" s="32" t="s">
        <v>127</v>
      </c>
      <c r="B1" s="32" t="s">
        <v>106</v>
      </c>
      <c r="C1" s="32" t="s">
        <v>128</v>
      </c>
    </row>
    <row r="2" spans="1:6" x14ac:dyDescent="0.25">
      <c r="A2" s="35">
        <v>1000</v>
      </c>
      <c r="B2" s="2">
        <v>9</v>
      </c>
      <c r="C2" s="35">
        <f>A2*B2</f>
        <v>9000</v>
      </c>
    </row>
    <row r="3" spans="1:6" x14ac:dyDescent="0.25">
      <c r="A3" s="35">
        <v>500</v>
      </c>
      <c r="B3" s="2">
        <v>1</v>
      </c>
      <c r="C3" s="35">
        <f t="shared" ref="C3:C9" si="0">A3*B3</f>
        <v>500</v>
      </c>
      <c r="E3" s="32" t="s">
        <v>14</v>
      </c>
      <c r="F3" s="2">
        <f>B10</f>
        <v>22</v>
      </c>
    </row>
    <row r="4" spans="1:6" x14ac:dyDescent="0.25">
      <c r="A4" s="35">
        <v>200</v>
      </c>
      <c r="B4" s="2">
        <v>2</v>
      </c>
      <c r="C4" s="35">
        <f t="shared" si="0"/>
        <v>400</v>
      </c>
    </row>
    <row r="5" spans="1:6" x14ac:dyDescent="0.25">
      <c r="A5" s="35">
        <v>100</v>
      </c>
      <c r="B5" s="2">
        <v>0</v>
      </c>
      <c r="C5" s="35">
        <f t="shared" si="0"/>
        <v>0</v>
      </c>
      <c r="E5" s="32" t="s">
        <v>130</v>
      </c>
      <c r="F5" s="34">
        <v>9999</v>
      </c>
    </row>
    <row r="6" spans="1:6" x14ac:dyDescent="0.25">
      <c r="A6" s="35">
        <v>20</v>
      </c>
      <c r="B6" s="2">
        <v>4</v>
      </c>
      <c r="C6" s="35">
        <f t="shared" si="0"/>
        <v>80</v>
      </c>
    </row>
    <row r="7" spans="1:6" x14ac:dyDescent="0.25">
      <c r="A7" s="35">
        <v>10</v>
      </c>
      <c r="B7" s="2">
        <v>1</v>
      </c>
      <c r="C7" s="35">
        <f t="shared" si="0"/>
        <v>10</v>
      </c>
    </row>
    <row r="8" spans="1:6" x14ac:dyDescent="0.25">
      <c r="A8" s="35">
        <v>5</v>
      </c>
      <c r="B8" s="2">
        <v>1</v>
      </c>
      <c r="C8" s="35">
        <f t="shared" si="0"/>
        <v>5</v>
      </c>
    </row>
    <row r="9" spans="1:6" x14ac:dyDescent="0.25">
      <c r="A9" s="35">
        <v>1</v>
      </c>
      <c r="B9" s="2">
        <v>4</v>
      </c>
      <c r="C9" s="35">
        <f t="shared" si="0"/>
        <v>4</v>
      </c>
    </row>
    <row r="10" spans="1:6" x14ac:dyDescent="0.25">
      <c r="A10" s="32" t="s">
        <v>129</v>
      </c>
      <c r="B10" s="33">
        <f>SUM(B2:B9)</f>
        <v>22</v>
      </c>
      <c r="C10" s="36">
        <f>SUM(C2:C9)</f>
        <v>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38500-C749-4C08-99B7-C2B825E8A244}">
  <dimension ref="A1:G36"/>
  <sheetViews>
    <sheetView showGridLines="0" workbookViewId="0">
      <selection activeCell="F24" sqref="F24"/>
    </sheetView>
  </sheetViews>
  <sheetFormatPr defaultRowHeight="15" outlineLevelRow="1" x14ac:dyDescent="0.25"/>
  <cols>
    <col min="1" max="1" width="2.28515625" customWidth="1"/>
    <col min="2" max="2" width="26.140625" bestFit="1" customWidth="1"/>
    <col min="3" max="3" width="17.28515625" bestFit="1" customWidth="1"/>
    <col min="4" max="4" width="19.42578125" bestFit="1" customWidth="1"/>
    <col min="5" max="5" width="24.7109375" bestFit="1" customWidth="1"/>
    <col min="6" max="6" width="15.85546875" bestFit="1" customWidth="1"/>
    <col min="7" max="7" width="7.5703125" bestFit="1" customWidth="1"/>
  </cols>
  <sheetData>
    <row r="1" spans="1:5" x14ac:dyDescent="0.25">
      <c r="A1" s="7" t="s">
        <v>15</v>
      </c>
    </row>
    <row r="2" spans="1:5" x14ac:dyDescent="0.25">
      <c r="A2" s="7" t="s">
        <v>144</v>
      </c>
    </row>
    <row r="3" spans="1:5" x14ac:dyDescent="0.25">
      <c r="A3" s="7" t="s">
        <v>131</v>
      </c>
    </row>
    <row r="4" spans="1:5" x14ac:dyDescent="0.25">
      <c r="A4" s="7" t="s">
        <v>132</v>
      </c>
    </row>
    <row r="5" spans="1:5" x14ac:dyDescent="0.25">
      <c r="A5" s="7" t="s">
        <v>18</v>
      </c>
    </row>
    <row r="6" spans="1:5" outlineLevel="1" x14ac:dyDescent="0.25">
      <c r="A6" s="7"/>
      <c r="B6" t="s">
        <v>19</v>
      </c>
    </row>
    <row r="7" spans="1:5" outlineLevel="1" x14ac:dyDescent="0.25">
      <c r="A7" s="7"/>
      <c r="B7" t="s">
        <v>133</v>
      </c>
    </row>
    <row r="8" spans="1:5" outlineLevel="1" x14ac:dyDescent="0.25">
      <c r="A8" s="7"/>
      <c r="B8" t="s">
        <v>134</v>
      </c>
    </row>
    <row r="9" spans="1:5" x14ac:dyDescent="0.25">
      <c r="A9" s="7" t="s">
        <v>22</v>
      </c>
    </row>
    <row r="10" spans="1:5" outlineLevel="1" x14ac:dyDescent="0.25">
      <c r="B10" t="s">
        <v>23</v>
      </c>
    </row>
    <row r="11" spans="1:5" outlineLevel="1" x14ac:dyDescent="0.25">
      <c r="B11" t="s">
        <v>24</v>
      </c>
    </row>
    <row r="12" spans="1:5" outlineLevel="1" x14ac:dyDescent="0.25">
      <c r="B12" t="s">
        <v>25</v>
      </c>
    </row>
    <row r="14" spans="1:5" ht="15.75" thickBot="1" x14ac:dyDescent="0.3">
      <c r="A14" t="s">
        <v>26</v>
      </c>
    </row>
    <row r="15" spans="1:5" ht="15.75" thickBot="1" x14ac:dyDescent="0.3">
      <c r="B15" s="37" t="s">
        <v>27</v>
      </c>
      <c r="C15" s="37" t="s">
        <v>28</v>
      </c>
      <c r="D15" s="37" t="s">
        <v>29</v>
      </c>
      <c r="E15" s="37" t="s">
        <v>30</v>
      </c>
    </row>
    <row r="16" spans="1:5" ht="15.75" thickBot="1" x14ac:dyDescent="0.3">
      <c r="B16" s="8" t="s">
        <v>135</v>
      </c>
      <c r="C16" s="8" t="s">
        <v>14</v>
      </c>
      <c r="D16" s="12">
        <v>8</v>
      </c>
      <c r="E16" s="12">
        <v>22</v>
      </c>
    </row>
    <row r="19" spans="1:6" ht="15.75" thickBot="1" x14ac:dyDescent="0.3">
      <c r="A19" t="s">
        <v>31</v>
      </c>
    </row>
    <row r="20" spans="1:6" ht="15.75" thickBot="1" x14ac:dyDescent="0.3">
      <c r="B20" s="37" t="s">
        <v>27</v>
      </c>
      <c r="C20" s="37" t="s">
        <v>28</v>
      </c>
      <c r="D20" s="37" t="s">
        <v>29</v>
      </c>
      <c r="E20" s="37" t="s">
        <v>30</v>
      </c>
      <c r="F20" s="37" t="s">
        <v>32</v>
      </c>
    </row>
    <row r="21" spans="1:6" x14ac:dyDescent="0.25">
      <c r="B21" s="16" t="s">
        <v>143</v>
      </c>
      <c r="C21" s="39"/>
      <c r="D21" s="39"/>
      <c r="E21" s="39"/>
      <c r="F21" s="39"/>
    </row>
    <row r="22" spans="1:6" outlineLevel="1" x14ac:dyDescent="0.25">
      <c r="B22" s="11" t="s">
        <v>136</v>
      </c>
      <c r="C22" s="11" t="s">
        <v>106</v>
      </c>
      <c r="D22" s="13">
        <v>3</v>
      </c>
      <c r="E22" s="13">
        <v>4</v>
      </c>
      <c r="F22" s="11" t="s">
        <v>32</v>
      </c>
    </row>
    <row r="23" spans="1:6" outlineLevel="1" x14ac:dyDescent="0.25">
      <c r="B23" s="11" t="s">
        <v>40</v>
      </c>
      <c r="C23" s="11" t="s">
        <v>106</v>
      </c>
      <c r="D23" s="13">
        <v>1</v>
      </c>
      <c r="E23" s="13">
        <v>1</v>
      </c>
      <c r="F23" s="11" t="s">
        <v>32</v>
      </c>
    </row>
    <row r="24" spans="1:6" outlineLevel="1" x14ac:dyDescent="0.25">
      <c r="B24" s="11" t="s">
        <v>46</v>
      </c>
      <c r="C24" s="11" t="s">
        <v>106</v>
      </c>
      <c r="D24" s="13">
        <v>1</v>
      </c>
      <c r="E24" s="13">
        <v>4</v>
      </c>
      <c r="F24" s="11" t="s">
        <v>32</v>
      </c>
    </row>
    <row r="25" spans="1:6" outlineLevel="1" x14ac:dyDescent="0.25">
      <c r="B25" s="11" t="s">
        <v>52</v>
      </c>
      <c r="C25" s="11" t="s">
        <v>106</v>
      </c>
      <c r="D25" s="13">
        <v>1</v>
      </c>
      <c r="E25" s="13">
        <v>1</v>
      </c>
      <c r="F25" s="11" t="s">
        <v>32</v>
      </c>
    </row>
    <row r="26" spans="1:6" outlineLevel="1" x14ac:dyDescent="0.25">
      <c r="B26" s="11" t="s">
        <v>58</v>
      </c>
      <c r="C26" s="11" t="s">
        <v>106</v>
      </c>
      <c r="D26" s="13">
        <v>0</v>
      </c>
      <c r="E26" s="13">
        <v>0</v>
      </c>
      <c r="F26" s="11" t="s">
        <v>32</v>
      </c>
    </row>
    <row r="27" spans="1:6" outlineLevel="1" x14ac:dyDescent="0.25">
      <c r="B27" s="11" t="s">
        <v>64</v>
      </c>
      <c r="C27" s="11" t="s">
        <v>106</v>
      </c>
      <c r="D27" s="13">
        <v>0</v>
      </c>
      <c r="E27" s="13">
        <v>2</v>
      </c>
      <c r="F27" s="11" t="s">
        <v>32</v>
      </c>
    </row>
    <row r="28" spans="1:6" outlineLevel="1" x14ac:dyDescent="0.25">
      <c r="B28" s="11" t="s">
        <v>137</v>
      </c>
      <c r="C28" s="11" t="s">
        <v>106</v>
      </c>
      <c r="D28" s="13">
        <v>1</v>
      </c>
      <c r="E28" s="13">
        <v>1</v>
      </c>
      <c r="F28" s="11" t="s">
        <v>32</v>
      </c>
    </row>
    <row r="29" spans="1:6" ht="15.75" outlineLevel="1" thickBot="1" x14ac:dyDescent="0.3">
      <c r="B29" s="8" t="s">
        <v>138</v>
      </c>
      <c r="C29" s="8" t="s">
        <v>106</v>
      </c>
      <c r="D29" s="12">
        <v>1</v>
      </c>
      <c r="E29" s="12">
        <v>9</v>
      </c>
      <c r="F29" s="8" t="s">
        <v>32</v>
      </c>
    </row>
    <row r="30" spans="1:6" x14ac:dyDescent="0.25">
      <c r="B30" s="10"/>
      <c r="C30" s="10"/>
      <c r="D30" s="14"/>
      <c r="E30" s="14"/>
      <c r="F30" s="10"/>
    </row>
    <row r="33" spans="1:7" ht="15.75" thickBot="1" x14ac:dyDescent="0.3">
      <c r="A33" t="s">
        <v>33</v>
      </c>
    </row>
    <row r="34" spans="1:7" ht="15.75" thickBot="1" x14ac:dyDescent="0.3">
      <c r="B34" s="37" t="s">
        <v>27</v>
      </c>
      <c r="C34" s="37" t="s">
        <v>28</v>
      </c>
      <c r="D34" s="37" t="s">
        <v>34</v>
      </c>
      <c r="E34" s="37" t="s">
        <v>35</v>
      </c>
      <c r="F34" s="37" t="s">
        <v>36</v>
      </c>
      <c r="G34" s="37" t="s">
        <v>37</v>
      </c>
    </row>
    <row r="35" spans="1:7" x14ac:dyDescent="0.25">
      <c r="B35" s="11" t="s">
        <v>139</v>
      </c>
      <c r="C35" s="11" t="s">
        <v>140</v>
      </c>
      <c r="D35" s="38">
        <v>9999</v>
      </c>
      <c r="E35" s="11" t="s">
        <v>141</v>
      </c>
      <c r="F35" s="11" t="s">
        <v>67</v>
      </c>
      <c r="G35" s="11">
        <v>0</v>
      </c>
    </row>
    <row r="36" spans="1:7" ht="15.75" thickBot="1" x14ac:dyDescent="0.3">
      <c r="B36" s="8" t="s">
        <v>142</v>
      </c>
      <c r="C36" s="8"/>
      <c r="D36" s="8"/>
      <c r="E36" s="8"/>
      <c r="F36" s="8"/>
      <c r="G36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1</vt:lpstr>
      <vt:lpstr>Отчет о результатах 1</vt:lpstr>
      <vt:lpstr>2</vt:lpstr>
      <vt:lpstr>3</vt:lpstr>
      <vt:lpstr>4</vt:lpstr>
      <vt:lpstr>Отчет о результатах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Иван Иванов</cp:lastModifiedBy>
  <dcterms:created xsi:type="dcterms:W3CDTF">2015-06-05T18:19:34Z</dcterms:created>
  <dcterms:modified xsi:type="dcterms:W3CDTF">2026-07-05T13:57:36Z</dcterms:modified>
</cp:coreProperties>
</file>