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me\Desktop\Лабораторная работа №2\"/>
    </mc:Choice>
  </mc:AlternateContent>
  <xr:revisionPtr revIDLastSave="0" documentId="13_ncr:1_{FB9D00CB-5443-4E7E-A9A7-7D45DFACBBAA}" xr6:coauthVersionLast="47" xr6:coauthVersionMax="47" xr10:uidLastSave="{00000000-0000-0000-0000-000000000000}"/>
  <bookViews>
    <workbookView xWindow="3585" yWindow="3585" windowWidth="21600" windowHeight="11295" tabRatio="596" activeTab="1" xr2:uid="{00000000-000D-0000-FFFF-FFFF00000000}"/>
  </bookViews>
  <sheets>
    <sheet name="2.3" sheetId="1" r:id="rId1"/>
    <sheet name="2.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4" i="2" l="1"/>
  <c r="C215" i="2"/>
  <c r="C216" i="2"/>
  <c r="C217" i="2"/>
  <c r="C218" i="2"/>
  <c r="C213" i="2"/>
  <c r="R136" i="2" a="1"/>
  <c r="R136" i="2" s="1"/>
  <c r="L136" i="2" a="1"/>
  <c r="L136" i="2" s="1"/>
  <c r="R126" i="2" a="1"/>
  <c r="R126" i="2" s="1"/>
  <c r="L126" i="2" a="1"/>
  <c r="L126" i="2" s="1"/>
  <c r="R116" i="2" a="1"/>
  <c r="R116" i="2" s="1"/>
  <c r="L116" i="2" a="1"/>
  <c r="L116" i="2" s="1"/>
  <c r="L106" i="2" a="1"/>
  <c r="L106" i="2" s="1"/>
  <c r="R106" i="2" s="1" a="1"/>
  <c r="R106" i="2" s="1"/>
  <c r="R96" i="2" a="1"/>
  <c r="R96" i="2" s="1"/>
  <c r="L96" i="2" a="1"/>
  <c r="L96" i="2" s="1"/>
  <c r="R86" i="2" a="1"/>
  <c r="R86" i="2" s="1"/>
  <c r="L86" i="2" a="1"/>
  <c r="L86" i="2" s="1"/>
  <c r="R76" i="2" a="1"/>
  <c r="R76" i="2" s="1"/>
  <c r="L76" i="2" a="1"/>
  <c r="L76" i="2" s="1"/>
  <c r="R66" i="2" a="1"/>
  <c r="R66" i="2" s="1"/>
  <c r="L66" i="2" a="1"/>
  <c r="L66" i="2" s="1"/>
  <c r="R56" i="2" a="1"/>
  <c r="R56" i="2" s="1"/>
  <c r="L56" i="2" a="1"/>
  <c r="L56" i="2" s="1"/>
  <c r="R46" i="2" a="1"/>
  <c r="R46" i="2" s="1"/>
  <c r="L46" i="2" a="1"/>
  <c r="L46" i="2" s="1"/>
  <c r="D1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<sst xmlns="http://schemas.openxmlformats.org/spreadsheetml/2006/main" count="499" uniqueCount="143">
  <si>
    <t>x1</t>
  </si>
  <si>
    <t>max</t>
  </si>
  <si>
    <t>x2</t>
  </si>
  <si>
    <t>min</t>
  </si>
  <si>
    <t>F = 2*x1 + 3*x2</t>
  </si>
  <si>
    <t>x1 + 3*x2</t>
  </si>
  <si>
    <t>&lt;=</t>
  </si>
  <si>
    <t>x1 + x2</t>
  </si>
  <si>
    <t>&gt;=</t>
  </si>
  <si>
    <t>&gt;&gt;</t>
  </si>
  <si>
    <t>min/max</t>
  </si>
  <si>
    <t>Ограничения:</t>
  </si>
  <si>
    <t>Целевая функция:</t>
  </si>
  <si>
    <t>Решим ЗЛП переборным методом:</t>
  </si>
  <si>
    <t>М - число ограничений</t>
  </si>
  <si>
    <t>=</t>
  </si>
  <si>
    <t>N - число неизвестных</t>
  </si>
  <si>
    <t>С (N = 2 M = 4)</t>
  </si>
  <si>
    <t>4! / 2!(4-2)!</t>
  </si>
  <si>
    <t>Для нахождения вершин будем выбирать по 2 ограничения.</t>
  </si>
  <si>
    <t>Это можно сделать 6-ю способами.</t>
  </si>
  <si>
    <t>Каждый вариант будем кодировать последовательностью из 1 и 0</t>
  </si>
  <si>
    <t>Длина последовательности</t>
  </si>
  <si>
    <t>Количество единиц</t>
  </si>
  <si>
    <t>Все возможные последовательности:</t>
  </si>
  <si>
    <t>0 1 1 0</t>
  </si>
  <si>
    <t>0 1 0 1</t>
  </si>
  <si>
    <t>0 0 1 1</t>
  </si>
  <si>
    <t>1 0 0 1</t>
  </si>
  <si>
    <t>1 0 1 0</t>
  </si>
  <si>
    <t>1 1 0 0</t>
  </si>
  <si>
    <t>№1</t>
  </si>
  <si>
    <t>№2</t>
  </si>
  <si>
    <t>№3</t>
  </si>
  <si>
    <t>№4</t>
  </si>
  <si>
    <t>(1 - ограничение взяли т.е. берем ограничение как равенство, и 0 - если ограничение не взяли).</t>
  </si>
  <si>
    <t>1) 1 1 0 0</t>
  </si>
  <si>
    <t xml:space="preserve">x1 </t>
  </si>
  <si>
    <t>Точка</t>
  </si>
  <si>
    <t>2) 1 0 1 0</t>
  </si>
  <si>
    <t>3) 1 0 0 1</t>
  </si>
  <si>
    <t>4) 0 1 1 0</t>
  </si>
  <si>
    <t>5) 0 1 0 1</t>
  </si>
  <si>
    <t>6) 0 0 1 1</t>
  </si>
  <si>
    <t>[9, 0]</t>
  </si>
  <si>
    <t>[0, 7]</t>
  </si>
  <si>
    <t>[6, 1]</t>
  </si>
  <si>
    <t>[0, 3]</t>
  </si>
  <si>
    <t>[0, 0]</t>
  </si>
  <si>
    <t>Проверяем все возможные бинарные последовательности:</t>
  </si>
  <si>
    <t>1) Точка [6, 1] -- точка допустима</t>
  </si>
  <si>
    <t>2) Точка [0, 3] -- точка допустима</t>
  </si>
  <si>
    <t>3) Точка [9, 0] -- точка недопустима</t>
  </si>
  <si>
    <t>4) Точка [0, 7] -- точка недопустима</t>
  </si>
  <si>
    <t>[7, 0]</t>
  </si>
  <si>
    <t>5) Точка [7, 0] -- точка допустима</t>
  </si>
  <si>
    <t>Точка [6, 1]</t>
  </si>
  <si>
    <t>Точка [0, 3]</t>
  </si>
  <si>
    <t>Точка [7, 0]</t>
  </si>
  <si>
    <t>Точка [0, 0]</t>
  </si>
  <si>
    <t>6) Точка [0, 0] -- точка допустима</t>
  </si>
  <si>
    <t>F = 15</t>
  </si>
  <si>
    <t>F = 9</t>
  </si>
  <si>
    <t>F = 14</t>
  </si>
  <si>
    <t>F = 0</t>
  </si>
  <si>
    <t>Проверка допустимости вершин:</t>
  </si>
  <si>
    <t>Ответ:</t>
  </si>
  <si>
    <t>Область допустимых решений имеет 6 вершин</t>
  </si>
  <si>
    <t>f(0, 3) = 9</t>
  </si>
  <si>
    <t>f(7, 0) = 14</t>
  </si>
  <si>
    <t>f(6, 1) = 15 - максимум</t>
  </si>
  <si>
    <t>f(0, 0) = 0   - минимум</t>
  </si>
  <si>
    <t>F = 6*x1 + 6*x2 + 4*x3</t>
  </si>
  <si>
    <t>2*x1 + x2 + x3</t>
  </si>
  <si>
    <t>2*x1 + 3*x2 + 2*x3</t>
  </si>
  <si>
    <t>x3</t>
  </si>
  <si>
    <t>№5</t>
  </si>
  <si>
    <t>С (N = 3 M = 5)</t>
  </si>
  <si>
    <t>Для нахождения вершин будем выбирать по 3 ограничения.</t>
  </si>
  <si>
    <t>Это можно сделать 10-ю способами.</t>
  </si>
  <si>
    <t>1 1 1 0 0</t>
  </si>
  <si>
    <t>1 1 0 1 0</t>
  </si>
  <si>
    <t>1 1 0 0 1</t>
  </si>
  <si>
    <t>1 0 1 1 0</t>
  </si>
  <si>
    <t>1 0 1 0 1</t>
  </si>
  <si>
    <t>1 0 0 1 1</t>
  </si>
  <si>
    <t>0 1 1 1 0</t>
  </si>
  <si>
    <t>0 1 1 0 1</t>
  </si>
  <si>
    <t>0 1 0 1 1</t>
  </si>
  <si>
    <t>0 0 1 1 1</t>
  </si>
  <si>
    <t>Матрица</t>
  </si>
  <si>
    <t>Обратная матрица</t>
  </si>
  <si>
    <t>МУМНОЖ(обратная матрица; матрица В)</t>
  </si>
  <si>
    <t>МОБР(диапазон 3х3)</t>
  </si>
  <si>
    <t>1) 1 1 1 0 0 - недопустимо</t>
  </si>
  <si>
    <t>2) 1 1 0 1 0</t>
  </si>
  <si>
    <t>Переменные</t>
  </si>
  <si>
    <t>3) 1 1 0 0 1</t>
  </si>
  <si>
    <t>4) 1 0 1 1 0</t>
  </si>
  <si>
    <t>5) 1 0 1 0 1</t>
  </si>
  <si>
    <t>6) 1 0 0 1 1</t>
  </si>
  <si>
    <t>7) 0 1 1 1 0</t>
  </si>
  <si>
    <t>8) 0 1 1 0 1</t>
  </si>
  <si>
    <t>9) 0 1 0 1 1</t>
  </si>
  <si>
    <t>10)  0 0 1 1 1</t>
  </si>
  <si>
    <t>[0, -400, 1200]</t>
  </si>
  <si>
    <t>[200, 0, 400]</t>
  </si>
  <si>
    <t>[300, 200, 0]</t>
  </si>
  <si>
    <t>[0, 0, 800]</t>
  </si>
  <si>
    <t>[0, 800, 0]</t>
  </si>
  <si>
    <t>[400, 0, 0]</t>
  </si>
  <si>
    <t>[0, 0, 600]</t>
  </si>
  <si>
    <t>[0, 400, 0]</t>
  </si>
  <si>
    <t>[600, 0, 0]</t>
  </si>
  <si>
    <t>[0, 0, 0]</t>
  </si>
  <si>
    <t>1) Точка [0, -400, 1200]  -- недопустима</t>
  </si>
  <si>
    <t>2) Точка [200, 0, 400]  -- допустима</t>
  </si>
  <si>
    <t>3) Точка [300, 200, 0]  -- допустима</t>
  </si>
  <si>
    <t>4) Точка [0, 0, 800]  -- недопустима</t>
  </si>
  <si>
    <t>5) Точка [0, 800, 0]  -- недопустима</t>
  </si>
  <si>
    <t>6) Точка [400, 0, 0]  -- допустима</t>
  </si>
  <si>
    <t>7) Точка [0, 0, 600] -- допустима</t>
  </si>
  <si>
    <t>8) Точка [0, 400, 0]  -- допустима</t>
  </si>
  <si>
    <t>9) Точка [600, 0, 0] -- недопустима</t>
  </si>
  <si>
    <t>10) Точка [0, 0, 0] -- допустима</t>
  </si>
  <si>
    <t>Подстановка в функцию допустимых точек:</t>
  </si>
  <si>
    <t>Точка [200, 0, 400]</t>
  </si>
  <si>
    <t xml:space="preserve">Точка [300, 200, 0] </t>
  </si>
  <si>
    <t>Точка [400, 0, 0]</t>
  </si>
  <si>
    <t>Точка [0, 0, 600]</t>
  </si>
  <si>
    <t>Точка [0, 400, 0]</t>
  </si>
  <si>
    <t>Точка [0, 0, 0]</t>
  </si>
  <si>
    <t>F =</t>
  </si>
  <si>
    <t>F = 6*x1 + 6*x2 + 4*x3 - max</t>
  </si>
  <si>
    <t>Область допустимых решений имеет 4 вершины</t>
  </si>
  <si>
    <t>f(200, 0, 400) = 2800</t>
  </si>
  <si>
    <t>f(300, 200, 0) = 3000</t>
  </si>
  <si>
    <t>f(400, 0, 0)     = 2400</t>
  </si>
  <si>
    <t>f(0, 0, 600)     = 2400</t>
  </si>
  <si>
    <t>f(0, 400, 0)     = 2400</t>
  </si>
  <si>
    <t>f(0, 0, 0)          = 0</t>
  </si>
  <si>
    <t>максимум</t>
  </si>
  <si>
    <t>Проверка в WolframAlfa (ответы совпали):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</si>
</sst>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6" fillId="0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3" fillId="0" borderId="0" xfId="0" applyFont="1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0" fillId="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6" borderId="0" xfId="0" applyFill="1" applyAlignment="1">
      <alignment horizontal="left"/>
    </xf>
    <xf numFmtId="0" fontId="0" fillId="5" borderId="0" xfId="0" applyFill="1"/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2</xdr:col>
      <xdr:colOff>199702</xdr:colOff>
      <xdr:row>7</xdr:row>
      <xdr:rowOff>104608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47821F2-C368-4387-BF2A-AB0AE1C7B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04775"/>
          <a:ext cx="2580952" cy="13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0</xdr:row>
      <xdr:rowOff>161925</xdr:rowOff>
    </xdr:from>
    <xdr:to>
      <xdr:col>11</xdr:col>
      <xdr:colOff>123119</xdr:colOff>
      <xdr:row>7</xdr:row>
      <xdr:rowOff>133187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251CC44-DF0B-4BAC-8122-8E691FBF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71800" y="161925"/>
          <a:ext cx="5647619" cy="13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10</xdr:col>
      <xdr:colOff>18053</xdr:colOff>
      <xdr:row>262</xdr:row>
      <xdr:rowOff>123119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062A498-C478-4733-AC40-CA10AE13E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4386500"/>
          <a:ext cx="7971428" cy="5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opLeftCell="A49" zoomScaleNormal="100" workbookViewId="0">
      <selection activeCell="A73" sqref="A73:A78"/>
    </sheetView>
  </sheetViews>
  <sheetFormatPr defaultRowHeight="15" x14ac:dyDescent="0.25"/>
  <cols>
    <col min="1" max="1" width="37.5703125" customWidth="1"/>
    <col min="3" max="3" width="12.28515625" customWidth="1"/>
    <col min="5" max="5" width="18.85546875" customWidth="1"/>
    <col min="9" max="9" width="21.7109375" customWidth="1"/>
  </cols>
  <sheetData>
    <row r="1" spans="1:4" x14ac:dyDescent="0.25">
      <c r="A1" s="2" t="s">
        <v>12</v>
      </c>
    </row>
    <row r="2" spans="1:4" x14ac:dyDescent="0.25">
      <c r="A2" t="s">
        <v>4</v>
      </c>
      <c r="B2" s="1" t="s">
        <v>9</v>
      </c>
      <c r="C2" s="1" t="s">
        <v>10</v>
      </c>
    </row>
    <row r="4" spans="1:4" x14ac:dyDescent="0.25">
      <c r="A4" s="2" t="s">
        <v>11</v>
      </c>
    </row>
    <row r="5" spans="1:4" x14ac:dyDescent="0.25">
      <c r="A5" s="1" t="s">
        <v>5</v>
      </c>
      <c r="B5" s="1" t="s">
        <v>6</v>
      </c>
      <c r="C5" s="1">
        <v>9</v>
      </c>
      <c r="D5" s="1" t="s">
        <v>31</v>
      </c>
    </row>
    <row r="6" spans="1:4" x14ac:dyDescent="0.25">
      <c r="A6" s="1" t="s">
        <v>7</v>
      </c>
      <c r="B6" s="1" t="s">
        <v>6</v>
      </c>
      <c r="C6" s="1">
        <v>7</v>
      </c>
      <c r="D6" s="1" t="s">
        <v>32</v>
      </c>
    </row>
    <row r="7" spans="1:4" x14ac:dyDescent="0.25">
      <c r="A7" s="1" t="s">
        <v>0</v>
      </c>
      <c r="B7" s="1" t="s">
        <v>8</v>
      </c>
      <c r="C7" s="1">
        <v>0</v>
      </c>
      <c r="D7" s="1" t="s">
        <v>33</v>
      </c>
    </row>
    <row r="8" spans="1:4" x14ac:dyDescent="0.25">
      <c r="A8" s="1" t="s">
        <v>2</v>
      </c>
      <c r="B8" s="1" t="s">
        <v>8</v>
      </c>
      <c r="C8" s="1">
        <v>0</v>
      </c>
      <c r="D8" s="1" t="s">
        <v>34</v>
      </c>
    </row>
    <row r="11" spans="1:4" x14ac:dyDescent="0.25">
      <c r="A11" s="3" t="s">
        <v>13</v>
      </c>
    </row>
    <row r="12" spans="1:4" x14ac:dyDescent="0.25">
      <c r="A12" s="1" t="s">
        <v>14</v>
      </c>
      <c r="B12" s="1" t="s">
        <v>15</v>
      </c>
      <c r="C12" s="1">
        <v>4</v>
      </c>
    </row>
    <row r="13" spans="1:4" x14ac:dyDescent="0.25">
      <c r="A13" s="1" t="s">
        <v>16</v>
      </c>
      <c r="B13" s="1" t="s">
        <v>15</v>
      </c>
      <c r="C13" s="1">
        <v>2</v>
      </c>
    </row>
    <row r="15" spans="1:4" x14ac:dyDescent="0.25">
      <c r="A15" s="1" t="s">
        <v>17</v>
      </c>
      <c r="B15" s="1" t="s">
        <v>15</v>
      </c>
      <c r="C15" t="s">
        <v>18</v>
      </c>
      <c r="D15" s="1">
        <f>FACT(4)/(FACT(2)*FACT(4-2))</f>
        <v>6</v>
      </c>
    </row>
    <row r="16" spans="1:4" x14ac:dyDescent="0.25">
      <c r="A16" s="4" t="s">
        <v>19</v>
      </c>
      <c r="B16" s="1"/>
    </row>
    <row r="17" spans="1:3" x14ac:dyDescent="0.25">
      <c r="A17" s="4" t="s">
        <v>20</v>
      </c>
    </row>
    <row r="18" spans="1:3" x14ac:dyDescent="0.25">
      <c r="A18" t="s">
        <v>21</v>
      </c>
    </row>
    <row r="19" spans="1:3" x14ac:dyDescent="0.25">
      <c r="A19" t="s">
        <v>35</v>
      </c>
    </row>
    <row r="20" spans="1:3" x14ac:dyDescent="0.25">
      <c r="A20" s="1" t="s">
        <v>22</v>
      </c>
      <c r="B20" s="1" t="s">
        <v>15</v>
      </c>
      <c r="C20" s="1">
        <v>4</v>
      </c>
    </row>
    <row r="21" spans="1:3" x14ac:dyDescent="0.25">
      <c r="A21" s="1" t="s">
        <v>23</v>
      </c>
      <c r="B21" s="1" t="s">
        <v>15</v>
      </c>
      <c r="C21" s="1">
        <v>2</v>
      </c>
    </row>
    <row r="23" spans="1:3" x14ac:dyDescent="0.25">
      <c r="A23" s="2" t="s">
        <v>24</v>
      </c>
    </row>
    <row r="24" spans="1:3" x14ac:dyDescent="0.25">
      <c r="A24" s="1" t="s">
        <v>30</v>
      </c>
    </row>
    <row r="25" spans="1:3" x14ac:dyDescent="0.25">
      <c r="A25" s="1" t="s">
        <v>29</v>
      </c>
    </row>
    <row r="26" spans="1:3" x14ac:dyDescent="0.25">
      <c r="A26" s="1" t="s">
        <v>28</v>
      </c>
    </row>
    <row r="27" spans="1:3" x14ac:dyDescent="0.25">
      <c r="A27" s="1" t="s">
        <v>25</v>
      </c>
    </row>
    <row r="28" spans="1:3" x14ac:dyDescent="0.25">
      <c r="A28" s="1" t="s">
        <v>26</v>
      </c>
    </row>
    <row r="29" spans="1:3" x14ac:dyDescent="0.25">
      <c r="A29" s="1" t="s">
        <v>27</v>
      </c>
    </row>
    <row r="32" spans="1:3" x14ac:dyDescent="0.25">
      <c r="A32" s="3" t="s">
        <v>49</v>
      </c>
    </row>
    <row r="33" spans="1:11" x14ac:dyDescent="0.25">
      <c r="A33" s="5" t="s">
        <v>36</v>
      </c>
      <c r="E33" s="5" t="s">
        <v>40</v>
      </c>
      <c r="I33" s="5" t="s">
        <v>42</v>
      </c>
    </row>
    <row r="34" spans="1:11" x14ac:dyDescent="0.25">
      <c r="A34" s="1" t="s">
        <v>5</v>
      </c>
      <c r="B34" s="1" t="s">
        <v>15</v>
      </c>
      <c r="C34" s="1">
        <v>9</v>
      </c>
      <c r="E34" s="1" t="s">
        <v>5</v>
      </c>
      <c r="F34" s="1" t="s">
        <v>15</v>
      </c>
      <c r="G34" s="1">
        <v>9</v>
      </c>
      <c r="I34" s="1" t="s">
        <v>7</v>
      </c>
      <c r="J34" s="1" t="s">
        <v>15</v>
      </c>
      <c r="K34" s="1">
        <v>7</v>
      </c>
    </row>
    <row r="35" spans="1:11" x14ac:dyDescent="0.25">
      <c r="A35" s="1" t="s">
        <v>7</v>
      </c>
      <c r="B35" s="1" t="s">
        <v>15</v>
      </c>
      <c r="C35" s="1">
        <v>7</v>
      </c>
      <c r="E35" s="1" t="s">
        <v>2</v>
      </c>
      <c r="F35" s="1" t="s">
        <v>15</v>
      </c>
      <c r="G35" s="1">
        <v>0</v>
      </c>
      <c r="I35" s="1" t="s">
        <v>2</v>
      </c>
      <c r="J35" s="1" t="s">
        <v>15</v>
      </c>
      <c r="K35" s="1">
        <v>0</v>
      </c>
    </row>
    <row r="36" spans="1:11" x14ac:dyDescent="0.25">
      <c r="A36" s="1"/>
      <c r="B36" s="1"/>
      <c r="C36" s="1"/>
      <c r="E36" s="1"/>
      <c r="F36" s="1"/>
      <c r="G36" s="1"/>
      <c r="I36" s="1"/>
      <c r="J36" s="1"/>
      <c r="K36" s="1"/>
    </row>
    <row r="37" spans="1:11" x14ac:dyDescent="0.25">
      <c r="A37" s="6" t="s">
        <v>37</v>
      </c>
      <c r="B37" s="6" t="s">
        <v>15</v>
      </c>
      <c r="C37" s="6">
        <v>6</v>
      </c>
      <c r="E37" s="6" t="s">
        <v>37</v>
      </c>
      <c r="F37" s="6" t="s">
        <v>15</v>
      </c>
      <c r="G37" s="6">
        <v>9</v>
      </c>
      <c r="I37" s="6" t="s">
        <v>37</v>
      </c>
      <c r="J37" s="6" t="s">
        <v>15</v>
      </c>
      <c r="K37" s="6">
        <v>7</v>
      </c>
    </row>
    <row r="38" spans="1:11" x14ac:dyDescent="0.25">
      <c r="A38" s="6" t="s">
        <v>2</v>
      </c>
      <c r="B38" s="6" t="s">
        <v>15</v>
      </c>
      <c r="C38" s="6">
        <v>1</v>
      </c>
      <c r="E38" s="6" t="s">
        <v>2</v>
      </c>
      <c r="F38" s="6" t="s">
        <v>15</v>
      </c>
      <c r="G38" s="6">
        <v>0</v>
      </c>
      <c r="I38" s="6" t="s">
        <v>2</v>
      </c>
      <c r="J38" s="6" t="s">
        <v>15</v>
      </c>
      <c r="K38" s="6">
        <v>0</v>
      </c>
    </row>
    <row r="39" spans="1:11" x14ac:dyDescent="0.25">
      <c r="A39" s="1" t="s">
        <v>38</v>
      </c>
      <c r="C39" s="8" t="s">
        <v>46</v>
      </c>
      <c r="E39" s="1" t="s">
        <v>38</v>
      </c>
      <c r="G39" s="8" t="s">
        <v>44</v>
      </c>
      <c r="I39" s="1" t="s">
        <v>38</v>
      </c>
      <c r="K39" s="8" t="s">
        <v>54</v>
      </c>
    </row>
    <row r="42" spans="1:11" x14ac:dyDescent="0.25">
      <c r="A42" s="5" t="s">
        <v>39</v>
      </c>
      <c r="E42" s="5" t="s">
        <v>41</v>
      </c>
      <c r="I42" s="5" t="s">
        <v>43</v>
      </c>
    </row>
    <row r="43" spans="1:11" x14ac:dyDescent="0.25">
      <c r="A43" s="1" t="s">
        <v>5</v>
      </c>
      <c r="B43" s="1" t="s">
        <v>15</v>
      </c>
      <c r="C43" s="1">
        <v>9</v>
      </c>
      <c r="D43" s="9"/>
      <c r="E43" s="1" t="s">
        <v>7</v>
      </c>
      <c r="F43" s="1" t="s">
        <v>15</v>
      </c>
      <c r="G43" s="1">
        <v>7</v>
      </c>
      <c r="I43" s="1" t="s">
        <v>0</v>
      </c>
      <c r="J43" s="1" t="s">
        <v>15</v>
      </c>
      <c r="K43" s="1">
        <v>0</v>
      </c>
    </row>
    <row r="44" spans="1:11" x14ac:dyDescent="0.25">
      <c r="A44" s="1" t="s">
        <v>0</v>
      </c>
      <c r="B44" s="1" t="s">
        <v>15</v>
      </c>
      <c r="C44" s="1">
        <v>0</v>
      </c>
      <c r="E44" s="1" t="s">
        <v>0</v>
      </c>
      <c r="F44" s="1" t="s">
        <v>15</v>
      </c>
      <c r="G44" s="1">
        <v>0</v>
      </c>
      <c r="I44" s="1" t="s">
        <v>2</v>
      </c>
      <c r="J44" s="1" t="s">
        <v>15</v>
      </c>
      <c r="K44" s="1">
        <v>0</v>
      </c>
    </row>
    <row r="45" spans="1:11" x14ac:dyDescent="0.25">
      <c r="A45" s="1"/>
      <c r="B45" s="1"/>
      <c r="C45" s="1"/>
      <c r="E45" s="1"/>
      <c r="F45" s="1"/>
      <c r="G45" s="1"/>
      <c r="I45" s="1"/>
      <c r="J45" s="1"/>
      <c r="K45" s="1"/>
    </row>
    <row r="46" spans="1:11" x14ac:dyDescent="0.25">
      <c r="A46" s="6" t="s">
        <v>37</v>
      </c>
      <c r="B46" s="6" t="s">
        <v>15</v>
      </c>
      <c r="C46" s="6">
        <v>0</v>
      </c>
      <c r="E46" s="6" t="s">
        <v>37</v>
      </c>
      <c r="F46" s="6" t="s">
        <v>15</v>
      </c>
      <c r="G46" s="6">
        <v>0</v>
      </c>
      <c r="I46" s="6" t="s">
        <v>37</v>
      </c>
      <c r="J46" s="6" t="s">
        <v>15</v>
      </c>
      <c r="K46" s="6">
        <v>0</v>
      </c>
    </row>
    <row r="47" spans="1:11" x14ac:dyDescent="0.25">
      <c r="A47" s="6" t="s">
        <v>2</v>
      </c>
      <c r="B47" s="6" t="s">
        <v>15</v>
      </c>
      <c r="C47" s="6">
        <v>3</v>
      </c>
      <c r="E47" s="6" t="s">
        <v>2</v>
      </c>
      <c r="F47" s="6" t="s">
        <v>15</v>
      </c>
      <c r="G47" s="6">
        <v>7</v>
      </c>
      <c r="I47" s="6" t="s">
        <v>2</v>
      </c>
      <c r="J47" s="6" t="s">
        <v>15</v>
      </c>
      <c r="K47" s="6">
        <v>0</v>
      </c>
    </row>
    <row r="48" spans="1:11" x14ac:dyDescent="0.25">
      <c r="A48" s="1" t="s">
        <v>38</v>
      </c>
      <c r="C48" s="8" t="s">
        <v>47</v>
      </c>
      <c r="E48" s="1" t="s">
        <v>38</v>
      </c>
      <c r="G48" s="8" t="s">
        <v>45</v>
      </c>
      <c r="I48" s="1" t="s">
        <v>38</v>
      </c>
      <c r="K48" s="8" t="s">
        <v>48</v>
      </c>
    </row>
    <row r="51" spans="1:11" x14ac:dyDescent="0.25">
      <c r="A51" s="2" t="s">
        <v>65</v>
      </c>
    </row>
    <row r="52" spans="1:11" x14ac:dyDescent="0.25">
      <c r="A52" s="7" t="s">
        <v>50</v>
      </c>
      <c r="E52" s="11" t="s">
        <v>52</v>
      </c>
      <c r="I52" s="7" t="s">
        <v>55</v>
      </c>
    </row>
    <row r="53" spans="1:11" x14ac:dyDescent="0.25">
      <c r="A53" s="1">
        <v>9</v>
      </c>
      <c r="B53" s="1" t="s">
        <v>6</v>
      </c>
      <c r="C53" s="1">
        <v>9</v>
      </c>
      <c r="E53" s="1">
        <v>9</v>
      </c>
      <c r="F53" s="1" t="s">
        <v>6</v>
      </c>
      <c r="G53" s="1">
        <v>9</v>
      </c>
      <c r="I53" s="1">
        <v>7</v>
      </c>
      <c r="J53" s="1" t="s">
        <v>6</v>
      </c>
      <c r="K53" s="1">
        <v>9</v>
      </c>
    </row>
    <row r="54" spans="1:11" x14ac:dyDescent="0.25">
      <c r="A54" s="1">
        <v>7</v>
      </c>
      <c r="B54" s="1" t="s">
        <v>6</v>
      </c>
      <c r="C54" s="1">
        <v>7</v>
      </c>
      <c r="E54" s="10">
        <v>9</v>
      </c>
      <c r="F54" s="10" t="s">
        <v>6</v>
      </c>
      <c r="G54" s="10">
        <v>7</v>
      </c>
      <c r="I54" s="1">
        <v>7</v>
      </c>
      <c r="J54" s="1" t="s">
        <v>6</v>
      </c>
      <c r="K54" s="1">
        <v>7</v>
      </c>
    </row>
    <row r="55" spans="1:11" x14ac:dyDescent="0.25">
      <c r="A55" s="1">
        <v>6</v>
      </c>
      <c r="B55" s="1" t="s">
        <v>8</v>
      </c>
      <c r="C55" s="1">
        <v>0</v>
      </c>
      <c r="E55" s="1">
        <v>9</v>
      </c>
      <c r="F55" s="1" t="s">
        <v>8</v>
      </c>
      <c r="G55" s="1">
        <v>0</v>
      </c>
      <c r="I55" s="1">
        <v>7</v>
      </c>
      <c r="J55" s="1" t="s">
        <v>8</v>
      </c>
      <c r="K55" s="1">
        <v>0</v>
      </c>
    </row>
    <row r="56" spans="1:11" x14ac:dyDescent="0.25">
      <c r="A56" s="1">
        <v>1</v>
      </c>
      <c r="B56" s="1" t="s">
        <v>8</v>
      </c>
      <c r="C56" s="1">
        <v>0</v>
      </c>
      <c r="E56" s="1">
        <v>0</v>
      </c>
      <c r="F56" s="1" t="s">
        <v>8</v>
      </c>
      <c r="G56" s="1">
        <v>0</v>
      </c>
      <c r="I56" s="1">
        <v>0</v>
      </c>
      <c r="J56" s="1" t="s">
        <v>8</v>
      </c>
      <c r="K56" s="1">
        <v>0</v>
      </c>
    </row>
    <row r="58" spans="1:11" x14ac:dyDescent="0.25">
      <c r="A58" s="7" t="s">
        <v>51</v>
      </c>
      <c r="E58" s="11" t="s">
        <v>53</v>
      </c>
      <c r="I58" s="7" t="s">
        <v>60</v>
      </c>
    </row>
    <row r="59" spans="1:11" x14ac:dyDescent="0.25">
      <c r="A59" s="1">
        <v>9</v>
      </c>
      <c r="B59" s="1" t="s">
        <v>6</v>
      </c>
      <c r="C59" s="1">
        <v>9</v>
      </c>
      <c r="E59" s="10">
        <v>21</v>
      </c>
      <c r="F59" s="10" t="s">
        <v>6</v>
      </c>
      <c r="G59" s="10">
        <v>9</v>
      </c>
      <c r="I59" s="1">
        <v>0</v>
      </c>
      <c r="J59" s="1" t="s">
        <v>6</v>
      </c>
      <c r="K59" s="1">
        <v>9</v>
      </c>
    </row>
    <row r="60" spans="1:11" x14ac:dyDescent="0.25">
      <c r="A60" s="1">
        <v>3</v>
      </c>
      <c r="B60" s="1" t="s">
        <v>6</v>
      </c>
      <c r="C60" s="1">
        <v>7</v>
      </c>
      <c r="E60" s="1">
        <v>7</v>
      </c>
      <c r="F60" s="1" t="s">
        <v>6</v>
      </c>
      <c r="G60" s="1">
        <v>7</v>
      </c>
      <c r="I60" s="1">
        <v>0</v>
      </c>
      <c r="J60" s="1" t="s">
        <v>6</v>
      </c>
      <c r="K60" s="1">
        <v>7</v>
      </c>
    </row>
    <row r="61" spans="1:11" x14ac:dyDescent="0.25">
      <c r="A61" s="1">
        <v>0</v>
      </c>
      <c r="B61" s="1" t="s">
        <v>8</v>
      </c>
      <c r="C61" s="1">
        <v>0</v>
      </c>
      <c r="E61" s="1">
        <v>0</v>
      </c>
      <c r="F61" s="1" t="s">
        <v>8</v>
      </c>
      <c r="G61" s="1">
        <v>0</v>
      </c>
      <c r="I61" s="1">
        <v>0</v>
      </c>
      <c r="J61" s="1" t="s">
        <v>8</v>
      </c>
      <c r="K61" s="1">
        <v>0</v>
      </c>
    </row>
    <row r="62" spans="1:11" x14ac:dyDescent="0.25">
      <c r="A62" s="1">
        <v>3</v>
      </c>
      <c r="B62" s="1" t="s">
        <v>8</v>
      </c>
      <c r="C62" s="1">
        <v>0</v>
      </c>
      <c r="E62" s="1">
        <v>7</v>
      </c>
      <c r="F62" s="1" t="s">
        <v>8</v>
      </c>
      <c r="G62" s="1">
        <v>0</v>
      </c>
      <c r="I62" s="1">
        <v>0</v>
      </c>
      <c r="J62" s="1" t="s">
        <v>8</v>
      </c>
      <c r="K62" s="1">
        <v>0</v>
      </c>
    </row>
    <row r="65" spans="1:3" x14ac:dyDescent="0.25">
      <c r="A65" s="2" t="s">
        <v>125</v>
      </c>
    </row>
    <row r="66" spans="1:3" x14ac:dyDescent="0.25">
      <c r="A66" t="s">
        <v>56</v>
      </c>
      <c r="B66" t="s">
        <v>61</v>
      </c>
      <c r="C66" s="1" t="s">
        <v>1</v>
      </c>
    </row>
    <row r="67" spans="1:3" x14ac:dyDescent="0.25">
      <c r="A67" t="s">
        <v>57</v>
      </c>
      <c r="B67" t="s">
        <v>62</v>
      </c>
      <c r="C67" s="1"/>
    </row>
    <row r="68" spans="1:3" x14ac:dyDescent="0.25">
      <c r="A68" t="s">
        <v>58</v>
      </c>
      <c r="B68" t="s">
        <v>63</v>
      </c>
      <c r="C68" s="1"/>
    </row>
    <row r="69" spans="1:3" x14ac:dyDescent="0.25">
      <c r="A69" t="s">
        <v>59</v>
      </c>
      <c r="B69" t="s">
        <v>64</v>
      </c>
      <c r="C69" s="1" t="s">
        <v>3</v>
      </c>
    </row>
    <row r="70" spans="1:3" x14ac:dyDescent="0.25">
      <c r="A70" t="s">
        <v>4</v>
      </c>
    </row>
    <row r="73" spans="1:3" x14ac:dyDescent="0.25">
      <c r="A73" s="12" t="s">
        <v>66</v>
      </c>
    </row>
    <row r="74" spans="1:3" x14ac:dyDescent="0.25">
      <c r="A74" t="s">
        <v>134</v>
      </c>
    </row>
    <row r="75" spans="1:3" x14ac:dyDescent="0.25">
      <c r="A75" t="s">
        <v>70</v>
      </c>
    </row>
    <row r="76" spans="1:3" x14ac:dyDescent="0.25">
      <c r="A76" t="s">
        <v>68</v>
      </c>
    </row>
    <row r="77" spans="1:3" x14ac:dyDescent="0.25">
      <c r="A77" t="s">
        <v>69</v>
      </c>
    </row>
    <row r="78" spans="1:3" x14ac:dyDescent="0.25">
      <c r="A78" t="s">
        <v>71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C25A-B878-4477-B0D6-BA95E98221A0}">
  <dimension ref="A10:R232"/>
  <sheetViews>
    <sheetView tabSelected="1" topLeftCell="A220" zoomScaleNormal="100" workbookViewId="0">
      <selection activeCell="G222" sqref="G222"/>
    </sheetView>
  </sheetViews>
  <sheetFormatPr defaultRowHeight="15" x14ac:dyDescent="0.25"/>
  <cols>
    <col min="1" max="1" width="26.85546875" customWidth="1"/>
    <col min="2" max="2" width="10.140625" customWidth="1"/>
    <col min="3" max="3" width="18.28515625" customWidth="1"/>
  </cols>
  <sheetData>
    <row r="10" spans="1:4" x14ac:dyDescent="0.25">
      <c r="A10" s="2" t="s">
        <v>12</v>
      </c>
    </row>
    <row r="11" spans="1:4" x14ac:dyDescent="0.25">
      <c r="A11" s="4" t="s">
        <v>72</v>
      </c>
      <c r="B11" s="1" t="s">
        <v>9</v>
      </c>
      <c r="C11" s="1" t="s">
        <v>1</v>
      </c>
    </row>
    <row r="13" spans="1:4" x14ac:dyDescent="0.25">
      <c r="A13" s="2" t="s">
        <v>11</v>
      </c>
    </row>
    <row r="14" spans="1:4" x14ac:dyDescent="0.25">
      <c r="A14" s="1" t="s">
        <v>73</v>
      </c>
      <c r="B14" s="1" t="s">
        <v>6</v>
      </c>
      <c r="C14" s="1">
        <v>800</v>
      </c>
      <c r="D14" s="1" t="s">
        <v>31</v>
      </c>
    </row>
    <row r="15" spans="1:4" x14ac:dyDescent="0.25">
      <c r="A15" s="1" t="s">
        <v>74</v>
      </c>
      <c r="B15" s="1" t="s">
        <v>6</v>
      </c>
      <c r="C15" s="1">
        <v>1200</v>
      </c>
      <c r="D15" s="1" t="s">
        <v>32</v>
      </c>
    </row>
    <row r="16" spans="1:4" x14ac:dyDescent="0.25">
      <c r="A16" s="1" t="s">
        <v>0</v>
      </c>
      <c r="B16" s="1" t="s">
        <v>8</v>
      </c>
      <c r="C16" s="1">
        <v>0</v>
      </c>
      <c r="D16" s="1" t="s">
        <v>33</v>
      </c>
    </row>
    <row r="17" spans="1:4" x14ac:dyDescent="0.25">
      <c r="A17" s="1" t="s">
        <v>2</v>
      </c>
      <c r="B17" s="1" t="s">
        <v>8</v>
      </c>
      <c r="C17" s="1">
        <v>0</v>
      </c>
      <c r="D17" s="1" t="s">
        <v>34</v>
      </c>
    </row>
    <row r="18" spans="1:4" x14ac:dyDescent="0.25">
      <c r="A18" s="1" t="s">
        <v>75</v>
      </c>
      <c r="B18" s="1" t="s">
        <v>8</v>
      </c>
      <c r="C18" s="1">
        <v>0</v>
      </c>
      <c r="D18" s="1" t="s">
        <v>76</v>
      </c>
    </row>
    <row r="20" spans="1:4" x14ac:dyDescent="0.25">
      <c r="A20" s="3" t="s">
        <v>13</v>
      </c>
    </row>
    <row r="21" spans="1:4" x14ac:dyDescent="0.25">
      <c r="A21" s="1" t="s">
        <v>14</v>
      </c>
      <c r="B21" s="1" t="s">
        <v>15</v>
      </c>
      <c r="C21" s="1">
        <v>5</v>
      </c>
    </row>
    <row r="22" spans="1:4" x14ac:dyDescent="0.25">
      <c r="A22" s="1" t="s">
        <v>16</v>
      </c>
      <c r="B22" s="1" t="s">
        <v>15</v>
      </c>
      <c r="C22" s="1">
        <v>3</v>
      </c>
    </row>
    <row r="24" spans="1:4" x14ac:dyDescent="0.25">
      <c r="A24" s="1" t="s">
        <v>77</v>
      </c>
      <c r="B24" s="1" t="s">
        <v>15</v>
      </c>
      <c r="C24" s="1">
        <v>10</v>
      </c>
      <c r="D24" s="1"/>
    </row>
    <row r="25" spans="1:4" x14ac:dyDescent="0.25">
      <c r="A25" s="13" t="s">
        <v>78</v>
      </c>
      <c r="B25" s="1"/>
    </row>
    <row r="26" spans="1:4" x14ac:dyDescent="0.25">
      <c r="A26" s="13" t="s">
        <v>79</v>
      </c>
    </row>
    <row r="27" spans="1:4" x14ac:dyDescent="0.25">
      <c r="A27" s="13" t="s">
        <v>21</v>
      </c>
    </row>
    <row r="28" spans="1:4" x14ac:dyDescent="0.25">
      <c r="A28" s="13" t="s">
        <v>35</v>
      </c>
    </row>
    <row r="29" spans="1:4" x14ac:dyDescent="0.25">
      <c r="A29" s="13" t="s">
        <v>22</v>
      </c>
      <c r="B29" s="1" t="s">
        <v>15</v>
      </c>
      <c r="C29" s="1">
        <v>5</v>
      </c>
    </row>
    <row r="30" spans="1:4" x14ac:dyDescent="0.25">
      <c r="A30" s="13" t="s">
        <v>23</v>
      </c>
      <c r="B30" s="1" t="s">
        <v>15</v>
      </c>
      <c r="C30" s="1">
        <v>3</v>
      </c>
    </row>
    <row r="32" spans="1:4" x14ac:dyDescent="0.25">
      <c r="A32" s="2" t="s">
        <v>24</v>
      </c>
    </row>
    <row r="33" spans="1:18" x14ac:dyDescent="0.25">
      <c r="A33" t="s">
        <v>80</v>
      </c>
    </row>
    <row r="34" spans="1:18" x14ac:dyDescent="0.25">
      <c r="A34" t="s">
        <v>81</v>
      </c>
    </row>
    <row r="35" spans="1:18" x14ac:dyDescent="0.25">
      <c r="A35" t="s">
        <v>82</v>
      </c>
    </row>
    <row r="36" spans="1:18" x14ac:dyDescent="0.25">
      <c r="A36" t="s">
        <v>83</v>
      </c>
    </row>
    <row r="37" spans="1:18" x14ac:dyDescent="0.25">
      <c r="A37" t="s">
        <v>84</v>
      </c>
    </row>
    <row r="38" spans="1:18" x14ac:dyDescent="0.25">
      <c r="A38" t="s">
        <v>85</v>
      </c>
    </row>
    <row r="39" spans="1:18" x14ac:dyDescent="0.25">
      <c r="A39" t="s">
        <v>86</v>
      </c>
    </row>
    <row r="40" spans="1:18" x14ac:dyDescent="0.25">
      <c r="A40" t="s">
        <v>87</v>
      </c>
    </row>
    <row r="41" spans="1:18" x14ac:dyDescent="0.25">
      <c r="A41" t="s">
        <v>88</v>
      </c>
    </row>
    <row r="42" spans="1:18" x14ac:dyDescent="0.25">
      <c r="A42" t="s">
        <v>89</v>
      </c>
    </row>
    <row r="43" spans="1:18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</row>
    <row r="44" spans="1:18" x14ac:dyDescent="0.25">
      <c r="A44" s="3" t="s">
        <v>49</v>
      </c>
    </row>
    <row r="45" spans="1:18" x14ac:dyDescent="0.25">
      <c r="A45" s="18" t="s">
        <v>94</v>
      </c>
      <c r="F45" t="s">
        <v>90</v>
      </c>
      <c r="L45" t="s">
        <v>91</v>
      </c>
      <c r="Q45" t="s">
        <v>96</v>
      </c>
    </row>
    <row r="46" spans="1:18" x14ac:dyDescent="0.25">
      <c r="A46" s="1" t="s">
        <v>73</v>
      </c>
      <c r="B46" s="1" t="s">
        <v>15</v>
      </c>
      <c r="C46" s="1">
        <v>800</v>
      </c>
      <c r="F46" s="15">
        <v>2</v>
      </c>
      <c r="G46" s="15">
        <v>1</v>
      </c>
      <c r="H46" s="15">
        <v>1</v>
      </c>
      <c r="I46" s="15">
        <v>800</v>
      </c>
      <c r="L46" s="16" cm="1">
        <f t="array" ref="L46:N48">MINVERSE(F46:H48)</f>
        <v>0</v>
      </c>
      <c r="M46" s="16">
        <v>0</v>
      </c>
      <c r="N46" s="16">
        <v>1</v>
      </c>
      <c r="Q46" s="15" t="s">
        <v>0</v>
      </c>
      <c r="R46" s="15" cm="1">
        <f t="array" ref="R46:R48">MMULT(_xlfn.ANCHORARRAY(L46),I46:I48)</f>
        <v>0</v>
      </c>
    </row>
    <row r="47" spans="1:18" x14ac:dyDescent="0.25">
      <c r="A47" s="1" t="s">
        <v>74</v>
      </c>
      <c r="B47" s="1" t="s">
        <v>15</v>
      </c>
      <c r="C47" s="1">
        <v>1200</v>
      </c>
      <c r="F47" s="15">
        <v>2</v>
      </c>
      <c r="G47" s="15">
        <v>3</v>
      </c>
      <c r="H47" s="15">
        <v>2</v>
      </c>
      <c r="I47" s="15">
        <v>1200</v>
      </c>
      <c r="L47" s="16">
        <v>-2</v>
      </c>
      <c r="M47" s="16">
        <v>1</v>
      </c>
      <c r="N47" s="16">
        <v>2</v>
      </c>
      <c r="Q47" s="17" t="s">
        <v>2</v>
      </c>
      <c r="R47" s="17">
        <v>-400</v>
      </c>
    </row>
    <row r="48" spans="1:18" x14ac:dyDescent="0.25">
      <c r="A48" s="1" t="s">
        <v>0</v>
      </c>
      <c r="B48" s="1" t="s">
        <v>15</v>
      </c>
      <c r="C48" s="1">
        <v>0</v>
      </c>
      <c r="F48" s="15">
        <v>1</v>
      </c>
      <c r="G48" s="15">
        <v>0</v>
      </c>
      <c r="H48" s="15">
        <v>0</v>
      </c>
      <c r="I48" s="15">
        <v>0</v>
      </c>
      <c r="L48" s="16">
        <v>3</v>
      </c>
      <c r="M48" s="16">
        <v>-1</v>
      </c>
      <c r="N48" s="16">
        <v>-4</v>
      </c>
      <c r="Q48" s="15" t="s">
        <v>75</v>
      </c>
      <c r="R48" s="15">
        <v>1200</v>
      </c>
    </row>
    <row r="49" spans="1:18" x14ac:dyDescent="0.25">
      <c r="L49" t="s">
        <v>93</v>
      </c>
      <c r="Q49" t="s">
        <v>92</v>
      </c>
    </row>
    <row r="50" spans="1:18" x14ac:dyDescent="0.25">
      <c r="A50" s="14" t="s">
        <v>0</v>
      </c>
      <c r="B50" s="6" t="s">
        <v>15</v>
      </c>
      <c r="C50" s="6">
        <v>0</v>
      </c>
    </row>
    <row r="51" spans="1:18" x14ac:dyDescent="0.25">
      <c r="A51" s="6" t="s">
        <v>2</v>
      </c>
      <c r="B51" s="6" t="s">
        <v>15</v>
      </c>
      <c r="C51" s="6">
        <v>-400</v>
      </c>
    </row>
    <row r="52" spans="1:18" x14ac:dyDescent="0.25">
      <c r="A52" s="1" t="s">
        <v>75</v>
      </c>
      <c r="B52" s="1" t="s">
        <v>15</v>
      </c>
      <c r="C52" s="1">
        <v>1200</v>
      </c>
    </row>
    <row r="53" spans="1:18" x14ac:dyDescent="0.25">
      <c r="A53" s="1" t="s">
        <v>38</v>
      </c>
      <c r="C53" s="8" t="s">
        <v>105</v>
      </c>
    </row>
    <row r="54" spans="1:18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</row>
    <row r="55" spans="1:18" x14ac:dyDescent="0.25">
      <c r="A55" t="s">
        <v>95</v>
      </c>
      <c r="F55" t="s">
        <v>90</v>
      </c>
      <c r="L55" t="s">
        <v>91</v>
      </c>
      <c r="Q55" t="s">
        <v>96</v>
      </c>
    </row>
    <row r="56" spans="1:18" x14ac:dyDescent="0.25">
      <c r="A56" s="1" t="s">
        <v>73</v>
      </c>
      <c r="B56" s="1" t="s">
        <v>15</v>
      </c>
      <c r="C56" s="1">
        <v>800</v>
      </c>
      <c r="F56" s="15">
        <v>2</v>
      </c>
      <c r="G56" s="15">
        <v>1</v>
      </c>
      <c r="H56" s="15">
        <v>1</v>
      </c>
      <c r="I56" s="15">
        <v>800</v>
      </c>
      <c r="L56" s="16" cm="1">
        <f t="array" ref="L56:N58">MINVERSE(F56:H58)</f>
        <v>1</v>
      </c>
      <c r="M56" s="16">
        <v>-0.5</v>
      </c>
      <c r="N56" s="16">
        <v>0.5</v>
      </c>
      <c r="Q56" s="20" t="s">
        <v>0</v>
      </c>
      <c r="R56" s="20" cm="1">
        <f t="array" ref="R56:R58">MMULT(_xlfn.ANCHORARRAY(L56),I56:I58)</f>
        <v>200</v>
      </c>
    </row>
    <row r="57" spans="1:18" x14ac:dyDescent="0.25">
      <c r="A57" s="1" t="s">
        <v>74</v>
      </c>
      <c r="B57" s="1" t="s">
        <v>15</v>
      </c>
      <c r="C57" s="1">
        <v>1200</v>
      </c>
      <c r="F57" s="15">
        <v>2</v>
      </c>
      <c r="G57" s="15">
        <v>3</v>
      </c>
      <c r="H57" s="15">
        <v>2</v>
      </c>
      <c r="I57" s="15">
        <v>1200</v>
      </c>
      <c r="L57" s="16">
        <v>0</v>
      </c>
      <c r="M57" s="16">
        <v>0</v>
      </c>
      <c r="N57" s="16">
        <v>1</v>
      </c>
      <c r="Q57" s="20" t="s">
        <v>2</v>
      </c>
      <c r="R57" s="20">
        <v>0</v>
      </c>
    </row>
    <row r="58" spans="1:18" x14ac:dyDescent="0.25">
      <c r="A58" s="1" t="s">
        <v>2</v>
      </c>
      <c r="B58" s="1" t="s">
        <v>15</v>
      </c>
      <c r="C58" s="1">
        <v>0</v>
      </c>
      <c r="F58" s="15">
        <v>0</v>
      </c>
      <c r="G58" s="15">
        <v>1</v>
      </c>
      <c r="H58" s="15">
        <v>0</v>
      </c>
      <c r="I58" s="15">
        <v>0</v>
      </c>
      <c r="L58" s="16">
        <v>-1</v>
      </c>
      <c r="M58" s="16">
        <v>1</v>
      </c>
      <c r="N58" s="16">
        <v>-2</v>
      </c>
      <c r="Q58" s="20" t="s">
        <v>75</v>
      </c>
      <c r="R58" s="20">
        <v>400</v>
      </c>
    </row>
    <row r="60" spans="1:18" x14ac:dyDescent="0.25">
      <c r="A60" s="14" t="s">
        <v>0</v>
      </c>
      <c r="B60" s="6" t="s">
        <v>15</v>
      </c>
      <c r="C60" s="6">
        <v>200</v>
      </c>
    </row>
    <row r="61" spans="1:18" x14ac:dyDescent="0.25">
      <c r="A61" s="6" t="s">
        <v>2</v>
      </c>
      <c r="B61" s="6" t="s">
        <v>15</v>
      </c>
      <c r="C61" s="6">
        <v>0</v>
      </c>
    </row>
    <row r="62" spans="1:18" x14ac:dyDescent="0.25">
      <c r="A62" s="1" t="s">
        <v>75</v>
      </c>
      <c r="B62" s="1" t="s">
        <v>15</v>
      </c>
      <c r="C62" s="1">
        <v>400</v>
      </c>
    </row>
    <row r="63" spans="1:18" x14ac:dyDescent="0.25">
      <c r="A63" s="1" t="s">
        <v>38</v>
      </c>
      <c r="C63" s="8" t="s">
        <v>106</v>
      </c>
    </row>
    <row r="64" spans="1:18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</row>
    <row r="65" spans="1:18" x14ac:dyDescent="0.25">
      <c r="A65" t="s">
        <v>97</v>
      </c>
      <c r="F65" t="s">
        <v>90</v>
      </c>
      <c r="L65" t="s">
        <v>91</v>
      </c>
      <c r="Q65" t="s">
        <v>96</v>
      </c>
    </row>
    <row r="66" spans="1:18" x14ac:dyDescent="0.25">
      <c r="A66" s="1" t="s">
        <v>73</v>
      </c>
      <c r="B66" s="1" t="s">
        <v>15</v>
      </c>
      <c r="C66" s="1">
        <v>800</v>
      </c>
      <c r="F66" s="15">
        <v>2</v>
      </c>
      <c r="G66" s="15">
        <v>1</v>
      </c>
      <c r="H66" s="15">
        <v>1</v>
      </c>
      <c r="I66" s="15">
        <v>800</v>
      </c>
      <c r="L66" s="15" cm="1">
        <f t="array" ref="L66:N68">MINVERSE(F66:H68)</f>
        <v>0.75</v>
      </c>
      <c r="M66" s="15">
        <v>-0.25</v>
      </c>
      <c r="N66" s="15">
        <v>-0.25</v>
      </c>
      <c r="Q66" s="20" t="s">
        <v>0</v>
      </c>
      <c r="R66" s="20" cm="1">
        <f t="array" ref="R66:R68">MMULT(_xlfn.ANCHORARRAY(L66),I66:I68)</f>
        <v>300</v>
      </c>
    </row>
    <row r="67" spans="1:18" x14ac:dyDescent="0.25">
      <c r="A67" s="1" t="s">
        <v>74</v>
      </c>
      <c r="B67" s="1" t="s">
        <v>15</v>
      </c>
      <c r="C67" s="1">
        <v>1200</v>
      </c>
      <c r="F67" s="15">
        <v>2</v>
      </c>
      <c r="G67" s="15">
        <v>3</v>
      </c>
      <c r="H67" s="15">
        <v>2</v>
      </c>
      <c r="I67" s="15">
        <v>1200</v>
      </c>
      <c r="L67" s="15">
        <v>-0.5</v>
      </c>
      <c r="M67" s="15">
        <v>0.5</v>
      </c>
      <c r="N67" s="15">
        <v>-0.5</v>
      </c>
      <c r="Q67" s="20" t="s">
        <v>2</v>
      </c>
      <c r="R67" s="20">
        <v>200</v>
      </c>
    </row>
    <row r="68" spans="1:18" x14ac:dyDescent="0.25">
      <c r="A68" s="1" t="s">
        <v>75</v>
      </c>
      <c r="B68" s="1" t="s">
        <v>15</v>
      </c>
      <c r="C68" s="1">
        <v>0</v>
      </c>
      <c r="F68" s="15">
        <v>0</v>
      </c>
      <c r="G68" s="15">
        <v>0</v>
      </c>
      <c r="H68" s="15">
        <v>1</v>
      </c>
      <c r="I68" s="15">
        <v>0</v>
      </c>
      <c r="L68" s="15">
        <v>0</v>
      </c>
      <c r="M68" s="15">
        <v>0</v>
      </c>
      <c r="N68" s="15">
        <v>1</v>
      </c>
      <c r="Q68" s="20" t="s">
        <v>75</v>
      </c>
      <c r="R68" s="20">
        <v>0</v>
      </c>
    </row>
    <row r="70" spans="1:18" x14ac:dyDescent="0.25">
      <c r="A70" s="14" t="s">
        <v>0</v>
      </c>
      <c r="B70" s="6" t="s">
        <v>15</v>
      </c>
      <c r="C70" s="6">
        <v>300</v>
      </c>
    </row>
    <row r="71" spans="1:18" x14ac:dyDescent="0.25">
      <c r="A71" s="6" t="s">
        <v>2</v>
      </c>
      <c r="B71" s="6" t="s">
        <v>15</v>
      </c>
      <c r="C71" s="6">
        <v>200</v>
      </c>
    </row>
    <row r="72" spans="1:18" x14ac:dyDescent="0.25">
      <c r="A72" s="1" t="s">
        <v>75</v>
      </c>
      <c r="B72" s="1" t="s">
        <v>15</v>
      </c>
      <c r="C72" s="1">
        <v>0</v>
      </c>
    </row>
    <row r="73" spans="1:18" x14ac:dyDescent="0.25">
      <c r="A73" s="1" t="s">
        <v>38</v>
      </c>
      <c r="C73" s="8" t="s">
        <v>107</v>
      </c>
    </row>
    <row r="74" spans="1:18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</row>
    <row r="75" spans="1:18" x14ac:dyDescent="0.25">
      <c r="A75" t="s">
        <v>98</v>
      </c>
      <c r="F75" t="s">
        <v>90</v>
      </c>
      <c r="L75" t="s">
        <v>91</v>
      </c>
      <c r="Q75" t="s">
        <v>96</v>
      </c>
    </row>
    <row r="76" spans="1:18" x14ac:dyDescent="0.25">
      <c r="A76" s="1" t="s">
        <v>73</v>
      </c>
      <c r="B76" s="1" t="s">
        <v>15</v>
      </c>
      <c r="C76" s="1">
        <v>800</v>
      </c>
      <c r="F76" s="15">
        <v>2</v>
      </c>
      <c r="G76" s="15">
        <v>1</v>
      </c>
      <c r="H76" s="15">
        <v>1</v>
      </c>
      <c r="I76" s="15">
        <v>800</v>
      </c>
      <c r="J76" s="1"/>
      <c r="K76" s="1"/>
      <c r="L76" s="15" cm="1">
        <f t="array" ref="L76:N78">MINVERSE(F76:H78)</f>
        <v>0</v>
      </c>
      <c r="M76" s="15">
        <v>1</v>
      </c>
      <c r="N76" s="15">
        <v>0</v>
      </c>
      <c r="Q76" s="20" t="s">
        <v>0</v>
      </c>
      <c r="R76" s="20" cm="1">
        <f t="array" ref="R76:R78">MMULT(_xlfn.ANCHORARRAY(L76),I76:I78)</f>
        <v>0</v>
      </c>
    </row>
    <row r="77" spans="1:18" x14ac:dyDescent="0.25">
      <c r="A77" s="1" t="s">
        <v>0</v>
      </c>
      <c r="B77" s="1" t="s">
        <v>15</v>
      </c>
      <c r="C77" s="1">
        <v>0</v>
      </c>
      <c r="F77" s="15">
        <v>1</v>
      </c>
      <c r="G77" s="15">
        <v>0</v>
      </c>
      <c r="H77" s="15">
        <v>0</v>
      </c>
      <c r="I77" s="15">
        <v>0</v>
      </c>
      <c r="J77" s="1"/>
      <c r="K77" s="1"/>
      <c r="L77" s="15">
        <v>0</v>
      </c>
      <c r="M77" s="15">
        <v>0</v>
      </c>
      <c r="N77" s="15">
        <v>1</v>
      </c>
      <c r="Q77" s="20" t="s">
        <v>2</v>
      </c>
      <c r="R77" s="20">
        <v>0</v>
      </c>
    </row>
    <row r="78" spans="1:18" x14ac:dyDescent="0.25">
      <c r="A78" s="1" t="s">
        <v>2</v>
      </c>
      <c r="B78" s="1" t="s">
        <v>15</v>
      </c>
      <c r="C78" s="1">
        <v>0</v>
      </c>
      <c r="F78" s="15">
        <v>0</v>
      </c>
      <c r="G78" s="15">
        <v>1</v>
      </c>
      <c r="H78" s="15">
        <v>0</v>
      </c>
      <c r="I78" s="15">
        <v>0</v>
      </c>
      <c r="J78" s="1"/>
      <c r="K78" s="1"/>
      <c r="L78" s="15">
        <v>1</v>
      </c>
      <c r="M78" s="15">
        <v>-2</v>
      </c>
      <c r="N78" s="15">
        <v>-1</v>
      </c>
      <c r="Q78" s="20" t="s">
        <v>75</v>
      </c>
      <c r="R78" s="20">
        <v>800</v>
      </c>
    </row>
    <row r="80" spans="1:18" x14ac:dyDescent="0.25">
      <c r="A80" s="14" t="s">
        <v>0</v>
      </c>
      <c r="B80" s="6" t="s">
        <v>15</v>
      </c>
      <c r="C80" s="6">
        <v>0</v>
      </c>
    </row>
    <row r="81" spans="1:18" x14ac:dyDescent="0.25">
      <c r="A81" s="6" t="s">
        <v>2</v>
      </c>
      <c r="B81" s="6" t="s">
        <v>15</v>
      </c>
      <c r="C81" s="6">
        <v>0</v>
      </c>
    </row>
    <row r="82" spans="1:18" x14ac:dyDescent="0.25">
      <c r="A82" s="1" t="s">
        <v>75</v>
      </c>
      <c r="B82" s="1" t="s">
        <v>15</v>
      </c>
      <c r="C82" s="1">
        <v>800</v>
      </c>
    </row>
    <row r="83" spans="1:18" x14ac:dyDescent="0.25">
      <c r="A83" s="1" t="s">
        <v>38</v>
      </c>
      <c r="C83" s="8" t="s">
        <v>108</v>
      </c>
    </row>
    <row r="84" spans="1:18" x14ac:dyDescent="0.25">
      <c r="A84" s="26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</row>
    <row r="85" spans="1:18" x14ac:dyDescent="0.25">
      <c r="A85" s="4" t="s">
        <v>99</v>
      </c>
      <c r="F85" t="s">
        <v>90</v>
      </c>
      <c r="L85" t="s">
        <v>91</v>
      </c>
      <c r="Q85" t="s">
        <v>96</v>
      </c>
    </row>
    <row r="86" spans="1:18" x14ac:dyDescent="0.25">
      <c r="A86" s="1" t="s">
        <v>73</v>
      </c>
      <c r="B86" s="1" t="s">
        <v>15</v>
      </c>
      <c r="C86" s="1">
        <v>800</v>
      </c>
      <c r="F86" s="15">
        <v>2</v>
      </c>
      <c r="G86" s="15">
        <v>1</v>
      </c>
      <c r="H86" s="15">
        <v>1</v>
      </c>
      <c r="I86" s="15">
        <v>800</v>
      </c>
      <c r="J86" s="1"/>
      <c r="K86" s="1"/>
      <c r="L86" s="15" cm="1">
        <f t="array" ref="L86:N88">MINVERSE(F86:H88)</f>
        <v>0</v>
      </c>
      <c r="M86" s="15">
        <v>1</v>
      </c>
      <c r="N86" s="15">
        <v>0</v>
      </c>
      <c r="Q86" s="20" t="s">
        <v>0</v>
      </c>
      <c r="R86" s="20" cm="1">
        <f t="array" ref="R86:R88">MMULT(_xlfn.ANCHORARRAY(L86),I86:I88)</f>
        <v>0</v>
      </c>
    </row>
    <row r="87" spans="1:18" x14ac:dyDescent="0.25">
      <c r="A87" s="1" t="s">
        <v>0</v>
      </c>
      <c r="B87" s="1" t="s">
        <v>15</v>
      </c>
      <c r="C87" s="1">
        <v>0</v>
      </c>
      <c r="F87" s="15">
        <v>1</v>
      </c>
      <c r="G87" s="15">
        <v>0</v>
      </c>
      <c r="H87" s="15">
        <v>0</v>
      </c>
      <c r="I87" s="15">
        <v>0</v>
      </c>
      <c r="J87" s="1"/>
      <c r="K87" s="1"/>
      <c r="L87" s="15">
        <v>1</v>
      </c>
      <c r="M87" s="15">
        <v>-2</v>
      </c>
      <c r="N87" s="15">
        <v>-1</v>
      </c>
      <c r="Q87" s="20" t="s">
        <v>2</v>
      </c>
      <c r="R87" s="20">
        <v>800</v>
      </c>
    </row>
    <row r="88" spans="1:18" x14ac:dyDescent="0.25">
      <c r="A88" s="1" t="s">
        <v>75</v>
      </c>
      <c r="B88" s="1" t="s">
        <v>15</v>
      </c>
      <c r="C88" s="1">
        <v>0</v>
      </c>
      <c r="F88" s="15">
        <v>0</v>
      </c>
      <c r="G88" s="15">
        <v>0</v>
      </c>
      <c r="H88" s="15">
        <v>1</v>
      </c>
      <c r="I88" s="15">
        <v>0</v>
      </c>
      <c r="J88" s="1"/>
      <c r="K88" s="1"/>
      <c r="L88" s="15">
        <v>0</v>
      </c>
      <c r="M88" s="15">
        <v>0</v>
      </c>
      <c r="N88" s="15">
        <v>1</v>
      </c>
      <c r="Q88" s="20" t="s">
        <v>75</v>
      </c>
      <c r="R88" s="20">
        <v>0</v>
      </c>
    </row>
    <row r="90" spans="1:18" x14ac:dyDescent="0.25">
      <c r="A90" s="14" t="s">
        <v>0</v>
      </c>
      <c r="B90" s="6" t="s">
        <v>15</v>
      </c>
      <c r="C90" s="6">
        <v>0</v>
      </c>
    </row>
    <row r="91" spans="1:18" x14ac:dyDescent="0.25">
      <c r="A91" s="6" t="s">
        <v>2</v>
      </c>
      <c r="B91" s="6" t="s">
        <v>15</v>
      </c>
      <c r="C91" s="6">
        <v>800</v>
      </c>
    </row>
    <row r="92" spans="1:18" x14ac:dyDescent="0.25">
      <c r="A92" s="1" t="s">
        <v>75</v>
      </c>
      <c r="B92" s="1" t="s">
        <v>15</v>
      </c>
      <c r="C92" s="1">
        <v>0</v>
      </c>
    </row>
    <row r="93" spans="1:18" x14ac:dyDescent="0.25">
      <c r="A93" s="1" t="s">
        <v>38</v>
      </c>
      <c r="C93" s="8" t="s">
        <v>109</v>
      </c>
    </row>
    <row r="94" spans="1:18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</row>
    <row r="95" spans="1:18" x14ac:dyDescent="0.25">
      <c r="A95" t="s">
        <v>100</v>
      </c>
      <c r="F95" t="s">
        <v>90</v>
      </c>
      <c r="L95" t="s">
        <v>91</v>
      </c>
      <c r="Q95" t="s">
        <v>96</v>
      </c>
    </row>
    <row r="96" spans="1:18" x14ac:dyDescent="0.25">
      <c r="A96" s="1" t="s">
        <v>73</v>
      </c>
      <c r="B96" s="1" t="s">
        <v>15</v>
      </c>
      <c r="C96" s="1">
        <v>800</v>
      </c>
      <c r="F96" s="15">
        <v>2</v>
      </c>
      <c r="G96" s="15">
        <v>1</v>
      </c>
      <c r="H96" s="15">
        <v>1</v>
      </c>
      <c r="I96" s="15">
        <v>800</v>
      </c>
      <c r="J96" s="1"/>
      <c r="K96" s="1"/>
      <c r="L96" s="15" cm="1">
        <f t="array" ref="L96:N98">MINVERSE(F96:H98)</f>
        <v>0.5</v>
      </c>
      <c r="M96" s="15">
        <v>-0.5</v>
      </c>
      <c r="N96" s="15">
        <v>-0.5</v>
      </c>
      <c r="Q96" s="20" t="s">
        <v>0</v>
      </c>
      <c r="R96" s="20" cm="1">
        <f t="array" ref="R96:R98">MMULT(_xlfn.ANCHORARRAY(L96),I96:I98)</f>
        <v>400</v>
      </c>
    </row>
    <row r="97" spans="1:18" x14ac:dyDescent="0.25">
      <c r="A97" s="1" t="s">
        <v>2</v>
      </c>
      <c r="B97" s="1" t="s">
        <v>15</v>
      </c>
      <c r="C97" s="1">
        <v>0</v>
      </c>
      <c r="F97" s="15">
        <v>0</v>
      </c>
      <c r="G97" s="15">
        <v>1</v>
      </c>
      <c r="H97" s="15">
        <v>0</v>
      </c>
      <c r="I97" s="15">
        <v>0</v>
      </c>
      <c r="J97" s="1"/>
      <c r="K97" s="1"/>
      <c r="L97" s="15">
        <v>0</v>
      </c>
      <c r="M97" s="15">
        <v>1</v>
      </c>
      <c r="N97" s="15">
        <v>0</v>
      </c>
      <c r="Q97" s="20" t="s">
        <v>2</v>
      </c>
      <c r="R97" s="20">
        <v>0</v>
      </c>
    </row>
    <row r="98" spans="1:18" x14ac:dyDescent="0.25">
      <c r="A98" s="1" t="s">
        <v>75</v>
      </c>
      <c r="B98" s="1" t="s">
        <v>15</v>
      </c>
      <c r="C98" s="1">
        <v>0</v>
      </c>
      <c r="F98" s="15">
        <v>0</v>
      </c>
      <c r="G98" s="15">
        <v>0</v>
      </c>
      <c r="H98" s="15">
        <v>1</v>
      </c>
      <c r="I98" s="15">
        <v>0</v>
      </c>
      <c r="J98" s="1"/>
      <c r="K98" s="1"/>
      <c r="L98" s="15">
        <v>0</v>
      </c>
      <c r="M98" s="15">
        <v>0</v>
      </c>
      <c r="N98" s="15">
        <v>1</v>
      </c>
      <c r="Q98" s="20" t="s">
        <v>75</v>
      </c>
      <c r="R98" s="20">
        <v>0</v>
      </c>
    </row>
    <row r="100" spans="1:18" x14ac:dyDescent="0.25">
      <c r="A100" s="14" t="s">
        <v>0</v>
      </c>
      <c r="B100" s="6" t="s">
        <v>15</v>
      </c>
      <c r="C100" s="6">
        <v>400</v>
      </c>
    </row>
    <row r="101" spans="1:18" x14ac:dyDescent="0.25">
      <c r="A101" s="6" t="s">
        <v>2</v>
      </c>
      <c r="B101" s="6" t="s">
        <v>15</v>
      </c>
      <c r="C101" s="6">
        <v>0</v>
      </c>
      <c r="F101" s="22"/>
      <c r="G101" s="22"/>
      <c r="H101" s="22"/>
      <c r="I101" s="22"/>
      <c r="P101" s="25"/>
      <c r="Q101" s="22"/>
      <c r="R101" s="22"/>
    </row>
    <row r="102" spans="1:18" x14ac:dyDescent="0.25">
      <c r="A102" s="1" t="s">
        <v>75</v>
      </c>
      <c r="B102" s="1" t="s">
        <v>15</v>
      </c>
      <c r="C102" s="1">
        <v>0</v>
      </c>
      <c r="F102" s="22"/>
      <c r="G102" s="22"/>
      <c r="H102" s="22"/>
      <c r="I102" s="22"/>
      <c r="P102" s="25"/>
      <c r="Q102" s="22"/>
      <c r="R102" s="22"/>
    </row>
    <row r="103" spans="1:18" x14ac:dyDescent="0.25">
      <c r="A103" s="1" t="s">
        <v>38</v>
      </c>
      <c r="C103" s="8" t="s">
        <v>110</v>
      </c>
      <c r="F103" s="22"/>
      <c r="G103" s="1"/>
      <c r="H103" s="22"/>
      <c r="I103" s="22"/>
      <c r="P103" s="25"/>
      <c r="Q103" s="22"/>
      <c r="R103" s="22"/>
    </row>
    <row r="104" spans="1:18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</row>
    <row r="105" spans="1:18" x14ac:dyDescent="0.25">
      <c r="A105" s="4" t="s">
        <v>101</v>
      </c>
      <c r="F105" t="s">
        <v>90</v>
      </c>
      <c r="L105" t="s">
        <v>91</v>
      </c>
      <c r="Q105" t="s">
        <v>96</v>
      </c>
    </row>
    <row r="106" spans="1:18" x14ac:dyDescent="0.25">
      <c r="A106" s="1" t="s">
        <v>74</v>
      </c>
      <c r="B106" s="1" t="s">
        <v>15</v>
      </c>
      <c r="C106" s="1">
        <v>1200</v>
      </c>
      <c r="F106" s="19">
        <v>2</v>
      </c>
      <c r="G106" s="19">
        <v>3</v>
      </c>
      <c r="H106" s="19">
        <v>2</v>
      </c>
      <c r="I106" s="19">
        <v>1200</v>
      </c>
      <c r="J106" s="1"/>
      <c r="K106" s="1"/>
      <c r="L106" s="15" cm="1">
        <f t="array" ref="L106:N108">MINVERSE(F106:H108)</f>
        <v>0</v>
      </c>
      <c r="M106" s="15">
        <v>1</v>
      </c>
      <c r="N106" s="15">
        <v>0</v>
      </c>
      <c r="Q106" s="20" t="s">
        <v>0</v>
      </c>
      <c r="R106" s="20" cm="1">
        <f t="array" ref="R106:R108">MMULT(_xlfn.ANCHORARRAY(L106),I106:I108)</f>
        <v>0</v>
      </c>
    </row>
    <row r="107" spans="1:18" x14ac:dyDescent="0.25">
      <c r="A107" s="1" t="s">
        <v>0</v>
      </c>
      <c r="B107" s="1" t="s">
        <v>15</v>
      </c>
      <c r="C107" s="1">
        <v>0</v>
      </c>
      <c r="F107" s="19">
        <v>1</v>
      </c>
      <c r="G107" s="19">
        <v>0</v>
      </c>
      <c r="H107" s="19">
        <v>0</v>
      </c>
      <c r="I107" s="19">
        <v>0</v>
      </c>
      <c r="J107" s="1"/>
      <c r="K107" s="1"/>
      <c r="L107" s="15">
        <v>0</v>
      </c>
      <c r="M107" s="15">
        <v>0</v>
      </c>
      <c r="N107" s="15">
        <v>1</v>
      </c>
      <c r="Q107" s="20" t="s">
        <v>2</v>
      </c>
      <c r="R107" s="20">
        <v>0</v>
      </c>
    </row>
    <row r="108" spans="1:18" x14ac:dyDescent="0.25">
      <c r="A108" s="1" t="s">
        <v>2</v>
      </c>
      <c r="B108" s="1" t="s">
        <v>15</v>
      </c>
      <c r="C108" s="1">
        <v>0</v>
      </c>
      <c r="F108" s="19">
        <v>0</v>
      </c>
      <c r="G108" s="15">
        <v>1</v>
      </c>
      <c r="H108" s="19">
        <v>0</v>
      </c>
      <c r="I108" s="19">
        <v>0</v>
      </c>
      <c r="J108" s="1"/>
      <c r="K108" s="1"/>
      <c r="L108" s="15">
        <v>0.5</v>
      </c>
      <c r="M108" s="15">
        <v>-1</v>
      </c>
      <c r="N108" s="15">
        <v>-1.5</v>
      </c>
      <c r="Q108" s="20" t="s">
        <v>75</v>
      </c>
      <c r="R108" s="20">
        <v>600</v>
      </c>
    </row>
    <row r="109" spans="1:18" x14ac:dyDescent="0.25">
      <c r="A109" s="23"/>
      <c r="B109" s="23"/>
      <c r="C109" s="23"/>
      <c r="D109" s="24"/>
      <c r="E109" s="24"/>
      <c r="F109" s="22"/>
      <c r="G109" s="22"/>
      <c r="H109" s="22"/>
      <c r="I109" s="22"/>
      <c r="J109" s="24"/>
      <c r="K109" s="24"/>
      <c r="L109" s="24"/>
      <c r="M109" s="24"/>
      <c r="N109" s="24"/>
      <c r="O109" s="24"/>
      <c r="P109" s="24"/>
      <c r="Q109" s="22"/>
      <c r="R109" s="22"/>
    </row>
    <row r="110" spans="1:18" x14ac:dyDescent="0.25">
      <c r="A110" s="14" t="s">
        <v>0</v>
      </c>
      <c r="B110" s="6" t="s">
        <v>15</v>
      </c>
      <c r="C110" s="6">
        <v>0</v>
      </c>
      <c r="D110" s="24"/>
      <c r="E110" s="24"/>
      <c r="F110" s="22"/>
      <c r="G110" s="22"/>
      <c r="H110" s="22"/>
      <c r="I110" s="22"/>
      <c r="J110" s="24"/>
      <c r="K110" s="24"/>
      <c r="L110" s="24"/>
      <c r="M110" s="24"/>
      <c r="N110" s="24"/>
      <c r="O110" s="24"/>
      <c r="P110" s="24"/>
      <c r="Q110" s="22"/>
      <c r="R110" s="22"/>
    </row>
    <row r="111" spans="1:18" x14ac:dyDescent="0.25">
      <c r="A111" s="6" t="s">
        <v>2</v>
      </c>
      <c r="B111" s="6" t="s">
        <v>15</v>
      </c>
      <c r="C111" s="6">
        <v>0</v>
      </c>
      <c r="D111" s="24"/>
      <c r="E111" s="24"/>
      <c r="F111" s="22"/>
      <c r="G111" s="23"/>
      <c r="H111" s="22"/>
      <c r="I111" s="22"/>
      <c r="J111" s="24"/>
      <c r="K111" s="24"/>
      <c r="L111" s="24"/>
      <c r="M111" s="24"/>
      <c r="N111" s="24"/>
      <c r="O111" s="24"/>
      <c r="P111" s="24"/>
      <c r="Q111" s="22"/>
      <c r="R111" s="22"/>
    </row>
    <row r="112" spans="1:18" x14ac:dyDescent="0.25">
      <c r="A112" s="1" t="s">
        <v>75</v>
      </c>
      <c r="B112" s="1" t="s">
        <v>15</v>
      </c>
      <c r="C112" s="1">
        <v>600</v>
      </c>
    </row>
    <row r="113" spans="1:18" x14ac:dyDescent="0.25">
      <c r="A113" s="1" t="s">
        <v>38</v>
      </c>
      <c r="C113" s="8" t="s">
        <v>111</v>
      </c>
    </row>
    <row r="114" spans="1:18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</row>
    <row r="115" spans="1:18" x14ac:dyDescent="0.25">
      <c r="A115" t="s">
        <v>102</v>
      </c>
      <c r="F115" t="s">
        <v>90</v>
      </c>
      <c r="L115" t="s">
        <v>91</v>
      </c>
      <c r="Q115" t="s">
        <v>96</v>
      </c>
    </row>
    <row r="116" spans="1:18" x14ac:dyDescent="0.25">
      <c r="A116" s="1" t="s">
        <v>74</v>
      </c>
      <c r="B116" s="1" t="s">
        <v>15</v>
      </c>
      <c r="C116" s="1">
        <v>1200</v>
      </c>
      <c r="F116" s="19">
        <v>2</v>
      </c>
      <c r="G116" s="19">
        <v>3</v>
      </c>
      <c r="H116" s="19">
        <v>2</v>
      </c>
      <c r="I116" s="19">
        <v>1200</v>
      </c>
      <c r="J116" s="1"/>
      <c r="K116" s="1"/>
      <c r="L116" s="15" cm="1">
        <f t="array" ref="L116:N118">MINVERSE(F116:H118)</f>
        <v>0</v>
      </c>
      <c r="M116" s="15">
        <v>1</v>
      </c>
      <c r="N116" s="15">
        <v>0</v>
      </c>
      <c r="Q116" s="20" t="s">
        <v>0</v>
      </c>
      <c r="R116" s="20" cm="1">
        <f t="array" ref="R116:R118">MMULT(_xlfn.ANCHORARRAY(L116),I116:I118)</f>
        <v>0</v>
      </c>
    </row>
    <row r="117" spans="1:18" x14ac:dyDescent="0.25">
      <c r="A117" s="1" t="s">
        <v>0</v>
      </c>
      <c r="B117" s="1" t="s">
        <v>15</v>
      </c>
      <c r="C117" s="1">
        <v>0</v>
      </c>
      <c r="F117" s="19">
        <v>1</v>
      </c>
      <c r="G117" s="19">
        <v>0</v>
      </c>
      <c r="H117" s="19">
        <v>0</v>
      </c>
      <c r="I117" s="19">
        <v>0</v>
      </c>
      <c r="J117" s="1"/>
      <c r="K117" s="1"/>
      <c r="L117" s="15">
        <v>0.33333333333333331</v>
      </c>
      <c r="M117" s="15">
        <v>-0.66666666666666663</v>
      </c>
      <c r="N117" s="15">
        <v>-0.66666666666666663</v>
      </c>
      <c r="Q117" s="20" t="s">
        <v>2</v>
      </c>
      <c r="R117" s="20">
        <v>400</v>
      </c>
    </row>
    <row r="118" spans="1:18" x14ac:dyDescent="0.25">
      <c r="A118" s="1" t="s">
        <v>75</v>
      </c>
      <c r="B118" s="1" t="s">
        <v>15</v>
      </c>
      <c r="C118" s="1">
        <v>0</v>
      </c>
      <c r="F118" s="19">
        <v>0</v>
      </c>
      <c r="G118" s="15">
        <v>0</v>
      </c>
      <c r="H118" s="19">
        <v>1</v>
      </c>
      <c r="I118" s="19">
        <v>0</v>
      </c>
      <c r="J118" s="1"/>
      <c r="K118" s="1"/>
      <c r="L118" s="15">
        <v>0</v>
      </c>
      <c r="M118" s="15">
        <v>0</v>
      </c>
      <c r="N118" s="15">
        <v>1</v>
      </c>
      <c r="Q118" s="20" t="s">
        <v>75</v>
      </c>
      <c r="R118" s="20">
        <v>0</v>
      </c>
    </row>
    <row r="119" spans="1:18" x14ac:dyDescent="0.25">
      <c r="A119" s="23"/>
      <c r="B119" s="23"/>
      <c r="C119" s="23"/>
    </row>
    <row r="120" spans="1:18" x14ac:dyDescent="0.25">
      <c r="A120" s="14" t="s">
        <v>0</v>
      </c>
      <c r="B120" s="6" t="s">
        <v>15</v>
      </c>
      <c r="C120" s="6">
        <v>0</v>
      </c>
    </row>
    <row r="121" spans="1:18" x14ac:dyDescent="0.25">
      <c r="A121" s="6" t="s">
        <v>2</v>
      </c>
      <c r="B121" s="6" t="s">
        <v>15</v>
      </c>
      <c r="C121" s="6">
        <v>400</v>
      </c>
    </row>
    <row r="122" spans="1:18" x14ac:dyDescent="0.25">
      <c r="A122" s="1" t="s">
        <v>75</v>
      </c>
      <c r="B122" s="1" t="s">
        <v>15</v>
      </c>
      <c r="C122" s="1">
        <v>0</v>
      </c>
    </row>
    <row r="123" spans="1:18" x14ac:dyDescent="0.25">
      <c r="A123" s="1" t="s">
        <v>38</v>
      </c>
      <c r="C123" s="8" t="s">
        <v>112</v>
      </c>
    </row>
    <row r="124" spans="1:18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</row>
    <row r="125" spans="1:18" x14ac:dyDescent="0.25">
      <c r="A125" t="s">
        <v>103</v>
      </c>
      <c r="F125" t="s">
        <v>90</v>
      </c>
      <c r="L125" t="s">
        <v>91</v>
      </c>
      <c r="Q125" t="s">
        <v>96</v>
      </c>
    </row>
    <row r="126" spans="1:18" x14ac:dyDescent="0.25">
      <c r="A126" s="1" t="s">
        <v>74</v>
      </c>
      <c r="B126" s="1" t="s">
        <v>15</v>
      </c>
      <c r="C126" s="1">
        <v>1200</v>
      </c>
      <c r="F126" s="19">
        <v>2</v>
      </c>
      <c r="G126" s="19">
        <v>3</v>
      </c>
      <c r="H126" s="19">
        <v>2</v>
      </c>
      <c r="I126" s="19">
        <v>1200</v>
      </c>
      <c r="J126" s="1"/>
      <c r="K126" s="1"/>
      <c r="L126" s="15" cm="1">
        <f t="array" ref="L126:N128">MINVERSE(F126:H128)</f>
        <v>0.5</v>
      </c>
      <c r="M126" s="15">
        <v>-1.5</v>
      </c>
      <c r="N126" s="15">
        <v>-1</v>
      </c>
      <c r="Q126" s="20" t="s">
        <v>0</v>
      </c>
      <c r="R126" s="20" cm="1">
        <f t="array" ref="R126:R128">MMULT(_xlfn.ANCHORARRAY(L126),I126:I128)</f>
        <v>600</v>
      </c>
    </row>
    <row r="127" spans="1:18" x14ac:dyDescent="0.25">
      <c r="A127" s="1" t="s">
        <v>2</v>
      </c>
      <c r="B127" s="1" t="s">
        <v>15</v>
      </c>
      <c r="C127" s="1">
        <v>0</v>
      </c>
      <c r="F127" s="19">
        <v>0</v>
      </c>
      <c r="G127" s="19">
        <v>1</v>
      </c>
      <c r="H127" s="19">
        <v>0</v>
      </c>
      <c r="I127" s="19">
        <v>0</v>
      </c>
      <c r="J127" s="1"/>
      <c r="K127" s="1"/>
      <c r="L127" s="15">
        <v>0</v>
      </c>
      <c r="M127" s="15">
        <v>1</v>
      </c>
      <c r="N127" s="15">
        <v>0</v>
      </c>
      <c r="Q127" s="20" t="s">
        <v>2</v>
      </c>
      <c r="R127" s="20">
        <v>0</v>
      </c>
    </row>
    <row r="128" spans="1:18" x14ac:dyDescent="0.25">
      <c r="A128" s="1" t="s">
        <v>75</v>
      </c>
      <c r="B128" s="1" t="s">
        <v>15</v>
      </c>
      <c r="C128" s="1">
        <v>0</v>
      </c>
      <c r="F128" s="19">
        <v>0</v>
      </c>
      <c r="G128" s="15">
        <v>0</v>
      </c>
      <c r="H128" s="19">
        <v>1</v>
      </c>
      <c r="I128" s="19">
        <v>0</v>
      </c>
      <c r="J128" s="1"/>
      <c r="K128" s="1"/>
      <c r="L128" s="15">
        <v>0</v>
      </c>
      <c r="M128" s="15">
        <v>0</v>
      </c>
      <c r="N128" s="15">
        <v>1</v>
      </c>
      <c r="Q128" s="20" t="s">
        <v>75</v>
      </c>
      <c r="R128" s="20">
        <v>0</v>
      </c>
    </row>
    <row r="129" spans="1:18" x14ac:dyDescent="0.25">
      <c r="A129" s="23"/>
      <c r="B129" s="23"/>
      <c r="C129" s="23"/>
    </row>
    <row r="130" spans="1:18" x14ac:dyDescent="0.25">
      <c r="A130" s="14" t="s">
        <v>0</v>
      </c>
      <c r="B130" s="6" t="s">
        <v>15</v>
      </c>
      <c r="C130" s="6">
        <v>600</v>
      </c>
    </row>
    <row r="131" spans="1:18" x14ac:dyDescent="0.25">
      <c r="A131" s="6" t="s">
        <v>2</v>
      </c>
      <c r="B131" s="6" t="s">
        <v>15</v>
      </c>
      <c r="C131" s="6">
        <v>0</v>
      </c>
    </row>
    <row r="132" spans="1:18" x14ac:dyDescent="0.25">
      <c r="A132" s="1" t="s">
        <v>75</v>
      </c>
      <c r="B132" s="1" t="s">
        <v>15</v>
      </c>
      <c r="C132" s="1">
        <v>0</v>
      </c>
    </row>
    <row r="133" spans="1:18" x14ac:dyDescent="0.25">
      <c r="A133" s="1" t="s">
        <v>38</v>
      </c>
      <c r="C133" s="8" t="s">
        <v>113</v>
      </c>
    </row>
    <row r="134" spans="1:18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</row>
    <row r="135" spans="1:18" x14ac:dyDescent="0.25">
      <c r="A135" t="s">
        <v>104</v>
      </c>
      <c r="F135" s="1" t="s">
        <v>90</v>
      </c>
      <c r="G135" s="1"/>
      <c r="H135" s="1"/>
      <c r="I135" s="1"/>
      <c r="J135" s="1"/>
      <c r="K135" s="1"/>
      <c r="L135" s="4" t="s">
        <v>91</v>
      </c>
      <c r="M135" s="1"/>
      <c r="N135" s="1"/>
      <c r="Q135" t="s">
        <v>96</v>
      </c>
    </row>
    <row r="136" spans="1:18" x14ac:dyDescent="0.25">
      <c r="A136" s="1" t="s">
        <v>0</v>
      </c>
      <c r="B136" s="1" t="s">
        <v>15</v>
      </c>
      <c r="C136" s="1">
        <v>0</v>
      </c>
      <c r="F136" s="19">
        <v>1</v>
      </c>
      <c r="G136" s="19">
        <v>0</v>
      </c>
      <c r="H136" s="19">
        <v>0</v>
      </c>
      <c r="I136" s="19">
        <v>0</v>
      </c>
      <c r="J136" s="1"/>
      <c r="K136" s="1"/>
      <c r="L136" s="15" cm="1">
        <f t="array" ref="L136:N138">MINVERSE(F136:H138)</f>
        <v>1</v>
      </c>
      <c r="M136" s="15">
        <v>0</v>
      </c>
      <c r="N136" s="15">
        <v>0</v>
      </c>
      <c r="Q136" s="20" t="s">
        <v>0</v>
      </c>
      <c r="R136" s="20" cm="1">
        <f t="array" ref="R136:R138">MMULT(_xlfn.ANCHORARRAY(L136),I136:I138)</f>
        <v>0</v>
      </c>
    </row>
    <row r="137" spans="1:18" x14ac:dyDescent="0.25">
      <c r="A137" s="1" t="s">
        <v>2</v>
      </c>
      <c r="B137" s="1" t="s">
        <v>15</v>
      </c>
      <c r="C137" s="1">
        <v>0</v>
      </c>
      <c r="F137" s="19">
        <v>0</v>
      </c>
      <c r="G137" s="19">
        <v>1</v>
      </c>
      <c r="H137" s="19">
        <v>0</v>
      </c>
      <c r="I137" s="19">
        <v>0</v>
      </c>
      <c r="J137" s="1"/>
      <c r="K137" s="1"/>
      <c r="L137" s="15">
        <v>0</v>
      </c>
      <c r="M137" s="15">
        <v>1</v>
      </c>
      <c r="N137" s="15">
        <v>0</v>
      </c>
      <c r="Q137" s="20" t="s">
        <v>2</v>
      </c>
      <c r="R137" s="20">
        <v>0</v>
      </c>
    </row>
    <row r="138" spans="1:18" x14ac:dyDescent="0.25">
      <c r="A138" s="1" t="s">
        <v>75</v>
      </c>
      <c r="B138" s="1" t="s">
        <v>15</v>
      </c>
      <c r="C138" s="1">
        <v>0</v>
      </c>
      <c r="F138" s="19">
        <v>0</v>
      </c>
      <c r="G138" s="15">
        <v>0</v>
      </c>
      <c r="H138" s="19">
        <v>1</v>
      </c>
      <c r="I138" s="19">
        <v>0</v>
      </c>
      <c r="J138" s="1"/>
      <c r="K138" s="1"/>
      <c r="L138" s="15">
        <v>0</v>
      </c>
      <c r="M138" s="15">
        <v>0</v>
      </c>
      <c r="N138" s="15">
        <v>1</v>
      </c>
      <c r="Q138" s="20" t="s">
        <v>75</v>
      </c>
      <c r="R138" s="20">
        <v>0</v>
      </c>
    </row>
    <row r="140" spans="1:18" x14ac:dyDescent="0.25">
      <c r="A140" s="14" t="s">
        <v>0</v>
      </c>
      <c r="B140" s="6" t="s">
        <v>15</v>
      </c>
      <c r="C140" s="6">
        <v>0</v>
      </c>
    </row>
    <row r="141" spans="1:18" x14ac:dyDescent="0.25">
      <c r="A141" s="6" t="s">
        <v>2</v>
      </c>
      <c r="B141" s="6" t="s">
        <v>15</v>
      </c>
      <c r="C141" s="6">
        <v>0</v>
      </c>
    </row>
    <row r="142" spans="1:18" x14ac:dyDescent="0.25">
      <c r="A142" s="1" t="s">
        <v>75</v>
      </c>
      <c r="B142" s="1" t="s">
        <v>15</v>
      </c>
      <c r="C142" s="1">
        <v>0</v>
      </c>
    </row>
    <row r="143" spans="1:18" x14ac:dyDescent="0.25">
      <c r="A143" s="1" t="s">
        <v>38</v>
      </c>
      <c r="C143" s="8" t="s">
        <v>114</v>
      </c>
    </row>
    <row r="144" spans="1:18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</row>
    <row r="146" spans="1:3" x14ac:dyDescent="0.25">
      <c r="A146" s="2" t="s">
        <v>65</v>
      </c>
    </row>
    <row r="147" spans="1:3" x14ac:dyDescent="0.25">
      <c r="A147" s="11" t="s">
        <v>115</v>
      </c>
    </row>
    <row r="149" spans="1:3" x14ac:dyDescent="0.25">
      <c r="A149" s="27" t="s">
        <v>116</v>
      </c>
    </row>
    <row r="150" spans="1:3" x14ac:dyDescent="0.25">
      <c r="A150" s="1">
        <v>800</v>
      </c>
      <c r="B150" s="1" t="s">
        <v>6</v>
      </c>
      <c r="C150" s="1">
        <v>800</v>
      </c>
    </row>
    <row r="151" spans="1:3" x14ac:dyDescent="0.25">
      <c r="A151" s="1">
        <v>1200</v>
      </c>
      <c r="B151" s="1" t="s">
        <v>6</v>
      </c>
      <c r="C151" s="1">
        <v>1200</v>
      </c>
    </row>
    <row r="152" spans="1:3" x14ac:dyDescent="0.25">
      <c r="A152" s="1">
        <v>200</v>
      </c>
      <c r="B152" s="1" t="s">
        <v>8</v>
      </c>
      <c r="C152" s="1">
        <v>0</v>
      </c>
    </row>
    <row r="153" spans="1:3" x14ac:dyDescent="0.25">
      <c r="A153" s="1">
        <v>0</v>
      </c>
      <c r="B153" s="1" t="s">
        <v>8</v>
      </c>
      <c r="C153" s="1">
        <v>0</v>
      </c>
    </row>
    <row r="154" spans="1:3" x14ac:dyDescent="0.25">
      <c r="A154" s="1">
        <v>400</v>
      </c>
      <c r="B154" s="1" t="s">
        <v>8</v>
      </c>
      <c r="C154" s="1">
        <v>0</v>
      </c>
    </row>
    <row r="156" spans="1:3" x14ac:dyDescent="0.25">
      <c r="A156" s="27" t="s">
        <v>117</v>
      </c>
    </row>
    <row r="157" spans="1:3" x14ac:dyDescent="0.25">
      <c r="A157" s="28">
        <v>800</v>
      </c>
      <c r="B157" s="28" t="s">
        <v>6</v>
      </c>
      <c r="C157" s="28">
        <v>800</v>
      </c>
    </row>
    <row r="158" spans="1:3" x14ac:dyDescent="0.25">
      <c r="A158" s="28">
        <v>1200</v>
      </c>
      <c r="B158" s="28" t="s">
        <v>6</v>
      </c>
      <c r="C158" s="28">
        <v>1200</v>
      </c>
    </row>
    <row r="159" spans="1:3" x14ac:dyDescent="0.25">
      <c r="A159" s="28">
        <v>300</v>
      </c>
      <c r="B159" s="28" t="s">
        <v>8</v>
      </c>
      <c r="C159" s="28">
        <v>0</v>
      </c>
    </row>
    <row r="160" spans="1:3" x14ac:dyDescent="0.25">
      <c r="A160" s="28">
        <v>200</v>
      </c>
      <c r="B160" s="28" t="s">
        <v>8</v>
      </c>
      <c r="C160" s="28">
        <v>0</v>
      </c>
    </row>
    <row r="161" spans="1:3" x14ac:dyDescent="0.25">
      <c r="A161" s="28">
        <v>0</v>
      </c>
      <c r="B161" s="28" t="s">
        <v>8</v>
      </c>
      <c r="C161" s="28">
        <v>0</v>
      </c>
    </row>
    <row r="163" spans="1:3" x14ac:dyDescent="0.25">
      <c r="A163" s="11" t="s">
        <v>118</v>
      </c>
    </row>
    <row r="164" spans="1:3" x14ac:dyDescent="0.25">
      <c r="A164" s="28">
        <v>800</v>
      </c>
      <c r="B164" s="28" t="s">
        <v>6</v>
      </c>
      <c r="C164" s="28">
        <v>800</v>
      </c>
    </row>
    <row r="165" spans="1:3" x14ac:dyDescent="0.25">
      <c r="A165" s="29">
        <v>1600</v>
      </c>
      <c r="B165" s="29" t="s">
        <v>6</v>
      </c>
      <c r="C165" s="29">
        <v>1200</v>
      </c>
    </row>
    <row r="166" spans="1:3" x14ac:dyDescent="0.25">
      <c r="A166" s="28">
        <v>0</v>
      </c>
      <c r="B166" s="28" t="s">
        <v>8</v>
      </c>
      <c r="C166" s="28">
        <v>0</v>
      </c>
    </row>
    <row r="167" spans="1:3" x14ac:dyDescent="0.25">
      <c r="A167" s="28">
        <v>0</v>
      </c>
      <c r="B167" s="28" t="s">
        <v>8</v>
      </c>
      <c r="C167" s="28">
        <v>0</v>
      </c>
    </row>
    <row r="168" spans="1:3" x14ac:dyDescent="0.25">
      <c r="A168" s="28">
        <v>800</v>
      </c>
      <c r="B168" s="28" t="s">
        <v>8</v>
      </c>
      <c r="C168" s="28">
        <v>0</v>
      </c>
    </row>
    <row r="170" spans="1:3" x14ac:dyDescent="0.25">
      <c r="A170" s="11" t="s">
        <v>119</v>
      </c>
    </row>
    <row r="171" spans="1:3" x14ac:dyDescent="0.25">
      <c r="A171" s="28">
        <v>800</v>
      </c>
      <c r="B171" s="28" t="s">
        <v>6</v>
      </c>
      <c r="C171" s="28">
        <v>800</v>
      </c>
    </row>
    <row r="172" spans="1:3" x14ac:dyDescent="0.25">
      <c r="A172" s="29">
        <v>2400</v>
      </c>
      <c r="B172" s="29" t="s">
        <v>6</v>
      </c>
      <c r="C172" s="29">
        <v>1200</v>
      </c>
    </row>
    <row r="173" spans="1:3" x14ac:dyDescent="0.25">
      <c r="A173" s="28">
        <v>0</v>
      </c>
      <c r="B173" s="28" t="s">
        <v>8</v>
      </c>
      <c r="C173" s="28">
        <v>0</v>
      </c>
    </row>
    <row r="174" spans="1:3" x14ac:dyDescent="0.25">
      <c r="A174" s="28">
        <v>800</v>
      </c>
      <c r="B174" s="28" t="s">
        <v>8</v>
      </c>
      <c r="C174" s="28">
        <v>0</v>
      </c>
    </row>
    <row r="175" spans="1:3" x14ac:dyDescent="0.25">
      <c r="A175" s="28">
        <v>0</v>
      </c>
      <c r="B175" s="28" t="s">
        <v>8</v>
      </c>
      <c r="C175" s="28">
        <v>0</v>
      </c>
    </row>
    <row r="177" spans="1:3" x14ac:dyDescent="0.25">
      <c r="A177" s="27" t="s">
        <v>120</v>
      </c>
    </row>
    <row r="178" spans="1:3" x14ac:dyDescent="0.25">
      <c r="A178" s="28">
        <v>800</v>
      </c>
      <c r="B178" s="28" t="s">
        <v>6</v>
      </c>
      <c r="C178" s="28">
        <v>800</v>
      </c>
    </row>
    <row r="179" spans="1:3" x14ac:dyDescent="0.25">
      <c r="A179" s="28">
        <v>800</v>
      </c>
      <c r="B179" s="28" t="s">
        <v>6</v>
      </c>
      <c r="C179" s="28">
        <v>1200</v>
      </c>
    </row>
    <row r="180" spans="1:3" x14ac:dyDescent="0.25">
      <c r="A180" s="28">
        <v>400</v>
      </c>
      <c r="B180" s="28" t="s">
        <v>8</v>
      </c>
      <c r="C180" s="28">
        <v>0</v>
      </c>
    </row>
    <row r="181" spans="1:3" x14ac:dyDescent="0.25">
      <c r="A181" s="28">
        <v>0</v>
      </c>
      <c r="B181" s="28" t="s">
        <v>8</v>
      </c>
      <c r="C181" s="28">
        <v>0</v>
      </c>
    </row>
    <row r="182" spans="1:3" x14ac:dyDescent="0.25">
      <c r="A182" s="28">
        <v>0</v>
      </c>
      <c r="B182" s="28" t="s">
        <v>8</v>
      </c>
      <c r="C182" s="28">
        <v>0</v>
      </c>
    </row>
    <row r="184" spans="1:3" x14ac:dyDescent="0.25">
      <c r="A184" s="27" t="s">
        <v>121</v>
      </c>
    </row>
    <row r="185" spans="1:3" x14ac:dyDescent="0.25">
      <c r="A185" s="28">
        <v>600</v>
      </c>
      <c r="B185" s="28" t="s">
        <v>6</v>
      </c>
      <c r="C185" s="28">
        <v>800</v>
      </c>
    </row>
    <row r="186" spans="1:3" x14ac:dyDescent="0.25">
      <c r="A186" s="28">
        <v>1200</v>
      </c>
      <c r="B186" s="28" t="s">
        <v>6</v>
      </c>
      <c r="C186" s="28">
        <v>1200</v>
      </c>
    </row>
    <row r="187" spans="1:3" x14ac:dyDescent="0.25">
      <c r="A187" s="28">
        <v>0</v>
      </c>
      <c r="B187" s="28" t="s">
        <v>8</v>
      </c>
      <c r="C187" s="28">
        <v>0</v>
      </c>
    </row>
    <row r="188" spans="1:3" x14ac:dyDescent="0.25">
      <c r="A188" s="28">
        <v>0</v>
      </c>
      <c r="B188" s="28" t="s">
        <v>8</v>
      </c>
      <c r="C188" s="28">
        <v>0</v>
      </c>
    </row>
    <row r="189" spans="1:3" x14ac:dyDescent="0.25">
      <c r="A189" s="28">
        <v>600</v>
      </c>
      <c r="B189" s="28" t="s">
        <v>8</v>
      </c>
      <c r="C189" s="28">
        <v>0</v>
      </c>
    </row>
    <row r="191" spans="1:3" x14ac:dyDescent="0.25">
      <c r="A191" s="27" t="s">
        <v>122</v>
      </c>
    </row>
    <row r="192" spans="1:3" x14ac:dyDescent="0.25">
      <c r="A192" s="28">
        <v>400</v>
      </c>
      <c r="B192" s="28" t="s">
        <v>6</v>
      </c>
      <c r="C192" s="28">
        <v>800</v>
      </c>
    </row>
    <row r="193" spans="1:3" x14ac:dyDescent="0.25">
      <c r="A193" s="28">
        <v>1200</v>
      </c>
      <c r="B193" s="28" t="s">
        <v>6</v>
      </c>
      <c r="C193" s="28">
        <v>1200</v>
      </c>
    </row>
    <row r="194" spans="1:3" x14ac:dyDescent="0.25">
      <c r="A194" s="28">
        <v>0</v>
      </c>
      <c r="B194" s="28" t="s">
        <v>8</v>
      </c>
      <c r="C194" s="28">
        <v>0</v>
      </c>
    </row>
    <row r="195" spans="1:3" x14ac:dyDescent="0.25">
      <c r="A195" s="28">
        <v>400</v>
      </c>
      <c r="B195" s="28" t="s">
        <v>8</v>
      </c>
      <c r="C195" s="28">
        <v>0</v>
      </c>
    </row>
    <row r="196" spans="1:3" x14ac:dyDescent="0.25">
      <c r="A196" s="28">
        <v>0</v>
      </c>
      <c r="B196" s="28" t="s">
        <v>8</v>
      </c>
      <c r="C196" s="28">
        <v>0</v>
      </c>
    </row>
    <row r="198" spans="1:3" x14ac:dyDescent="0.25">
      <c r="A198" s="11" t="s">
        <v>123</v>
      </c>
    </row>
    <row r="199" spans="1:3" x14ac:dyDescent="0.25">
      <c r="A199" s="29">
        <v>1200</v>
      </c>
      <c r="B199" s="29" t="s">
        <v>6</v>
      </c>
      <c r="C199" s="29">
        <v>800</v>
      </c>
    </row>
    <row r="200" spans="1:3" x14ac:dyDescent="0.25">
      <c r="A200" s="28">
        <v>1200</v>
      </c>
      <c r="B200" s="28" t="s">
        <v>6</v>
      </c>
      <c r="C200" s="28">
        <v>1200</v>
      </c>
    </row>
    <row r="201" spans="1:3" x14ac:dyDescent="0.25">
      <c r="A201" s="28">
        <v>600</v>
      </c>
      <c r="B201" s="28" t="s">
        <v>8</v>
      </c>
      <c r="C201" s="28">
        <v>0</v>
      </c>
    </row>
    <row r="202" spans="1:3" x14ac:dyDescent="0.25">
      <c r="A202" s="28">
        <v>0</v>
      </c>
      <c r="B202" s="28" t="s">
        <v>8</v>
      </c>
      <c r="C202" s="28">
        <v>0</v>
      </c>
    </row>
    <row r="203" spans="1:3" x14ac:dyDescent="0.25">
      <c r="A203" s="28" t="s">
        <v>75</v>
      </c>
      <c r="B203" s="28" t="s">
        <v>8</v>
      </c>
      <c r="C203" s="28">
        <v>0</v>
      </c>
    </row>
    <row r="205" spans="1:3" x14ac:dyDescent="0.25">
      <c r="A205" s="27" t="s">
        <v>124</v>
      </c>
    </row>
    <row r="206" spans="1:3" x14ac:dyDescent="0.25">
      <c r="A206" s="28">
        <v>0</v>
      </c>
      <c r="B206" s="28" t="s">
        <v>6</v>
      </c>
      <c r="C206" s="28">
        <v>800</v>
      </c>
    </row>
    <row r="207" spans="1:3" x14ac:dyDescent="0.25">
      <c r="A207" s="28">
        <v>0</v>
      </c>
      <c r="B207" s="28" t="s">
        <v>6</v>
      </c>
      <c r="C207" s="28">
        <v>1200</v>
      </c>
    </row>
    <row r="208" spans="1:3" x14ac:dyDescent="0.25">
      <c r="A208" s="28">
        <v>0</v>
      </c>
      <c r="B208" s="28" t="s">
        <v>8</v>
      </c>
      <c r="C208" s="28">
        <v>0</v>
      </c>
    </row>
    <row r="209" spans="1:6" x14ac:dyDescent="0.25">
      <c r="A209" s="28">
        <v>0</v>
      </c>
      <c r="B209" s="28" t="s">
        <v>8</v>
      </c>
      <c r="C209" s="28">
        <v>0</v>
      </c>
    </row>
    <row r="210" spans="1:6" x14ac:dyDescent="0.25">
      <c r="A210" s="28">
        <v>0</v>
      </c>
      <c r="B210" s="28" t="s">
        <v>8</v>
      </c>
      <c r="C210" s="28">
        <v>0</v>
      </c>
    </row>
    <row r="212" spans="1:6" x14ac:dyDescent="0.25">
      <c r="A212" s="2" t="s">
        <v>125</v>
      </c>
      <c r="D212" s="1" t="s">
        <v>0</v>
      </c>
      <c r="E212" s="1" t="s">
        <v>2</v>
      </c>
      <c r="F212" s="1" t="s">
        <v>75</v>
      </c>
    </row>
    <row r="213" spans="1:6" x14ac:dyDescent="0.25">
      <c r="A213" t="s">
        <v>126</v>
      </c>
      <c r="B213" s="28" t="s">
        <v>132</v>
      </c>
      <c r="C213" s="1">
        <f>6*D213+6*E213+4*F213</f>
        <v>2800</v>
      </c>
      <c r="D213" s="1">
        <v>200</v>
      </c>
      <c r="E213" s="1">
        <v>0</v>
      </c>
      <c r="F213" s="1">
        <v>400</v>
      </c>
    </row>
    <row r="214" spans="1:6" x14ac:dyDescent="0.25">
      <c r="A214" t="s">
        <v>127</v>
      </c>
      <c r="B214" s="28" t="s">
        <v>132</v>
      </c>
      <c r="C214" s="30">
        <f t="shared" ref="C214:C218" si="0">6*D214+6*E214+4*F214</f>
        <v>3000</v>
      </c>
      <c r="D214" s="1">
        <v>300</v>
      </c>
      <c r="E214" s="1">
        <v>200</v>
      </c>
      <c r="F214" s="1">
        <v>0</v>
      </c>
    </row>
    <row r="215" spans="1:6" x14ac:dyDescent="0.25">
      <c r="A215" t="s">
        <v>128</v>
      </c>
      <c r="B215" s="28" t="s">
        <v>132</v>
      </c>
      <c r="C215" s="1">
        <f t="shared" si="0"/>
        <v>2400</v>
      </c>
      <c r="D215" s="1">
        <v>400</v>
      </c>
      <c r="E215" s="1">
        <v>0</v>
      </c>
      <c r="F215" s="1">
        <v>0</v>
      </c>
    </row>
    <row r="216" spans="1:6" x14ac:dyDescent="0.25">
      <c r="A216" t="s">
        <v>129</v>
      </c>
      <c r="B216" s="28" t="s">
        <v>132</v>
      </c>
      <c r="C216" s="1">
        <f t="shared" si="0"/>
        <v>2400</v>
      </c>
      <c r="D216" s="1">
        <v>0</v>
      </c>
      <c r="E216" s="1">
        <v>0</v>
      </c>
      <c r="F216" s="1">
        <v>600</v>
      </c>
    </row>
    <row r="217" spans="1:6" x14ac:dyDescent="0.25">
      <c r="A217" t="s">
        <v>130</v>
      </c>
      <c r="B217" s="28" t="s">
        <v>132</v>
      </c>
      <c r="C217" s="1">
        <f t="shared" si="0"/>
        <v>2400</v>
      </c>
      <c r="D217" s="1">
        <v>0</v>
      </c>
      <c r="E217" s="1">
        <v>400</v>
      </c>
      <c r="F217" s="1">
        <v>0</v>
      </c>
    </row>
    <row r="218" spans="1:6" x14ac:dyDescent="0.25">
      <c r="A218" t="s">
        <v>131</v>
      </c>
      <c r="B218" s="28" t="s">
        <v>132</v>
      </c>
      <c r="C218" s="1">
        <f t="shared" si="0"/>
        <v>0</v>
      </c>
      <c r="D218" s="1">
        <v>0</v>
      </c>
      <c r="E218" s="1">
        <v>0</v>
      </c>
      <c r="F218" s="1">
        <v>0</v>
      </c>
    </row>
    <row r="219" spans="1:6" x14ac:dyDescent="0.25">
      <c r="A219" s="4" t="s">
        <v>133</v>
      </c>
    </row>
    <row r="222" spans="1:6" x14ac:dyDescent="0.25">
      <c r="A222" s="12" t="s">
        <v>66</v>
      </c>
    </row>
    <row r="223" spans="1:6" x14ac:dyDescent="0.25">
      <c r="A223" t="s">
        <v>67</v>
      </c>
    </row>
    <row r="224" spans="1:6" x14ac:dyDescent="0.25">
      <c r="A224" t="s">
        <v>135</v>
      </c>
    </row>
    <row r="225" spans="1:2" x14ac:dyDescent="0.25">
      <c r="A225" t="s">
        <v>136</v>
      </c>
      <c r="B225" t="s">
        <v>141</v>
      </c>
    </row>
    <row r="226" spans="1:2" x14ac:dyDescent="0.25">
      <c r="A226" t="s">
        <v>137</v>
      </c>
    </row>
    <row r="227" spans="1:2" x14ac:dyDescent="0.25">
      <c r="A227" t="s">
        <v>138</v>
      </c>
    </row>
    <row r="228" spans="1:2" x14ac:dyDescent="0.25">
      <c r="A228" t="s">
        <v>139</v>
      </c>
    </row>
    <row r="229" spans="1:2" x14ac:dyDescent="0.25">
      <c r="A229" t="s">
        <v>140</v>
      </c>
    </row>
    <row r="232" spans="1:2" x14ac:dyDescent="0.25">
      <c r="A232" s="2" t="s">
        <v>142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2.3</vt:lpstr>
      <vt:lpstr>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2025-09-30T20:38:40Z</dcterms:modified>
</cp:coreProperties>
</file>