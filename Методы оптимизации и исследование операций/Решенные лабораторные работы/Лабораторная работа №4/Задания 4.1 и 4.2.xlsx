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me\Downloads\ОПТИМИЗАЦИЯ\Current\"/>
    </mc:Choice>
  </mc:AlternateContent>
  <xr:revisionPtr revIDLastSave="0" documentId="13_ncr:1_{65B14006-28FD-4AE1-A8AE-4A9CE3B8AC39}" xr6:coauthVersionLast="47" xr6:coauthVersionMax="47" xr10:uidLastSave="{00000000-0000-0000-0000-000000000000}"/>
  <bookViews>
    <workbookView xWindow="-120" yWindow="330" windowWidth="20730" windowHeight="11310" activeTab="1" xr2:uid="{00000000-000D-0000-FFFF-FFFF00000000}"/>
  </bookViews>
  <sheets>
    <sheet name="4.1" sheetId="2" r:id="rId1"/>
    <sheet name="4.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6" i="2" l="1"/>
  <c r="I95" i="2"/>
  <c r="I94" i="2"/>
  <c r="C98" i="2"/>
  <c r="D98" i="2"/>
  <c r="E98" i="2"/>
  <c r="F98" i="2"/>
  <c r="G98" i="2"/>
  <c r="H98" i="2"/>
  <c r="C96" i="2"/>
  <c r="D96" i="2"/>
  <c r="E96" i="2"/>
  <c r="F96" i="2"/>
  <c r="G96" i="2"/>
  <c r="H96" i="2"/>
  <c r="C97" i="2"/>
  <c r="D97" i="2"/>
  <c r="E97" i="2"/>
  <c r="F97" i="2"/>
  <c r="G97" i="2"/>
  <c r="H97" i="2"/>
  <c r="B98" i="2"/>
  <c r="B97" i="2"/>
  <c r="B96" i="2"/>
  <c r="C95" i="2"/>
  <c r="D95" i="2"/>
  <c r="E95" i="2"/>
  <c r="F95" i="2"/>
  <c r="G95" i="2"/>
  <c r="H95" i="2"/>
  <c r="B95" i="2"/>
  <c r="C94" i="2"/>
  <c r="D94" i="2"/>
  <c r="E94" i="2"/>
  <c r="F94" i="2"/>
  <c r="G94" i="2"/>
  <c r="H94" i="2"/>
  <c r="B94" i="2"/>
  <c r="I85" i="2"/>
  <c r="I84" i="2"/>
  <c r="I83" i="2"/>
  <c r="E87" i="2"/>
  <c r="F87" i="2"/>
  <c r="G87" i="2"/>
  <c r="H87" i="2"/>
  <c r="B87" i="2"/>
  <c r="C87" i="2"/>
  <c r="B86" i="2"/>
  <c r="C86" i="2"/>
  <c r="E86" i="2"/>
  <c r="F86" i="2"/>
  <c r="G86" i="2"/>
  <c r="H86" i="2"/>
  <c r="E85" i="2"/>
  <c r="F85" i="2"/>
  <c r="G85" i="2"/>
  <c r="H85" i="2"/>
  <c r="B85" i="2"/>
  <c r="C85" i="2"/>
  <c r="B84" i="2"/>
  <c r="C84" i="2"/>
  <c r="E84" i="2"/>
  <c r="F84" i="2"/>
  <c r="G84" i="2"/>
  <c r="H84" i="2"/>
  <c r="D87" i="2"/>
  <c r="D85" i="2"/>
  <c r="D86" i="2"/>
  <c r="D84" i="2"/>
  <c r="H83" i="2"/>
  <c r="G83" i="2"/>
  <c r="F83" i="2"/>
  <c r="E83" i="2"/>
  <c r="D83" i="2"/>
  <c r="C83" i="2"/>
  <c r="B83" i="2"/>
  <c r="I74" i="2"/>
  <c r="I73" i="2"/>
  <c r="I72" i="2"/>
  <c r="B74" i="2"/>
  <c r="C74" i="2"/>
  <c r="D74" i="2"/>
  <c r="F74" i="2"/>
  <c r="G74" i="2"/>
  <c r="H74" i="2"/>
  <c r="E74" i="2"/>
  <c r="F76" i="2"/>
  <c r="G76" i="2"/>
  <c r="H76" i="2"/>
  <c r="B76" i="2"/>
  <c r="C76" i="2"/>
  <c r="D76" i="2"/>
  <c r="F75" i="2"/>
  <c r="G75" i="2"/>
  <c r="H75" i="2"/>
  <c r="B75" i="2"/>
  <c r="C75" i="2"/>
  <c r="D75" i="2"/>
  <c r="B73" i="2"/>
  <c r="C73" i="2"/>
  <c r="D73" i="2"/>
  <c r="F73" i="2"/>
  <c r="G73" i="2"/>
  <c r="H73" i="2"/>
  <c r="E76" i="2"/>
  <c r="E73" i="2"/>
  <c r="E75" i="2"/>
  <c r="C72" i="2"/>
  <c r="D72" i="2"/>
  <c r="E72" i="2"/>
  <c r="F72" i="2"/>
  <c r="G72" i="2"/>
  <c r="H72" i="2"/>
  <c r="B72" i="2"/>
  <c r="I62" i="2"/>
  <c r="I63" i="2"/>
  <c r="I61" i="2"/>
  <c r="I51" i="2"/>
  <c r="I52" i="2"/>
  <c r="I50" i="2"/>
  <c r="E65" i="2"/>
  <c r="F65" i="2"/>
  <c r="G65" i="2"/>
  <c r="H65" i="2"/>
  <c r="B65" i="2"/>
  <c r="C65" i="2"/>
  <c r="E64" i="2"/>
  <c r="F64" i="2"/>
  <c r="G64" i="2"/>
  <c r="H64" i="2"/>
  <c r="B64" i="2"/>
  <c r="C64" i="2"/>
  <c r="E63" i="2"/>
  <c r="F63" i="2"/>
  <c r="G63" i="2"/>
  <c r="H63" i="2"/>
  <c r="B63" i="2"/>
  <c r="C63" i="2"/>
  <c r="B62" i="2"/>
  <c r="C62" i="2"/>
  <c r="E62" i="2"/>
  <c r="F62" i="2"/>
  <c r="G62" i="2"/>
  <c r="H62" i="2"/>
  <c r="D65" i="2"/>
  <c r="D63" i="2"/>
  <c r="D64" i="2"/>
  <c r="D62" i="2"/>
  <c r="B61" i="2"/>
  <c r="C61" i="2"/>
  <c r="D61" i="2"/>
  <c r="E61" i="2"/>
  <c r="F61" i="2"/>
  <c r="G61" i="2"/>
  <c r="H61" i="2"/>
  <c r="C54" i="2"/>
  <c r="D54" i="2"/>
  <c r="E54" i="2"/>
  <c r="F54" i="2"/>
  <c r="G54" i="2"/>
  <c r="H54" i="2"/>
  <c r="B54" i="2"/>
  <c r="C53" i="2"/>
  <c r="D53" i="2"/>
  <c r="E53" i="2"/>
  <c r="F53" i="2"/>
  <c r="G53" i="2"/>
  <c r="H53" i="2"/>
  <c r="B53" i="2"/>
  <c r="D52" i="2"/>
  <c r="E52" i="2"/>
  <c r="F52" i="2"/>
  <c r="G52" i="2"/>
  <c r="H52" i="2"/>
  <c r="C52" i="2"/>
  <c r="B52" i="2"/>
  <c r="H50" i="2"/>
  <c r="H51" i="2"/>
  <c r="D50" i="2"/>
  <c r="E50" i="2"/>
  <c r="F50" i="2"/>
  <c r="G50" i="2"/>
  <c r="C50" i="2"/>
  <c r="B50" i="2"/>
  <c r="G51" i="2"/>
  <c r="F51" i="2"/>
  <c r="E51" i="2"/>
  <c r="D51" i="2"/>
  <c r="C51" i="2"/>
  <c r="B51" i="2"/>
  <c r="I41" i="2"/>
  <c r="I39" i="2"/>
  <c r="I40" i="2"/>
</calcChain>
</file>

<file path=xl/sharedStrings.xml><?xml version="1.0" encoding="utf-8"?>
<sst xmlns="http://schemas.openxmlformats.org/spreadsheetml/2006/main" count="315" uniqueCount="87">
  <si>
    <t>x1 + x2 &lt;= 2</t>
  </si>
  <si>
    <t>2x1 + x2 &gt;= 1</t>
  </si>
  <si>
    <t>x1,2 &gt;= 0</t>
  </si>
  <si>
    <t>2) Введем дополнительные переменные</t>
  </si>
  <si>
    <t>1) Изменим знак целевой функции</t>
  </si>
  <si>
    <t>Приведем задачу к стандартному виду:</t>
  </si>
  <si>
    <t>x1 + x2 + x3 = 2</t>
  </si>
  <si>
    <t>2x1 + x2 - x4 = 1</t>
  </si>
  <si>
    <t>Составим целевую функцию вспомогательной задачи</t>
  </si>
  <si>
    <t>min F(x) = x1 - 2x2</t>
  </si>
  <si>
    <t>max F(X) = -x1 + 2x2</t>
  </si>
  <si>
    <t>Построим симплекс таблицу</t>
  </si>
  <si>
    <t>Базис</t>
  </si>
  <si>
    <t>x1</t>
  </si>
  <si>
    <t>x2</t>
  </si>
  <si>
    <t>x3</t>
  </si>
  <si>
    <t>x4</t>
  </si>
  <si>
    <t>bi</t>
  </si>
  <si>
    <t>bi/разрешающий столбец</t>
  </si>
  <si>
    <t>F</t>
  </si>
  <si>
    <t>F1</t>
  </si>
  <si>
    <t>2/1 = 2</t>
  </si>
  <si>
    <t>1/1 = 1</t>
  </si>
  <si>
    <t xml:space="preserve">Ведущий элемент - 1 </t>
  </si>
  <si>
    <t>findmaximum [8*x+4*y+z, {-y-z&lt;= -2, 2*x + 3*y + z &lt;= 4, 2*y + 3*z &lt;= 8, x&gt;=0, y&gt;=0, z&gt;=0}]</t>
  </si>
  <si>
    <t>Проведем шаг симплекс метода</t>
  </si>
  <si>
    <t>min F1 = -(1+2)x1 - (1+2)x2 -x3 - x4 + 2 + 1 = -3x1 - 3x2 - x3 - x4 + 3</t>
  </si>
  <si>
    <t>Ведущий столбец - 2</t>
  </si>
  <si>
    <t>Ведущая строка - 2</t>
  </si>
  <si>
    <t>.+II</t>
  </si>
  <si>
    <t>.-II</t>
  </si>
  <si>
    <t>.+2*II</t>
  </si>
  <si>
    <t>.+3*II</t>
  </si>
  <si>
    <t>1/1=1</t>
  </si>
  <si>
    <t>1/-1=-1</t>
  </si>
  <si>
    <t>Ведущий столбец - 4</t>
  </si>
  <si>
    <t xml:space="preserve">Ведущий элемент - -1 </t>
  </si>
  <si>
    <t>.-2*II</t>
  </si>
  <si>
    <t>.-4*II</t>
  </si>
  <si>
    <t>2/1=2</t>
  </si>
  <si>
    <t>.+4*II</t>
  </si>
  <si>
    <t>1/-1=1</t>
  </si>
  <si>
    <t>Получили цикл</t>
  </si>
  <si>
    <t>Возьмем другой ведущий столбец</t>
  </si>
  <si>
    <t>Ведущий столбец - 1</t>
  </si>
  <si>
    <t>1/0=inf</t>
  </si>
  <si>
    <t>Ведущая строка - 4</t>
  </si>
  <si>
    <t>Ведущий элемент - 1</t>
  </si>
  <si>
    <t>F = 8x1 + 4x2 + x3</t>
  </si>
  <si>
    <t>.-x2 + 3x2 + x3 &lt;= 4</t>
  </si>
  <si>
    <t>2x1 + 3x2 + x3 &lt;= 4</t>
  </si>
  <si>
    <t>2x2 + 3x3 &lt;= 8</t>
  </si>
  <si>
    <t>x1,x2,x3 &gt;= 0</t>
  </si>
  <si>
    <t>min F = -8x1 - 4x2 - x3</t>
  </si>
  <si>
    <t>x1,x2,x3,x4,x5,x6 &gt;= 0</t>
  </si>
  <si>
    <t>Составим целевую функцию вспомогательноый задачи</t>
  </si>
  <si>
    <t xml:space="preserve">           2x2 + 3x3 +             x6 = 8</t>
  </si>
  <si>
    <t>2x1 + 3x2 +  x3         + x5      = 4</t>
  </si>
  <si>
    <t xml:space="preserve">           .-x2 - x3 + x4               = -2</t>
  </si>
  <si>
    <t>min F1 = -2x1 - (-1+3+2)x2 - (-1+1+3)x3 - x4 - x5 - x6 -2 + 4 + 8 =&gt;</t>
  </si>
  <si>
    <t>min F1 = -2x1 -4x2 - 3x3 - x4 - x5 - x6 + 10</t>
  </si>
  <si>
    <t>x5</t>
  </si>
  <si>
    <t>x6</t>
  </si>
  <si>
    <t>Ведущий элемент - 3</t>
  </si>
  <si>
    <t xml:space="preserve"> /</t>
  </si>
  <si>
    <t>.+1*II</t>
  </si>
  <si>
    <t>Ведущий столбец - 3</t>
  </si>
  <si>
    <t>Ведущая строка - 1</t>
  </si>
  <si>
    <t>Ведущий элемент - -0,6667</t>
  </si>
  <si>
    <t>*</t>
  </si>
  <si>
    <t>"-1,666666667 ≈ -5/3"</t>
  </si>
  <si>
    <t>"0,333333333 ≈ 1/3"</t>
  </si>
  <si>
    <t>"-0,666666667 ≈ -2/3"</t>
  </si>
  <si>
    <t>"2,333333333 ≈ 7/3"</t>
  </si>
  <si>
    <t>.+1/2*I</t>
  </si>
  <si>
    <t>.-5/2*I</t>
  </si>
  <si>
    <t>.+7/2*I</t>
  </si>
  <si>
    <t>.-1/2*I</t>
  </si>
  <si>
    <t>.-7/2*I</t>
  </si>
  <si>
    <t>.1/2*I</t>
  </si>
  <si>
    <t>Ведущий элемент - -0,66667</t>
  </si>
  <si>
    <t>Ведущий элемент - 0,66667</t>
  </si>
  <si>
    <t>Если брать ведущий столбец 4, получится цикл</t>
  </si>
  <si>
    <t>.3 / 2</t>
  </si>
  <si>
    <t>.-I</t>
  </si>
  <si>
    <t>.+5*I</t>
  </si>
  <si>
    <t>.+I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</si>
</sst>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5" borderId="3" xfId="0" applyFill="1" applyBorder="1" applyAlignment="1">
      <alignment horizontal="center"/>
    </xf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142171</xdr:colOff>
      <xdr:row>11</xdr:row>
      <xdr:rowOff>190214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5DC096E-16E9-4DEA-8452-BC4928FCE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28571" cy="22857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608609</xdr:colOff>
      <xdr:row>28</xdr:row>
      <xdr:rowOff>66000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ACFBC46-1343-4F59-B363-B1A109523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0"/>
          <a:ext cx="7923809" cy="5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504152</xdr:colOff>
      <xdr:row>11</xdr:row>
      <xdr:rowOff>133071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592509B-CA12-4B33-BDBE-C9C21B572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80952" cy="2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C0B0-A7EA-4898-BC76-E450011F0AA5}">
  <dimension ref="A15:M98"/>
  <sheetViews>
    <sheetView topLeftCell="A94" zoomScaleNormal="100" workbookViewId="0">
      <selection activeCell="H108" sqref="H108"/>
    </sheetView>
  </sheetViews>
  <sheetFormatPr defaultRowHeight="15" x14ac:dyDescent="0.25"/>
  <sheetData>
    <row r="15" spans="1:2" x14ac:dyDescent="0.25">
      <c r="A15" t="s">
        <v>48</v>
      </c>
    </row>
    <row r="16" spans="1:2" x14ac:dyDescent="0.25">
      <c r="B16" s="2" t="s">
        <v>49</v>
      </c>
    </row>
    <row r="17" spans="1:11" x14ac:dyDescent="0.25">
      <c r="B17" s="2" t="s">
        <v>50</v>
      </c>
    </row>
    <row r="18" spans="1:11" x14ac:dyDescent="0.25">
      <c r="B18" s="2" t="s">
        <v>51</v>
      </c>
    </row>
    <row r="19" spans="1:11" x14ac:dyDescent="0.25">
      <c r="B19" s="2" t="s">
        <v>52</v>
      </c>
    </row>
    <row r="21" spans="1:11" x14ac:dyDescent="0.25">
      <c r="A21" t="s">
        <v>5</v>
      </c>
    </row>
    <row r="22" spans="1:11" x14ac:dyDescent="0.25">
      <c r="B22" t="s">
        <v>4</v>
      </c>
    </row>
    <row r="23" spans="1:11" x14ac:dyDescent="0.25">
      <c r="B23" t="s">
        <v>3</v>
      </c>
    </row>
    <row r="26" spans="1:11" x14ac:dyDescent="0.25">
      <c r="A26" t="s">
        <v>53</v>
      </c>
    </row>
    <row r="27" spans="1:11" x14ac:dyDescent="0.25">
      <c r="B27" s="2" t="s">
        <v>58</v>
      </c>
    </row>
    <row r="28" spans="1:11" x14ac:dyDescent="0.25">
      <c r="B28" s="2" t="s">
        <v>57</v>
      </c>
    </row>
    <row r="29" spans="1:11" x14ac:dyDescent="0.25">
      <c r="B29" s="2" t="s">
        <v>56</v>
      </c>
    </row>
    <row r="30" spans="1:11" x14ac:dyDescent="0.25">
      <c r="B30" s="2" t="s">
        <v>54</v>
      </c>
      <c r="K30" t="s">
        <v>24</v>
      </c>
    </row>
    <row r="32" spans="1:11" x14ac:dyDescent="0.25">
      <c r="A32" t="s">
        <v>55</v>
      </c>
    </row>
    <row r="33" spans="1:9" x14ac:dyDescent="0.25">
      <c r="A33" t="s">
        <v>59</v>
      </c>
    </row>
    <row r="34" spans="1:9" x14ac:dyDescent="0.25">
      <c r="A34" t="s">
        <v>60</v>
      </c>
    </row>
    <row r="36" spans="1:9" x14ac:dyDescent="0.25">
      <c r="A36" t="s">
        <v>11</v>
      </c>
    </row>
    <row r="38" spans="1:9" x14ac:dyDescent="0.25">
      <c r="A38" s="4" t="s">
        <v>12</v>
      </c>
      <c r="B38" s="4" t="s">
        <v>13</v>
      </c>
      <c r="C38" s="4" t="s">
        <v>14</v>
      </c>
      <c r="D38" s="4" t="s">
        <v>15</v>
      </c>
      <c r="E38" s="4" t="s">
        <v>16</v>
      </c>
      <c r="F38" s="9" t="s">
        <v>61</v>
      </c>
      <c r="G38" s="9" t="s">
        <v>62</v>
      </c>
      <c r="H38" s="4" t="s">
        <v>17</v>
      </c>
      <c r="I38" s="5" t="s">
        <v>18</v>
      </c>
    </row>
    <row r="39" spans="1:9" x14ac:dyDescent="0.25">
      <c r="A39" s="7" t="s">
        <v>16</v>
      </c>
      <c r="B39" s="7">
        <v>0</v>
      </c>
      <c r="C39" s="6">
        <v>-1</v>
      </c>
      <c r="D39" s="7">
        <v>-1</v>
      </c>
      <c r="E39" s="7">
        <v>1</v>
      </c>
      <c r="F39" s="7">
        <v>0</v>
      </c>
      <c r="G39" s="7">
        <v>0</v>
      </c>
      <c r="H39" s="4">
        <v>-2</v>
      </c>
      <c r="I39" s="4">
        <f>H39/C39</f>
        <v>2</v>
      </c>
    </row>
    <row r="40" spans="1:9" x14ac:dyDescent="0.25">
      <c r="A40" s="7" t="s">
        <v>61</v>
      </c>
      <c r="B40" s="6">
        <v>2</v>
      </c>
      <c r="C40" s="8">
        <v>3</v>
      </c>
      <c r="D40" s="6">
        <v>1</v>
      </c>
      <c r="E40" s="6">
        <v>0</v>
      </c>
      <c r="F40" s="6">
        <v>1</v>
      </c>
      <c r="G40" s="6">
        <v>0</v>
      </c>
      <c r="H40" s="6">
        <v>4</v>
      </c>
      <c r="I40" s="4">
        <f>H40/C40</f>
        <v>1.3333333333333333</v>
      </c>
    </row>
    <row r="41" spans="1:9" x14ac:dyDescent="0.25">
      <c r="A41" s="7" t="s">
        <v>62</v>
      </c>
      <c r="B41" s="7">
        <v>0</v>
      </c>
      <c r="C41" s="6">
        <v>2</v>
      </c>
      <c r="D41" s="7">
        <v>3</v>
      </c>
      <c r="E41" s="7">
        <v>0</v>
      </c>
      <c r="F41" s="7">
        <v>0</v>
      </c>
      <c r="G41" s="7">
        <v>1</v>
      </c>
      <c r="H41" s="4">
        <v>8</v>
      </c>
      <c r="I41" s="4">
        <f t="shared" ref="I41:I43" si="0">H41/C41</f>
        <v>4</v>
      </c>
    </row>
    <row r="42" spans="1:9" x14ac:dyDescent="0.25">
      <c r="A42" s="7" t="s">
        <v>19</v>
      </c>
      <c r="B42" s="7">
        <v>-8</v>
      </c>
      <c r="C42" s="6">
        <v>-4</v>
      </c>
      <c r="D42" s="7">
        <v>-1</v>
      </c>
      <c r="E42" s="7">
        <v>0</v>
      </c>
      <c r="F42" s="7">
        <v>0</v>
      </c>
      <c r="G42" s="7">
        <v>0</v>
      </c>
      <c r="H42" s="4">
        <v>0</v>
      </c>
      <c r="I42" s="4"/>
    </row>
    <row r="43" spans="1:9" x14ac:dyDescent="0.25">
      <c r="A43" s="7" t="s">
        <v>20</v>
      </c>
      <c r="B43" s="7">
        <v>-2</v>
      </c>
      <c r="C43" s="6">
        <v>-4</v>
      </c>
      <c r="D43" s="7">
        <v>-3</v>
      </c>
      <c r="E43" s="7">
        <v>-1</v>
      </c>
      <c r="F43" s="7">
        <v>-1</v>
      </c>
      <c r="G43" s="7">
        <v>-1</v>
      </c>
      <c r="H43" s="4">
        <v>-10</v>
      </c>
      <c r="I43" s="4"/>
    </row>
    <row r="44" spans="1:9" x14ac:dyDescent="0.25">
      <c r="A44" s="3" t="s">
        <v>27</v>
      </c>
    </row>
    <row r="45" spans="1:9" x14ac:dyDescent="0.25">
      <c r="A45" s="3" t="s">
        <v>28</v>
      </c>
    </row>
    <row r="46" spans="1:9" x14ac:dyDescent="0.25">
      <c r="A46" s="3" t="s">
        <v>63</v>
      </c>
    </row>
    <row r="49" spans="1:13" x14ac:dyDescent="0.25">
      <c r="A49" s="4" t="s">
        <v>12</v>
      </c>
      <c r="B49" s="4" t="s">
        <v>13</v>
      </c>
      <c r="C49" s="4" t="s">
        <v>14</v>
      </c>
      <c r="D49" s="4" t="s">
        <v>15</v>
      </c>
      <c r="E49" s="4" t="s">
        <v>16</v>
      </c>
      <c r="F49" s="9" t="s">
        <v>61</v>
      </c>
      <c r="G49" s="9" t="s">
        <v>62</v>
      </c>
      <c r="H49" s="4" t="s">
        <v>17</v>
      </c>
      <c r="I49" s="5" t="s">
        <v>18</v>
      </c>
    </row>
    <row r="50" spans="1:13" x14ac:dyDescent="0.25">
      <c r="A50" s="7" t="s">
        <v>16</v>
      </c>
      <c r="B50" s="6">
        <f>B39+B51</f>
        <v>0.66666666666666663</v>
      </c>
      <c r="C50" s="6">
        <f>C39+C51</f>
        <v>0</v>
      </c>
      <c r="D50" s="8">
        <f t="shared" ref="D50:H50" si="1">D39+D51</f>
        <v>-0.66666666666666674</v>
      </c>
      <c r="E50" s="6">
        <f t="shared" si="1"/>
        <v>1</v>
      </c>
      <c r="F50" s="6">
        <f t="shared" si="1"/>
        <v>0.33333333333333331</v>
      </c>
      <c r="G50" s="6">
        <f t="shared" si="1"/>
        <v>0</v>
      </c>
      <c r="H50" s="6">
        <f>H39+H51</f>
        <v>-0.66666666666666674</v>
      </c>
      <c r="I50" s="4">
        <f>H50/D50</f>
        <v>1</v>
      </c>
      <c r="J50" t="s">
        <v>65</v>
      </c>
    </row>
    <row r="51" spans="1:13" x14ac:dyDescent="0.25">
      <c r="A51" s="7" t="s">
        <v>14</v>
      </c>
      <c r="B51" s="7">
        <f>2/K51</f>
        <v>0.66666666666666663</v>
      </c>
      <c r="C51" s="7">
        <f>3/K51</f>
        <v>1</v>
      </c>
      <c r="D51" s="6">
        <f>1/K51</f>
        <v>0.33333333333333331</v>
      </c>
      <c r="E51" s="7">
        <f>0/K51</f>
        <v>0</v>
      </c>
      <c r="F51" s="7">
        <f>1/K51</f>
        <v>0.33333333333333331</v>
      </c>
      <c r="G51" s="7">
        <f>0/K51</f>
        <v>0</v>
      </c>
      <c r="H51" s="7">
        <f>4/K51</f>
        <v>1.3333333333333333</v>
      </c>
      <c r="I51" s="4">
        <f t="shared" ref="I51:I52" si="2">H51/D51</f>
        <v>4</v>
      </c>
      <c r="J51" s="13" t="s">
        <v>64</v>
      </c>
      <c r="K51" s="11">
        <v>3</v>
      </c>
    </row>
    <row r="52" spans="1:13" x14ac:dyDescent="0.25">
      <c r="A52" s="7" t="s">
        <v>16</v>
      </c>
      <c r="B52" s="7">
        <f>B41-2*B51</f>
        <v>-1.3333333333333333</v>
      </c>
      <c r="C52" s="7">
        <f>C41-2*C51</f>
        <v>0</v>
      </c>
      <c r="D52" s="6">
        <f t="shared" ref="D52:H52" si="3">D41-2*D51</f>
        <v>2.3333333333333335</v>
      </c>
      <c r="E52" s="7">
        <f t="shared" si="3"/>
        <v>0</v>
      </c>
      <c r="F52" s="7">
        <f t="shared" si="3"/>
        <v>-0.66666666666666663</v>
      </c>
      <c r="G52" s="7">
        <f t="shared" si="3"/>
        <v>1</v>
      </c>
      <c r="H52" s="7">
        <f t="shared" si="3"/>
        <v>5.3333333333333339</v>
      </c>
      <c r="I52" s="4">
        <f t="shared" si="2"/>
        <v>2.285714285714286</v>
      </c>
      <c r="J52" t="s">
        <v>37</v>
      </c>
    </row>
    <row r="53" spans="1:13" x14ac:dyDescent="0.25">
      <c r="A53" s="7" t="s">
        <v>19</v>
      </c>
      <c r="B53" s="7">
        <f>B42+4*B51</f>
        <v>-5.3333333333333339</v>
      </c>
      <c r="C53" s="7">
        <f t="shared" ref="C53:H53" si="4">C42+4*C51</f>
        <v>0</v>
      </c>
      <c r="D53" s="6">
        <f t="shared" si="4"/>
        <v>0.33333333333333326</v>
      </c>
      <c r="E53" s="7">
        <f t="shared" si="4"/>
        <v>0</v>
      </c>
      <c r="F53" s="7">
        <f t="shared" si="4"/>
        <v>1.3333333333333333</v>
      </c>
      <c r="G53" s="7">
        <f t="shared" si="4"/>
        <v>0</v>
      </c>
      <c r="H53" s="7">
        <f t="shared" si="4"/>
        <v>5.333333333333333</v>
      </c>
      <c r="I53" s="4"/>
      <c r="J53" t="s">
        <v>40</v>
      </c>
    </row>
    <row r="54" spans="1:13" x14ac:dyDescent="0.25">
      <c r="A54" s="7" t="s">
        <v>20</v>
      </c>
      <c r="B54" s="7">
        <f>B43+4*B51</f>
        <v>0.66666666666666652</v>
      </c>
      <c r="C54" s="7">
        <f t="shared" ref="C54:H54" si="5">C43+4*C51</f>
        <v>0</v>
      </c>
      <c r="D54" s="6">
        <f t="shared" si="5"/>
        <v>-1.6666666666666667</v>
      </c>
      <c r="E54" s="7">
        <f t="shared" si="5"/>
        <v>-1</v>
      </c>
      <c r="F54" s="7">
        <f t="shared" si="5"/>
        <v>0.33333333333333326</v>
      </c>
      <c r="G54" s="7">
        <f t="shared" si="5"/>
        <v>-1</v>
      </c>
      <c r="H54" s="7">
        <f t="shared" si="5"/>
        <v>-4.666666666666667</v>
      </c>
      <c r="I54" s="4"/>
      <c r="J54" t="s">
        <v>40</v>
      </c>
    </row>
    <row r="55" spans="1:13" x14ac:dyDescent="0.25">
      <c r="A55" s="3" t="s">
        <v>66</v>
      </c>
    </row>
    <row r="56" spans="1:13" x14ac:dyDescent="0.25">
      <c r="A56" s="3" t="s">
        <v>67</v>
      </c>
    </row>
    <row r="57" spans="1:13" x14ac:dyDescent="0.25">
      <c r="A57" s="3" t="s">
        <v>68</v>
      </c>
    </row>
    <row r="60" spans="1:13" x14ac:dyDescent="0.25">
      <c r="A60" s="4" t="s">
        <v>12</v>
      </c>
      <c r="B60" s="4" t="s">
        <v>13</v>
      </c>
      <c r="C60" s="4" t="s">
        <v>14</v>
      </c>
      <c r="D60" s="4" t="s">
        <v>15</v>
      </c>
      <c r="E60" s="4" t="s">
        <v>16</v>
      </c>
      <c r="F60" s="9" t="s">
        <v>61</v>
      </c>
      <c r="G60" s="9" t="s">
        <v>62</v>
      </c>
      <c r="H60" s="4" t="s">
        <v>17</v>
      </c>
      <c r="I60" s="5" t="s">
        <v>18</v>
      </c>
    </row>
    <row r="61" spans="1:13" x14ac:dyDescent="0.25">
      <c r="A61" s="7" t="s">
        <v>16</v>
      </c>
      <c r="B61" s="6">
        <f t="shared" ref="B61:G61" si="6">B50</f>
        <v>0.66666666666666663</v>
      </c>
      <c r="C61" s="6">
        <f t="shared" si="6"/>
        <v>0</v>
      </c>
      <c r="D61" s="6">
        <f t="shared" si="6"/>
        <v>-0.66666666666666674</v>
      </c>
      <c r="E61" s="8">
        <f t="shared" si="6"/>
        <v>1</v>
      </c>
      <c r="F61" s="6">
        <f t="shared" si="6"/>
        <v>0.33333333333333331</v>
      </c>
      <c r="G61" s="6">
        <f t="shared" si="6"/>
        <v>0</v>
      </c>
      <c r="H61" s="6">
        <f>H50</f>
        <v>-0.66666666666666674</v>
      </c>
      <c r="I61" s="4">
        <f>H61/E61</f>
        <v>-0.66666666666666674</v>
      </c>
      <c r="J61" s="12"/>
      <c r="K61" s="12"/>
      <c r="L61" s="15" t="s">
        <v>72</v>
      </c>
      <c r="M61" s="16"/>
    </row>
    <row r="62" spans="1:13" x14ac:dyDescent="0.25">
      <c r="A62" s="7" t="s">
        <v>14</v>
      </c>
      <c r="B62" s="9">
        <f t="shared" ref="B62:C62" si="7">B51+(B61/2)</f>
        <v>1</v>
      </c>
      <c r="C62" s="9">
        <f t="shared" si="7"/>
        <v>1</v>
      </c>
      <c r="D62" s="9">
        <f>D51+(D61/2)</f>
        <v>0</v>
      </c>
      <c r="E62" s="6">
        <f t="shared" ref="E62:H62" si="8">E51+(E61/2)</f>
        <v>0.5</v>
      </c>
      <c r="F62" s="9">
        <f t="shared" si="8"/>
        <v>0.5</v>
      </c>
      <c r="G62" s="9">
        <f t="shared" si="8"/>
        <v>0</v>
      </c>
      <c r="H62" s="9">
        <f t="shared" si="8"/>
        <v>0.99999999999999989</v>
      </c>
      <c r="I62" s="4">
        <f t="shared" ref="I62:I63" si="9">H62/E62</f>
        <v>1.9999999999999998</v>
      </c>
      <c r="J62" t="s">
        <v>74</v>
      </c>
      <c r="L62" s="15" t="s">
        <v>71</v>
      </c>
      <c r="M62" s="15"/>
    </row>
    <row r="63" spans="1:13" x14ac:dyDescent="0.25">
      <c r="A63" s="7" t="s">
        <v>62</v>
      </c>
      <c r="B63" s="9">
        <f t="shared" ref="B63:C63" si="10">B52+(B61*7/2)</f>
        <v>0.99999999999999978</v>
      </c>
      <c r="C63" s="9">
        <f t="shared" si="10"/>
        <v>0</v>
      </c>
      <c r="D63" s="9">
        <f>D52+(D61*7/2)</f>
        <v>0</v>
      </c>
      <c r="E63" s="6">
        <f t="shared" ref="E63:H63" si="11">E52+(E61*7/2)</f>
        <v>3.5</v>
      </c>
      <c r="F63" s="9">
        <f t="shared" si="11"/>
        <v>0.49999999999999989</v>
      </c>
      <c r="G63" s="9">
        <f t="shared" si="11"/>
        <v>1</v>
      </c>
      <c r="H63" s="9">
        <f t="shared" si="11"/>
        <v>3.0000000000000004</v>
      </c>
      <c r="I63" s="4">
        <f t="shared" si="9"/>
        <v>0.85714285714285732</v>
      </c>
      <c r="J63" t="s">
        <v>76</v>
      </c>
      <c r="L63" s="15" t="s">
        <v>73</v>
      </c>
      <c r="M63" s="16"/>
    </row>
    <row r="64" spans="1:13" x14ac:dyDescent="0.25">
      <c r="A64" s="7" t="s">
        <v>19</v>
      </c>
      <c r="B64" s="9">
        <f t="shared" ref="B64:C64" si="12">B53+(B61/2)</f>
        <v>-5.0000000000000009</v>
      </c>
      <c r="C64" s="9">
        <f t="shared" si="12"/>
        <v>0</v>
      </c>
      <c r="D64" s="9">
        <f>D53+(D61/2)</f>
        <v>0</v>
      </c>
      <c r="E64" s="6">
        <f t="shared" ref="E64:H64" si="13">E53+(E61/2)</f>
        <v>0.5</v>
      </c>
      <c r="F64" s="9">
        <f t="shared" si="13"/>
        <v>1.5</v>
      </c>
      <c r="G64" s="9">
        <f t="shared" si="13"/>
        <v>0</v>
      </c>
      <c r="H64" s="9">
        <f t="shared" si="13"/>
        <v>5</v>
      </c>
      <c r="I64" s="4"/>
      <c r="J64" t="s">
        <v>74</v>
      </c>
      <c r="L64" s="15" t="s">
        <v>71</v>
      </c>
      <c r="M64" s="15"/>
    </row>
    <row r="65" spans="1:13" x14ac:dyDescent="0.25">
      <c r="A65" s="7" t="s">
        <v>20</v>
      </c>
      <c r="B65" s="9">
        <f t="shared" ref="B65:C65" si="14">B54-(B61*5/2)</f>
        <v>-1</v>
      </c>
      <c r="C65" s="9">
        <f t="shared" si="14"/>
        <v>0</v>
      </c>
      <c r="D65" s="9">
        <f>D54-(D61*5/2)</f>
        <v>0</v>
      </c>
      <c r="E65" s="6">
        <f t="shared" ref="E65:H65" si="15">E54-(E61*5/2)</f>
        <v>-3.5</v>
      </c>
      <c r="F65" s="9">
        <f t="shared" si="15"/>
        <v>-0.5</v>
      </c>
      <c r="G65" s="9">
        <f t="shared" si="15"/>
        <v>-1</v>
      </c>
      <c r="H65" s="9">
        <f t="shared" si="15"/>
        <v>-3</v>
      </c>
      <c r="I65" s="4"/>
      <c r="J65" t="s">
        <v>75</v>
      </c>
      <c r="L65" s="15" t="s">
        <v>70</v>
      </c>
      <c r="M65" s="16"/>
    </row>
    <row r="66" spans="1:13" x14ac:dyDescent="0.25">
      <c r="A66" s="3" t="s">
        <v>35</v>
      </c>
      <c r="M66" s="14"/>
    </row>
    <row r="67" spans="1:13" x14ac:dyDescent="0.25">
      <c r="A67" s="3" t="s">
        <v>67</v>
      </c>
    </row>
    <row r="68" spans="1:13" x14ac:dyDescent="0.25">
      <c r="A68" s="3" t="s">
        <v>47</v>
      </c>
      <c r="M68" s="14"/>
    </row>
    <row r="70" spans="1:13" x14ac:dyDescent="0.25">
      <c r="M70" s="14"/>
    </row>
    <row r="71" spans="1:13" x14ac:dyDescent="0.25">
      <c r="A71" s="4" t="s">
        <v>12</v>
      </c>
      <c r="B71" s="4" t="s">
        <v>13</v>
      </c>
      <c r="C71" s="4" t="s">
        <v>14</v>
      </c>
      <c r="D71" s="4" t="s">
        <v>15</v>
      </c>
      <c r="E71" s="4" t="s">
        <v>16</v>
      </c>
      <c r="F71" s="9" t="s">
        <v>61</v>
      </c>
      <c r="G71" s="9" t="s">
        <v>62</v>
      </c>
      <c r="H71" s="4" t="s">
        <v>17</v>
      </c>
      <c r="I71" s="5" t="s">
        <v>18</v>
      </c>
    </row>
    <row r="72" spans="1:13" x14ac:dyDescent="0.25">
      <c r="A72" s="7" t="s">
        <v>16</v>
      </c>
      <c r="B72" s="6">
        <f>B61</f>
        <v>0.66666666666666663</v>
      </c>
      <c r="C72" s="6">
        <f t="shared" ref="C72:H72" si="16">C61</f>
        <v>0</v>
      </c>
      <c r="D72" s="8">
        <f t="shared" si="16"/>
        <v>-0.66666666666666674</v>
      </c>
      <c r="E72" s="6">
        <f t="shared" si="16"/>
        <v>1</v>
      </c>
      <c r="F72" s="6">
        <f t="shared" si="16"/>
        <v>0.33333333333333331</v>
      </c>
      <c r="G72" s="6">
        <f t="shared" si="16"/>
        <v>0</v>
      </c>
      <c r="H72" s="6">
        <f t="shared" si="16"/>
        <v>-0.66666666666666674</v>
      </c>
      <c r="I72" s="6">
        <f>H72/D72</f>
        <v>1</v>
      </c>
    </row>
    <row r="73" spans="1:13" x14ac:dyDescent="0.25">
      <c r="A73" s="7" t="s">
        <v>14</v>
      </c>
      <c r="B73" s="7">
        <f t="shared" ref="B73:D73" si="17">B62-(B$72/2)</f>
        <v>0.66666666666666674</v>
      </c>
      <c r="C73" s="7">
        <f t="shared" si="17"/>
        <v>1</v>
      </c>
      <c r="D73" s="6">
        <f t="shared" si="17"/>
        <v>0.33333333333333337</v>
      </c>
      <c r="E73" s="7">
        <f>E62-(E$72/2)</f>
        <v>0</v>
      </c>
      <c r="F73" s="7">
        <f t="shared" ref="F73:H73" si="18">F62-(F$72/2)</f>
        <v>0.33333333333333337</v>
      </c>
      <c r="G73" s="7">
        <f t="shared" si="18"/>
        <v>0</v>
      </c>
      <c r="H73" s="7">
        <f t="shared" si="18"/>
        <v>1.3333333333333333</v>
      </c>
      <c r="I73" s="7">
        <f>H73/D73</f>
        <v>3.9999999999999991</v>
      </c>
      <c r="J73" t="s">
        <v>77</v>
      </c>
    </row>
    <row r="74" spans="1:13" x14ac:dyDescent="0.25">
      <c r="A74" s="7" t="s">
        <v>16</v>
      </c>
      <c r="B74" s="7">
        <f t="shared" ref="B74:D74" si="19">B63-(B$72*7/2)</f>
        <v>-1.3333333333333333</v>
      </c>
      <c r="C74" s="7">
        <f t="shared" si="19"/>
        <v>0</v>
      </c>
      <c r="D74" s="6">
        <f t="shared" si="19"/>
        <v>2.3333333333333335</v>
      </c>
      <c r="E74" s="7">
        <f>E63-(E$72*7/2)</f>
        <v>0</v>
      </c>
      <c r="F74" s="7">
        <f t="shared" ref="F74:H74" si="20">F63-(F$72*7/2)</f>
        <v>-0.66666666666666663</v>
      </c>
      <c r="G74" s="7">
        <f t="shared" si="20"/>
        <v>1</v>
      </c>
      <c r="H74" s="7">
        <f t="shared" si="20"/>
        <v>5.3333333333333339</v>
      </c>
      <c r="I74" s="7">
        <f>H74/D74</f>
        <v>2.285714285714286</v>
      </c>
      <c r="J74" t="s">
        <v>78</v>
      </c>
    </row>
    <row r="75" spans="1:13" x14ac:dyDescent="0.25">
      <c r="A75" s="7" t="s">
        <v>19</v>
      </c>
      <c r="B75" s="7">
        <f t="shared" ref="B75:D75" si="21">B64-(B$72/2)</f>
        <v>-5.3333333333333339</v>
      </c>
      <c r="C75" s="7">
        <f t="shared" si="21"/>
        <v>0</v>
      </c>
      <c r="D75" s="6">
        <f t="shared" si="21"/>
        <v>0.33333333333333337</v>
      </c>
      <c r="E75" s="7">
        <f t="shared" ref="E74:H76" si="22">E64-(E$72/2)</f>
        <v>0</v>
      </c>
      <c r="F75" s="7">
        <f t="shared" si="22"/>
        <v>1.3333333333333333</v>
      </c>
      <c r="G75" s="7">
        <f t="shared" si="22"/>
        <v>0</v>
      </c>
      <c r="H75" s="7">
        <f t="shared" si="22"/>
        <v>5.333333333333333</v>
      </c>
      <c r="I75" s="7"/>
      <c r="J75" t="s">
        <v>79</v>
      </c>
    </row>
    <row r="76" spans="1:13" x14ac:dyDescent="0.25">
      <c r="A76" s="7" t="s">
        <v>20</v>
      </c>
      <c r="B76" s="7">
        <f t="shared" ref="B76:D76" si="23">B65+(B$72*7/2)</f>
        <v>1.333333333333333</v>
      </c>
      <c r="C76" s="7">
        <f t="shared" si="23"/>
        <v>0</v>
      </c>
      <c r="D76" s="6">
        <f t="shared" si="23"/>
        <v>-2.3333333333333335</v>
      </c>
      <c r="E76" s="7">
        <f>E65+(E$72*7/2)</f>
        <v>0</v>
      </c>
      <c r="F76" s="7">
        <f t="shared" ref="F76:H76" si="24">F65+(F$72*7/2)</f>
        <v>0.66666666666666652</v>
      </c>
      <c r="G76" s="7">
        <f t="shared" si="24"/>
        <v>-1</v>
      </c>
      <c r="H76" s="7">
        <f t="shared" si="24"/>
        <v>-5.3333333333333339</v>
      </c>
      <c r="I76" s="7"/>
      <c r="J76" t="s">
        <v>76</v>
      </c>
    </row>
    <row r="77" spans="1:13" x14ac:dyDescent="0.25">
      <c r="A77" s="3" t="s">
        <v>66</v>
      </c>
    </row>
    <row r="78" spans="1:13" x14ac:dyDescent="0.25">
      <c r="A78" s="3" t="s">
        <v>67</v>
      </c>
    </row>
    <row r="79" spans="1:13" x14ac:dyDescent="0.25">
      <c r="A79" s="3" t="s">
        <v>80</v>
      </c>
    </row>
    <row r="82" spans="1:11" x14ac:dyDescent="0.25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16</v>
      </c>
      <c r="F82" s="9" t="s">
        <v>61</v>
      </c>
      <c r="G82" s="9" t="s">
        <v>62</v>
      </c>
      <c r="H82" s="4" t="s">
        <v>17</v>
      </c>
      <c r="I82" s="5" t="s">
        <v>18</v>
      </c>
    </row>
    <row r="83" spans="1:11" x14ac:dyDescent="0.25">
      <c r="A83" s="7" t="s">
        <v>16</v>
      </c>
      <c r="B83" s="8">
        <f>B72</f>
        <v>0.66666666666666663</v>
      </c>
      <c r="C83" s="6">
        <f t="shared" ref="C83:H83" si="25">C72</f>
        <v>0</v>
      </c>
      <c r="D83" s="6">
        <f t="shared" si="25"/>
        <v>-0.66666666666666674</v>
      </c>
      <c r="E83" s="17">
        <f t="shared" si="25"/>
        <v>1</v>
      </c>
      <c r="F83" s="6">
        <f t="shared" si="25"/>
        <v>0.33333333333333331</v>
      </c>
      <c r="G83" s="6">
        <f t="shared" si="25"/>
        <v>0</v>
      </c>
      <c r="H83" s="6">
        <f t="shared" si="25"/>
        <v>-0.66666666666666674</v>
      </c>
      <c r="I83" s="7">
        <f>H83/B83</f>
        <v>-1.0000000000000002</v>
      </c>
    </row>
    <row r="84" spans="1:11" x14ac:dyDescent="0.25">
      <c r="A84" s="7" t="s">
        <v>14</v>
      </c>
      <c r="B84" s="6">
        <f t="shared" ref="B84:C84" si="26">B73+(1/2*B$83)</f>
        <v>1</v>
      </c>
      <c r="C84" s="7">
        <f t="shared" si="26"/>
        <v>1</v>
      </c>
      <c r="D84" s="7">
        <f>D73+(1/2*D$83)</f>
        <v>0</v>
      </c>
      <c r="E84" s="17">
        <f t="shared" ref="E84:H84" si="27">E73+(1/2*E$83)</f>
        <v>0.5</v>
      </c>
      <c r="F84" s="7">
        <f t="shared" si="27"/>
        <v>0.5</v>
      </c>
      <c r="G84" s="7">
        <f t="shared" si="27"/>
        <v>0</v>
      </c>
      <c r="H84" s="7">
        <f t="shared" si="27"/>
        <v>0.99999999999999989</v>
      </c>
      <c r="I84" s="7">
        <f>H84/B84</f>
        <v>0.99999999999999989</v>
      </c>
      <c r="J84" t="s">
        <v>74</v>
      </c>
    </row>
    <row r="85" spans="1:11" x14ac:dyDescent="0.25">
      <c r="A85" s="7" t="s">
        <v>62</v>
      </c>
      <c r="B85" s="6">
        <f t="shared" ref="B85:C85" si="28">B74+(7/2*B$83)</f>
        <v>0.99999999999999978</v>
      </c>
      <c r="C85" s="7">
        <f t="shared" si="28"/>
        <v>0</v>
      </c>
      <c r="D85" s="7">
        <f>D74+(7/2*D$83)</f>
        <v>0</v>
      </c>
      <c r="E85" s="17">
        <f t="shared" ref="E85:H85" si="29">E74+(7/2*E$83)</f>
        <v>3.5</v>
      </c>
      <c r="F85" s="7">
        <f t="shared" si="29"/>
        <v>0.49999999999999989</v>
      </c>
      <c r="G85" s="7">
        <f t="shared" si="29"/>
        <v>1</v>
      </c>
      <c r="H85" s="7">
        <f t="shared" si="29"/>
        <v>3.0000000000000004</v>
      </c>
      <c r="I85" s="7">
        <f>H85/B85</f>
        <v>3.0000000000000009</v>
      </c>
      <c r="J85" t="s">
        <v>76</v>
      </c>
    </row>
    <row r="86" spans="1:11" x14ac:dyDescent="0.25">
      <c r="A86" s="7" t="s">
        <v>19</v>
      </c>
      <c r="B86" s="6">
        <f t="shared" ref="B85:H87" si="30">B75+(1/2*B$83)</f>
        <v>-5.0000000000000009</v>
      </c>
      <c r="C86" s="7">
        <f t="shared" si="30"/>
        <v>0</v>
      </c>
      <c r="D86" s="7">
        <f t="shared" si="30"/>
        <v>0</v>
      </c>
      <c r="E86" s="17">
        <f t="shared" si="30"/>
        <v>0.5</v>
      </c>
      <c r="F86" s="7">
        <f t="shared" si="30"/>
        <v>1.5</v>
      </c>
      <c r="G86" s="7">
        <f t="shared" si="30"/>
        <v>0</v>
      </c>
      <c r="H86" s="7">
        <f t="shared" si="30"/>
        <v>5</v>
      </c>
      <c r="I86" s="7"/>
      <c r="J86" t="s">
        <v>74</v>
      </c>
    </row>
    <row r="87" spans="1:11" x14ac:dyDescent="0.25">
      <c r="A87" s="7" t="s">
        <v>20</v>
      </c>
      <c r="B87" s="6">
        <f t="shared" ref="B87:C87" si="31">B76-(7/2*B$83)</f>
        <v>-1</v>
      </c>
      <c r="C87" s="7">
        <f t="shared" si="31"/>
        <v>0</v>
      </c>
      <c r="D87" s="7">
        <f>D76-(7/2*D$83)</f>
        <v>0</v>
      </c>
      <c r="E87" s="17">
        <f t="shared" ref="E87:H87" si="32">E76-(7/2*E$83)</f>
        <v>-3.5</v>
      </c>
      <c r="F87" s="7">
        <f t="shared" si="32"/>
        <v>-0.5</v>
      </c>
      <c r="G87" s="7">
        <f t="shared" si="32"/>
        <v>-1</v>
      </c>
      <c r="H87" s="7">
        <f t="shared" si="32"/>
        <v>-3.0000000000000004</v>
      </c>
      <c r="I87" s="7"/>
      <c r="J87" t="s">
        <v>78</v>
      </c>
    </row>
    <row r="88" spans="1:11" x14ac:dyDescent="0.25">
      <c r="A88" s="3" t="s">
        <v>44</v>
      </c>
    </row>
    <row r="89" spans="1:11" x14ac:dyDescent="0.25">
      <c r="A89" s="3" t="s">
        <v>67</v>
      </c>
      <c r="E89" t="s">
        <v>82</v>
      </c>
    </row>
    <row r="90" spans="1:11" x14ac:dyDescent="0.25">
      <c r="A90" s="3" t="s">
        <v>81</v>
      </c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</row>
    <row r="93" spans="1:11" x14ac:dyDescent="0.25">
      <c r="A93" s="4" t="s">
        <v>12</v>
      </c>
      <c r="B93" s="4" t="s">
        <v>13</v>
      </c>
      <c r="C93" s="4" t="s">
        <v>14</v>
      </c>
      <c r="D93" s="4" t="s">
        <v>15</v>
      </c>
      <c r="E93" s="4" t="s">
        <v>16</v>
      </c>
      <c r="F93" s="9" t="s">
        <v>61</v>
      </c>
      <c r="G93" s="9" t="s">
        <v>62</v>
      </c>
      <c r="H93" s="4" t="s">
        <v>17</v>
      </c>
      <c r="I93" s="5" t="s">
        <v>18</v>
      </c>
    </row>
    <row r="94" spans="1:11" x14ac:dyDescent="0.25">
      <c r="A94" s="7" t="s">
        <v>16</v>
      </c>
      <c r="B94" s="6">
        <f>B83*(3/2)</f>
        <v>1</v>
      </c>
      <c r="C94" s="7">
        <f t="shared" ref="C94:H94" si="33">C83*(3/2)</f>
        <v>0</v>
      </c>
      <c r="D94" s="7">
        <f t="shared" si="33"/>
        <v>-1</v>
      </c>
      <c r="E94" s="7">
        <f t="shared" si="33"/>
        <v>1.5</v>
      </c>
      <c r="F94" s="7">
        <f t="shared" si="33"/>
        <v>0.5</v>
      </c>
      <c r="G94" s="7">
        <f t="shared" si="33"/>
        <v>0</v>
      </c>
      <c r="H94" s="7">
        <f t="shared" si="33"/>
        <v>-1</v>
      </c>
      <c r="I94" s="7">
        <f>H94/B94</f>
        <v>-1</v>
      </c>
      <c r="J94" t="s">
        <v>69</v>
      </c>
      <c r="K94" s="18" t="s">
        <v>83</v>
      </c>
    </row>
    <row r="95" spans="1:11" x14ac:dyDescent="0.25">
      <c r="A95" s="7" t="s">
        <v>14</v>
      </c>
      <c r="B95" s="6">
        <f>B84-B$94</f>
        <v>0</v>
      </c>
      <c r="C95" s="7">
        <f t="shared" ref="C95:H95" si="34">C84-C$94</f>
        <v>1</v>
      </c>
      <c r="D95" s="7">
        <f t="shared" si="34"/>
        <v>1</v>
      </c>
      <c r="E95" s="7">
        <f t="shared" si="34"/>
        <v>-1</v>
      </c>
      <c r="F95" s="7">
        <f t="shared" si="34"/>
        <v>0</v>
      </c>
      <c r="G95" s="7">
        <f t="shared" si="34"/>
        <v>0</v>
      </c>
      <c r="H95" s="7">
        <f t="shared" si="34"/>
        <v>2</v>
      </c>
      <c r="I95" s="7" t="e">
        <f>H95/B95</f>
        <v>#DIV/0!</v>
      </c>
      <c r="J95" t="s">
        <v>84</v>
      </c>
    </row>
    <row r="96" spans="1:11" x14ac:dyDescent="0.25">
      <c r="A96" s="7" t="s">
        <v>16</v>
      </c>
      <c r="B96" s="6">
        <f t="shared" ref="B96:H98" si="35">B85-B$94</f>
        <v>0</v>
      </c>
      <c r="C96" s="7">
        <f t="shared" si="35"/>
        <v>0</v>
      </c>
      <c r="D96" s="7">
        <f t="shared" si="35"/>
        <v>1</v>
      </c>
      <c r="E96" s="7">
        <f t="shared" si="35"/>
        <v>2</v>
      </c>
      <c r="F96" s="7">
        <f t="shared" si="35"/>
        <v>0</v>
      </c>
      <c r="G96" s="7">
        <f t="shared" si="35"/>
        <v>1</v>
      </c>
      <c r="H96" s="7">
        <f t="shared" si="35"/>
        <v>4</v>
      </c>
      <c r="I96" s="7" t="e">
        <f>H96/B96</f>
        <v>#DIV/0!</v>
      </c>
      <c r="J96" t="s">
        <v>84</v>
      </c>
    </row>
    <row r="97" spans="1:10" x14ac:dyDescent="0.25">
      <c r="A97" s="7" t="s">
        <v>19</v>
      </c>
      <c r="B97" s="6">
        <f>B86-5*B$94</f>
        <v>-10</v>
      </c>
      <c r="C97" s="7">
        <f t="shared" ref="C97:I97" si="36">C86-5*C$94</f>
        <v>0</v>
      </c>
      <c r="D97" s="7">
        <f t="shared" si="36"/>
        <v>5</v>
      </c>
      <c r="E97" s="7">
        <f t="shared" si="36"/>
        <v>-7</v>
      </c>
      <c r="F97" s="7">
        <f t="shared" si="36"/>
        <v>-1</v>
      </c>
      <c r="G97" s="7">
        <f t="shared" si="36"/>
        <v>0</v>
      </c>
      <c r="H97" s="7">
        <f t="shared" si="36"/>
        <v>10</v>
      </c>
      <c r="I97" s="7"/>
      <c r="J97" t="s">
        <v>85</v>
      </c>
    </row>
    <row r="98" spans="1:10" x14ac:dyDescent="0.25">
      <c r="A98" s="7" t="s">
        <v>20</v>
      </c>
      <c r="B98" s="6">
        <f>B87+B$94</f>
        <v>0</v>
      </c>
      <c r="C98" s="7">
        <f t="shared" ref="C98:H98" si="37">C87+C$94</f>
        <v>0</v>
      </c>
      <c r="D98" s="7">
        <f t="shared" si="37"/>
        <v>-1</v>
      </c>
      <c r="E98" s="7">
        <f t="shared" si="37"/>
        <v>-2</v>
      </c>
      <c r="F98" s="7">
        <f t="shared" si="37"/>
        <v>0</v>
      </c>
      <c r="G98" s="7">
        <f t="shared" si="37"/>
        <v>-1</v>
      </c>
      <c r="H98" s="7">
        <f t="shared" si="37"/>
        <v>-4</v>
      </c>
      <c r="I98" s="7"/>
      <c r="J98" t="s">
        <v>86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H124"/>
  <sheetViews>
    <sheetView tabSelected="1" topLeftCell="A121" zoomScaleNormal="100" workbookViewId="0">
      <selection activeCell="J131" sqref="J130:J131"/>
    </sheetView>
  </sheetViews>
  <sheetFormatPr defaultRowHeight="15" x14ac:dyDescent="0.25"/>
  <sheetData>
    <row r="14" spans="1:2" x14ac:dyDescent="0.25">
      <c r="A14" t="s">
        <v>10</v>
      </c>
    </row>
    <row r="15" spans="1:2" x14ac:dyDescent="0.25">
      <c r="B15" s="2" t="s">
        <v>0</v>
      </c>
    </row>
    <row r="16" spans="1:2" x14ac:dyDescent="0.25">
      <c r="B16" s="2" t="s">
        <v>1</v>
      </c>
    </row>
    <row r="17" spans="1:2" x14ac:dyDescent="0.25">
      <c r="B17" s="2" t="s">
        <v>2</v>
      </c>
    </row>
    <row r="19" spans="1:2" x14ac:dyDescent="0.25">
      <c r="A19" t="s">
        <v>5</v>
      </c>
    </row>
    <row r="20" spans="1:2" x14ac:dyDescent="0.25">
      <c r="B20" t="s">
        <v>4</v>
      </c>
    </row>
    <row r="21" spans="1:2" x14ac:dyDescent="0.25">
      <c r="B21" t="s">
        <v>3</v>
      </c>
    </row>
    <row r="23" spans="1:2" x14ac:dyDescent="0.25">
      <c r="A23" t="s">
        <v>9</v>
      </c>
    </row>
    <row r="24" spans="1:2" x14ac:dyDescent="0.25">
      <c r="B24" s="2" t="s">
        <v>6</v>
      </c>
    </row>
    <row r="25" spans="1:2" x14ac:dyDescent="0.25">
      <c r="B25" s="2" t="s">
        <v>7</v>
      </c>
    </row>
    <row r="26" spans="1:2" x14ac:dyDescent="0.25">
      <c r="B26" s="2" t="s">
        <v>2</v>
      </c>
    </row>
    <row r="28" spans="1:2" x14ac:dyDescent="0.25">
      <c r="A28" t="s">
        <v>8</v>
      </c>
    </row>
    <row r="29" spans="1:2" x14ac:dyDescent="0.25">
      <c r="A29" t="s">
        <v>26</v>
      </c>
    </row>
    <row r="31" spans="1:2" x14ac:dyDescent="0.25">
      <c r="A31" t="s">
        <v>11</v>
      </c>
    </row>
    <row r="33" spans="1:8" x14ac:dyDescent="0.25">
      <c r="A33" s="4" t="s">
        <v>12</v>
      </c>
      <c r="B33" s="4" t="s">
        <v>13</v>
      </c>
      <c r="C33" s="4" t="s">
        <v>14</v>
      </c>
      <c r="D33" s="4" t="s">
        <v>15</v>
      </c>
      <c r="E33" s="4" t="s">
        <v>16</v>
      </c>
      <c r="F33" s="4" t="s">
        <v>17</v>
      </c>
      <c r="G33" s="5" t="s">
        <v>18</v>
      </c>
    </row>
    <row r="34" spans="1:8" x14ac:dyDescent="0.25">
      <c r="A34" s="4" t="s">
        <v>15</v>
      </c>
      <c r="B34" s="7">
        <v>1</v>
      </c>
      <c r="C34" s="6">
        <v>1</v>
      </c>
      <c r="D34" s="7">
        <v>1</v>
      </c>
      <c r="E34" s="7">
        <v>0</v>
      </c>
      <c r="F34" s="7">
        <v>2</v>
      </c>
      <c r="G34" s="4" t="s">
        <v>21</v>
      </c>
    </row>
    <row r="35" spans="1:8" x14ac:dyDescent="0.25">
      <c r="A35" s="4" t="s">
        <v>16</v>
      </c>
      <c r="B35" s="6">
        <v>1</v>
      </c>
      <c r="C35" s="8">
        <v>1</v>
      </c>
      <c r="D35" s="6">
        <v>0</v>
      </c>
      <c r="E35" s="6">
        <v>-1</v>
      </c>
      <c r="F35" s="6">
        <v>1</v>
      </c>
      <c r="G35" s="4" t="s">
        <v>22</v>
      </c>
    </row>
    <row r="36" spans="1:8" x14ac:dyDescent="0.25">
      <c r="A36" s="4" t="s">
        <v>19</v>
      </c>
      <c r="B36" s="4">
        <v>1</v>
      </c>
      <c r="C36" s="6">
        <v>-2</v>
      </c>
      <c r="D36" s="7">
        <v>0</v>
      </c>
      <c r="E36" s="4">
        <v>0</v>
      </c>
      <c r="F36" s="4">
        <v>0</v>
      </c>
      <c r="G36" s="4"/>
    </row>
    <row r="37" spans="1:8" x14ac:dyDescent="0.25">
      <c r="A37" s="4" t="s">
        <v>20</v>
      </c>
      <c r="B37" s="4">
        <v>-3</v>
      </c>
      <c r="C37" s="6">
        <v>-3</v>
      </c>
      <c r="D37" s="7">
        <v>-1</v>
      </c>
      <c r="E37" s="4">
        <v>-1</v>
      </c>
      <c r="F37" s="4">
        <v>-3</v>
      </c>
      <c r="G37" s="4"/>
    </row>
    <row r="39" spans="1:8" x14ac:dyDescent="0.25">
      <c r="A39" s="3" t="s">
        <v>27</v>
      </c>
    </row>
    <row r="40" spans="1:8" x14ac:dyDescent="0.25">
      <c r="A40" s="3" t="s">
        <v>28</v>
      </c>
    </row>
    <row r="41" spans="1:8" x14ac:dyDescent="0.25">
      <c r="A41" s="3" t="s">
        <v>23</v>
      </c>
    </row>
    <row r="43" spans="1:8" x14ac:dyDescent="0.25">
      <c r="A43" s="3" t="s">
        <v>25</v>
      </c>
    </row>
    <row r="44" spans="1:8" x14ac:dyDescent="0.25">
      <c r="A44" s="4" t="s">
        <v>12</v>
      </c>
      <c r="B44" s="4" t="s">
        <v>13</v>
      </c>
      <c r="C44" s="4" t="s">
        <v>14</v>
      </c>
      <c r="D44" s="4" t="s">
        <v>15</v>
      </c>
      <c r="E44" s="4" t="s">
        <v>16</v>
      </c>
      <c r="F44" s="4" t="s">
        <v>17</v>
      </c>
      <c r="G44" s="5" t="s">
        <v>18</v>
      </c>
    </row>
    <row r="45" spans="1:8" x14ac:dyDescent="0.25">
      <c r="A45" s="4" t="s">
        <v>15</v>
      </c>
      <c r="B45" s="7">
        <v>0</v>
      </c>
      <c r="C45" s="7">
        <v>0</v>
      </c>
      <c r="D45" s="7">
        <v>1</v>
      </c>
      <c r="E45" s="6">
        <v>1</v>
      </c>
      <c r="F45" s="7">
        <v>1</v>
      </c>
      <c r="G45" s="4" t="s">
        <v>33</v>
      </c>
      <c r="H45" t="s">
        <v>30</v>
      </c>
    </row>
    <row r="46" spans="1:8" x14ac:dyDescent="0.25">
      <c r="A46" s="4" t="s">
        <v>14</v>
      </c>
      <c r="B46" s="6">
        <v>1</v>
      </c>
      <c r="C46" s="6">
        <v>1</v>
      </c>
      <c r="D46" s="6">
        <v>0</v>
      </c>
      <c r="E46" s="8">
        <v>-1</v>
      </c>
      <c r="F46" s="6">
        <v>1</v>
      </c>
      <c r="G46" s="4" t="s">
        <v>34</v>
      </c>
    </row>
    <row r="47" spans="1:8" x14ac:dyDescent="0.25">
      <c r="A47" s="4" t="s">
        <v>19</v>
      </c>
      <c r="B47" s="4">
        <v>2</v>
      </c>
      <c r="C47" s="4">
        <v>0</v>
      </c>
      <c r="D47" s="7">
        <v>0</v>
      </c>
      <c r="E47" s="6">
        <v>-2</v>
      </c>
      <c r="F47" s="4">
        <v>2</v>
      </c>
      <c r="G47" s="4"/>
      <c r="H47" t="s">
        <v>31</v>
      </c>
    </row>
    <row r="48" spans="1:8" x14ac:dyDescent="0.25">
      <c r="A48" s="4" t="s">
        <v>20</v>
      </c>
      <c r="B48" s="4">
        <v>0</v>
      </c>
      <c r="C48" s="4">
        <v>0</v>
      </c>
      <c r="D48" s="7">
        <v>-1</v>
      </c>
      <c r="E48" s="6">
        <v>-4</v>
      </c>
      <c r="F48" s="4">
        <v>0</v>
      </c>
      <c r="G48" s="4"/>
      <c r="H48" t="s">
        <v>32</v>
      </c>
    </row>
    <row r="50" spans="1:8" x14ac:dyDescent="0.25">
      <c r="A50" s="3" t="s">
        <v>35</v>
      </c>
    </row>
    <row r="51" spans="1:8" x14ac:dyDescent="0.25">
      <c r="A51" s="3" t="s">
        <v>28</v>
      </c>
    </row>
    <row r="52" spans="1:8" x14ac:dyDescent="0.25">
      <c r="A52" s="3" t="s">
        <v>36</v>
      </c>
    </row>
    <row r="54" spans="1:8" x14ac:dyDescent="0.25">
      <c r="A54" s="3" t="s">
        <v>25</v>
      </c>
    </row>
    <row r="55" spans="1:8" x14ac:dyDescent="0.25">
      <c r="A55" s="4" t="s">
        <v>12</v>
      </c>
      <c r="B55" s="4" t="s">
        <v>13</v>
      </c>
      <c r="C55" s="4" t="s">
        <v>14</v>
      </c>
      <c r="D55" s="4" t="s">
        <v>15</v>
      </c>
      <c r="E55" s="4" t="s">
        <v>16</v>
      </c>
      <c r="F55" s="4" t="s">
        <v>17</v>
      </c>
      <c r="G55" s="5" t="s">
        <v>18</v>
      </c>
    </row>
    <row r="56" spans="1:8" x14ac:dyDescent="0.25">
      <c r="A56" s="4" t="s">
        <v>15</v>
      </c>
      <c r="B56" s="7">
        <v>1</v>
      </c>
      <c r="C56" s="6">
        <v>1</v>
      </c>
      <c r="D56" s="7">
        <v>1</v>
      </c>
      <c r="E56" s="7">
        <v>0</v>
      </c>
      <c r="F56" s="7">
        <v>2</v>
      </c>
      <c r="G56" s="4" t="s">
        <v>39</v>
      </c>
      <c r="H56" t="s">
        <v>29</v>
      </c>
    </row>
    <row r="57" spans="1:8" x14ac:dyDescent="0.25">
      <c r="A57" s="4" t="s">
        <v>16</v>
      </c>
      <c r="B57" s="6">
        <v>1</v>
      </c>
      <c r="C57" s="8">
        <v>1</v>
      </c>
      <c r="D57" s="6">
        <v>0</v>
      </c>
      <c r="E57" s="6">
        <v>-1</v>
      </c>
      <c r="F57" s="6">
        <v>1</v>
      </c>
      <c r="G57" s="4" t="s">
        <v>33</v>
      </c>
    </row>
    <row r="58" spans="1:8" x14ac:dyDescent="0.25">
      <c r="A58" s="4" t="s">
        <v>19</v>
      </c>
      <c r="B58" s="4">
        <v>0</v>
      </c>
      <c r="C58" s="6">
        <v>-2</v>
      </c>
      <c r="D58" s="7">
        <v>0</v>
      </c>
      <c r="E58" s="7">
        <v>0</v>
      </c>
      <c r="F58" s="4">
        <v>0</v>
      </c>
      <c r="G58" s="4"/>
      <c r="H58" t="s">
        <v>37</v>
      </c>
    </row>
    <row r="59" spans="1:8" x14ac:dyDescent="0.25">
      <c r="A59" s="4" t="s">
        <v>20</v>
      </c>
      <c r="B59" s="4">
        <v>-4</v>
      </c>
      <c r="C59" s="6">
        <v>-4</v>
      </c>
      <c r="D59" s="7">
        <v>-1</v>
      </c>
      <c r="E59" s="7">
        <v>0</v>
      </c>
      <c r="F59" s="4">
        <v>-4</v>
      </c>
      <c r="G59" s="4"/>
      <c r="H59" t="s">
        <v>38</v>
      </c>
    </row>
    <row r="61" spans="1:8" x14ac:dyDescent="0.25">
      <c r="A61" s="3" t="s">
        <v>27</v>
      </c>
    </row>
    <row r="62" spans="1:8" x14ac:dyDescent="0.25">
      <c r="A62" s="3" t="s">
        <v>28</v>
      </c>
    </row>
    <row r="63" spans="1:8" x14ac:dyDescent="0.25">
      <c r="A63" s="3" t="s">
        <v>23</v>
      </c>
    </row>
    <row r="65" spans="1:8" x14ac:dyDescent="0.25">
      <c r="A65" s="3" t="s">
        <v>25</v>
      </c>
    </row>
    <row r="66" spans="1:8" x14ac:dyDescent="0.25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16</v>
      </c>
      <c r="F66" s="4" t="s">
        <v>17</v>
      </c>
      <c r="G66" s="5" t="s">
        <v>18</v>
      </c>
    </row>
    <row r="67" spans="1:8" x14ac:dyDescent="0.25">
      <c r="A67" s="4"/>
      <c r="B67" s="7">
        <v>0</v>
      </c>
      <c r="C67" s="9">
        <v>0</v>
      </c>
      <c r="D67" s="7">
        <v>1</v>
      </c>
      <c r="E67" s="6">
        <v>1</v>
      </c>
      <c r="F67" s="7">
        <v>1</v>
      </c>
      <c r="G67" s="4" t="s">
        <v>33</v>
      </c>
      <c r="H67" t="s">
        <v>30</v>
      </c>
    </row>
    <row r="68" spans="1:8" x14ac:dyDescent="0.25">
      <c r="A68" s="4"/>
      <c r="B68" s="6">
        <v>1</v>
      </c>
      <c r="C68" s="6">
        <v>1</v>
      </c>
      <c r="D68" s="6">
        <v>0</v>
      </c>
      <c r="E68" s="8">
        <v>-1</v>
      </c>
      <c r="F68" s="6">
        <v>1</v>
      </c>
      <c r="G68" s="9" t="s">
        <v>41</v>
      </c>
    </row>
    <row r="69" spans="1:8" x14ac:dyDescent="0.25">
      <c r="A69" s="4" t="s">
        <v>19</v>
      </c>
      <c r="B69" s="4">
        <v>2</v>
      </c>
      <c r="C69" s="9">
        <v>0</v>
      </c>
      <c r="D69" s="7">
        <v>0</v>
      </c>
      <c r="E69" s="6">
        <v>-2</v>
      </c>
      <c r="F69" s="4">
        <v>2</v>
      </c>
      <c r="G69" s="4"/>
      <c r="H69" t="s">
        <v>31</v>
      </c>
    </row>
    <row r="70" spans="1:8" x14ac:dyDescent="0.25">
      <c r="A70" s="4" t="s">
        <v>20</v>
      </c>
      <c r="B70" s="4">
        <v>0</v>
      </c>
      <c r="C70" s="9">
        <v>0</v>
      </c>
      <c r="D70" s="7">
        <v>-1</v>
      </c>
      <c r="E70" s="6">
        <v>-4</v>
      </c>
      <c r="F70" s="4">
        <v>0</v>
      </c>
      <c r="G70" s="4"/>
      <c r="H70" t="s">
        <v>40</v>
      </c>
    </row>
    <row r="72" spans="1:8" x14ac:dyDescent="0.25">
      <c r="A72" t="s">
        <v>42</v>
      </c>
    </row>
    <row r="74" spans="1:8" x14ac:dyDescent="0.25">
      <c r="A74" s="1"/>
      <c r="B74" s="1"/>
      <c r="C74" s="1"/>
      <c r="D74" s="1"/>
      <c r="E74" s="1"/>
      <c r="F74" s="1"/>
      <c r="G74" s="1"/>
    </row>
    <row r="76" spans="1:8" x14ac:dyDescent="0.25">
      <c r="A76" t="s">
        <v>43</v>
      </c>
    </row>
    <row r="78" spans="1:8" x14ac:dyDescent="0.25">
      <c r="A78" s="4" t="s">
        <v>12</v>
      </c>
      <c r="B78" s="4" t="s">
        <v>13</v>
      </c>
      <c r="C78" s="4" t="s">
        <v>14</v>
      </c>
      <c r="D78" s="4" t="s">
        <v>15</v>
      </c>
      <c r="E78" s="4" t="s">
        <v>16</v>
      </c>
      <c r="F78" s="4" t="s">
        <v>17</v>
      </c>
      <c r="G78" s="5" t="s">
        <v>18</v>
      </c>
    </row>
    <row r="79" spans="1:8" x14ac:dyDescent="0.25">
      <c r="A79" s="4" t="s">
        <v>15</v>
      </c>
      <c r="B79" s="6">
        <v>1</v>
      </c>
      <c r="C79" s="7">
        <v>1</v>
      </c>
      <c r="D79" s="7">
        <v>1</v>
      </c>
      <c r="E79" s="7">
        <v>0</v>
      </c>
      <c r="F79" s="7">
        <v>2</v>
      </c>
      <c r="G79" s="4" t="s">
        <v>21</v>
      </c>
    </row>
    <row r="80" spans="1:8" x14ac:dyDescent="0.25">
      <c r="A80" s="4" t="s">
        <v>16</v>
      </c>
      <c r="B80" s="8">
        <v>1</v>
      </c>
      <c r="C80" s="6">
        <v>1</v>
      </c>
      <c r="D80" s="6">
        <v>0</v>
      </c>
      <c r="E80" s="6">
        <v>-1</v>
      </c>
      <c r="F80" s="6">
        <v>1</v>
      </c>
      <c r="G80" s="4" t="s">
        <v>22</v>
      </c>
    </row>
    <row r="81" spans="1:8" x14ac:dyDescent="0.25">
      <c r="A81" s="4" t="s">
        <v>19</v>
      </c>
      <c r="B81" s="6">
        <v>1</v>
      </c>
      <c r="C81" s="7">
        <v>-2</v>
      </c>
      <c r="D81" s="7">
        <v>0</v>
      </c>
      <c r="E81" s="4">
        <v>0</v>
      </c>
      <c r="F81" s="4">
        <v>0</v>
      </c>
      <c r="G81" s="4"/>
    </row>
    <row r="82" spans="1:8" x14ac:dyDescent="0.25">
      <c r="A82" s="4" t="s">
        <v>20</v>
      </c>
      <c r="B82" s="6">
        <v>-3</v>
      </c>
      <c r="C82" s="7">
        <v>-3</v>
      </c>
      <c r="D82" s="7">
        <v>-1</v>
      </c>
      <c r="E82" s="4">
        <v>-1</v>
      </c>
      <c r="F82" s="4">
        <v>-3</v>
      </c>
      <c r="G82" s="4"/>
    </row>
    <row r="84" spans="1:8" x14ac:dyDescent="0.25">
      <c r="A84" s="3" t="s">
        <v>44</v>
      </c>
    </row>
    <row r="85" spans="1:8" x14ac:dyDescent="0.25">
      <c r="A85" s="3" t="s">
        <v>28</v>
      </c>
    </row>
    <row r="86" spans="1:8" x14ac:dyDescent="0.25">
      <c r="A86" s="3" t="s">
        <v>23</v>
      </c>
    </row>
    <row r="88" spans="1:8" x14ac:dyDescent="0.25">
      <c r="A88" s="4" t="s">
        <v>12</v>
      </c>
      <c r="B88" s="4" t="s">
        <v>13</v>
      </c>
      <c r="C88" s="4" t="s">
        <v>14</v>
      </c>
      <c r="D88" s="4" t="s">
        <v>15</v>
      </c>
      <c r="E88" s="4" t="s">
        <v>16</v>
      </c>
      <c r="F88" s="4" t="s">
        <v>17</v>
      </c>
      <c r="G88" s="5" t="s">
        <v>18</v>
      </c>
    </row>
    <row r="89" spans="1:8" x14ac:dyDescent="0.25">
      <c r="A89" s="4" t="s">
        <v>15</v>
      </c>
      <c r="B89" s="7">
        <v>0</v>
      </c>
      <c r="C89" s="6">
        <v>0</v>
      </c>
      <c r="D89" s="7">
        <v>1</v>
      </c>
      <c r="E89" s="7">
        <v>1</v>
      </c>
      <c r="F89" s="7">
        <v>1</v>
      </c>
      <c r="G89" s="4" t="s">
        <v>45</v>
      </c>
      <c r="H89" t="s">
        <v>30</v>
      </c>
    </row>
    <row r="90" spans="1:8" x14ac:dyDescent="0.25">
      <c r="A90" s="4" t="s">
        <v>13</v>
      </c>
      <c r="B90" s="6">
        <v>1</v>
      </c>
      <c r="C90" s="8">
        <v>1</v>
      </c>
      <c r="D90" s="6">
        <v>0</v>
      </c>
      <c r="E90" s="6">
        <v>-1</v>
      </c>
      <c r="F90" s="6">
        <v>1</v>
      </c>
      <c r="G90" s="4" t="s">
        <v>33</v>
      </c>
    </row>
    <row r="91" spans="1:8" x14ac:dyDescent="0.25">
      <c r="A91" s="4" t="s">
        <v>19</v>
      </c>
      <c r="B91" s="7">
        <v>0</v>
      </c>
      <c r="C91" s="6">
        <v>-3</v>
      </c>
      <c r="D91" s="7">
        <v>0</v>
      </c>
      <c r="E91" s="4">
        <v>1</v>
      </c>
      <c r="F91" s="4">
        <v>-1</v>
      </c>
      <c r="G91" s="4"/>
      <c r="H91" t="s">
        <v>30</v>
      </c>
    </row>
    <row r="92" spans="1:8" x14ac:dyDescent="0.25">
      <c r="A92" s="4" t="s">
        <v>20</v>
      </c>
      <c r="B92" s="7">
        <v>0</v>
      </c>
      <c r="C92" s="6">
        <v>0</v>
      </c>
      <c r="D92" s="7">
        <v>-1</v>
      </c>
      <c r="E92" s="4">
        <v>2</v>
      </c>
      <c r="F92" s="4">
        <v>0</v>
      </c>
      <c r="G92" s="4"/>
      <c r="H92" t="s">
        <v>32</v>
      </c>
    </row>
    <row r="94" spans="1:8" x14ac:dyDescent="0.25">
      <c r="A94" s="3" t="s">
        <v>27</v>
      </c>
    </row>
    <row r="95" spans="1:8" x14ac:dyDescent="0.25">
      <c r="A95" s="3" t="s">
        <v>28</v>
      </c>
    </row>
    <row r="96" spans="1:8" x14ac:dyDescent="0.25">
      <c r="A96" s="3" t="s">
        <v>23</v>
      </c>
    </row>
    <row r="98" spans="1:8" x14ac:dyDescent="0.25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16</v>
      </c>
      <c r="F98" s="4" t="s">
        <v>17</v>
      </c>
      <c r="G98" s="5" t="s">
        <v>18</v>
      </c>
    </row>
    <row r="99" spans="1:8" x14ac:dyDescent="0.25">
      <c r="A99" s="4" t="s">
        <v>15</v>
      </c>
      <c r="B99" s="7">
        <v>0</v>
      </c>
      <c r="C99" s="7">
        <v>0</v>
      </c>
      <c r="D99" s="7">
        <v>1</v>
      </c>
      <c r="E99" s="6">
        <v>1</v>
      </c>
      <c r="F99" s="7">
        <v>1</v>
      </c>
      <c r="G99" s="4" t="s">
        <v>33</v>
      </c>
    </row>
    <row r="100" spans="1:8" x14ac:dyDescent="0.25">
      <c r="A100" s="4" t="s">
        <v>14</v>
      </c>
      <c r="B100" s="6">
        <v>1</v>
      </c>
      <c r="C100" s="6">
        <v>1</v>
      </c>
      <c r="D100" s="6">
        <v>0</v>
      </c>
      <c r="E100" s="8">
        <v>-1</v>
      </c>
      <c r="F100" s="6">
        <v>1</v>
      </c>
      <c r="G100" s="4" t="s">
        <v>34</v>
      </c>
    </row>
    <row r="101" spans="1:8" x14ac:dyDescent="0.25">
      <c r="A101" s="4" t="s">
        <v>19</v>
      </c>
      <c r="B101" s="7">
        <v>3</v>
      </c>
      <c r="C101" s="7">
        <v>0</v>
      </c>
      <c r="D101" s="7">
        <v>0</v>
      </c>
      <c r="E101" s="6">
        <v>-2</v>
      </c>
      <c r="F101" s="7">
        <v>2</v>
      </c>
      <c r="G101" s="4"/>
    </row>
    <row r="102" spans="1:8" x14ac:dyDescent="0.25">
      <c r="A102" s="4" t="s">
        <v>20</v>
      </c>
      <c r="B102" s="7">
        <v>0</v>
      </c>
      <c r="C102" s="7">
        <v>0</v>
      </c>
      <c r="D102" s="7">
        <v>-1</v>
      </c>
      <c r="E102" s="6">
        <v>2</v>
      </c>
      <c r="F102" s="7">
        <v>0</v>
      </c>
      <c r="G102" s="4"/>
    </row>
    <row r="104" spans="1:8" x14ac:dyDescent="0.25">
      <c r="A104" s="3" t="s">
        <v>27</v>
      </c>
    </row>
    <row r="105" spans="1:8" x14ac:dyDescent="0.25">
      <c r="A105" s="3" t="s">
        <v>46</v>
      </c>
    </row>
    <row r="106" spans="1:8" x14ac:dyDescent="0.25">
      <c r="A106" s="3" t="s">
        <v>36</v>
      </c>
    </row>
    <row r="108" spans="1:8" x14ac:dyDescent="0.25">
      <c r="A108" s="4" t="s">
        <v>12</v>
      </c>
      <c r="B108" s="4" t="s">
        <v>13</v>
      </c>
      <c r="C108" s="4" t="s">
        <v>14</v>
      </c>
      <c r="D108" s="4" t="s">
        <v>15</v>
      </c>
      <c r="E108" s="4" t="s">
        <v>16</v>
      </c>
      <c r="F108" s="4" t="s">
        <v>17</v>
      </c>
      <c r="G108" s="5" t="s">
        <v>18</v>
      </c>
    </row>
    <row r="109" spans="1:8" x14ac:dyDescent="0.25">
      <c r="A109" s="4" t="s">
        <v>15</v>
      </c>
      <c r="B109" s="7">
        <v>1</v>
      </c>
      <c r="C109" s="6">
        <v>1</v>
      </c>
      <c r="D109" s="7">
        <v>1</v>
      </c>
      <c r="E109" s="7">
        <v>0</v>
      </c>
      <c r="F109" s="7">
        <v>2</v>
      </c>
      <c r="G109" s="4"/>
      <c r="H109" t="s">
        <v>29</v>
      </c>
    </row>
    <row r="110" spans="1:8" x14ac:dyDescent="0.25">
      <c r="A110" s="4" t="s">
        <v>13</v>
      </c>
      <c r="B110" s="6">
        <v>1</v>
      </c>
      <c r="C110" s="8">
        <v>1</v>
      </c>
      <c r="D110" s="6">
        <v>0</v>
      </c>
      <c r="E110" s="6">
        <v>-1</v>
      </c>
      <c r="F110" s="6">
        <v>1</v>
      </c>
      <c r="G110" s="4"/>
    </row>
    <row r="111" spans="1:8" x14ac:dyDescent="0.25">
      <c r="A111" s="4" t="s">
        <v>19</v>
      </c>
      <c r="B111" s="7">
        <v>1</v>
      </c>
      <c r="C111" s="6">
        <v>-2</v>
      </c>
      <c r="D111" s="7">
        <v>0</v>
      </c>
      <c r="E111" s="7">
        <v>0</v>
      </c>
      <c r="F111" s="7">
        <v>0</v>
      </c>
      <c r="G111" s="4"/>
      <c r="H111" t="s">
        <v>37</v>
      </c>
    </row>
    <row r="112" spans="1:8" x14ac:dyDescent="0.25">
      <c r="A112" s="4" t="s">
        <v>20</v>
      </c>
      <c r="B112" s="7">
        <v>2</v>
      </c>
      <c r="C112" s="6">
        <v>2</v>
      </c>
      <c r="D112" s="7">
        <v>-1</v>
      </c>
      <c r="E112" s="7">
        <v>0</v>
      </c>
      <c r="F112" s="7">
        <v>2</v>
      </c>
      <c r="G112" s="4"/>
      <c r="H112" t="s">
        <v>31</v>
      </c>
    </row>
    <row r="114" spans="1:7" x14ac:dyDescent="0.25">
      <c r="A114" s="3" t="s">
        <v>27</v>
      </c>
    </row>
    <row r="115" spans="1:7" x14ac:dyDescent="0.25">
      <c r="A115" s="3" t="s">
        <v>28</v>
      </c>
    </row>
    <row r="116" spans="1:7" x14ac:dyDescent="0.25">
      <c r="A116" s="3" t="s">
        <v>47</v>
      </c>
    </row>
    <row r="118" spans="1:7" x14ac:dyDescent="0.25">
      <c r="A118" s="4" t="s">
        <v>12</v>
      </c>
      <c r="B118" s="4" t="s">
        <v>13</v>
      </c>
      <c r="C118" s="4" t="s">
        <v>14</v>
      </c>
      <c r="D118" s="4" t="s">
        <v>15</v>
      </c>
      <c r="E118" s="4" t="s">
        <v>16</v>
      </c>
      <c r="F118" s="4" t="s">
        <v>17</v>
      </c>
      <c r="G118" s="5" t="s">
        <v>18</v>
      </c>
    </row>
    <row r="119" spans="1:7" x14ac:dyDescent="0.25">
      <c r="A119" s="4" t="s">
        <v>15</v>
      </c>
      <c r="B119" s="7">
        <v>0</v>
      </c>
      <c r="C119" s="7">
        <v>0</v>
      </c>
      <c r="D119" s="7">
        <v>1</v>
      </c>
      <c r="E119" s="6">
        <v>1</v>
      </c>
      <c r="F119" s="7">
        <v>1</v>
      </c>
      <c r="G119" s="4" t="s">
        <v>33</v>
      </c>
    </row>
    <row r="120" spans="1:7" x14ac:dyDescent="0.25">
      <c r="A120" s="4" t="s">
        <v>14</v>
      </c>
      <c r="B120" s="6">
        <v>1</v>
      </c>
      <c r="C120" s="6">
        <v>1</v>
      </c>
      <c r="D120" s="6">
        <v>0</v>
      </c>
      <c r="E120" s="8">
        <v>-1</v>
      </c>
      <c r="F120" s="6">
        <v>1</v>
      </c>
      <c r="G120" s="4" t="s">
        <v>34</v>
      </c>
    </row>
    <row r="121" spans="1:7" x14ac:dyDescent="0.25">
      <c r="A121" s="4" t="s">
        <v>19</v>
      </c>
      <c r="B121" s="7">
        <v>3</v>
      </c>
      <c r="C121" s="7">
        <v>0</v>
      </c>
      <c r="D121" s="7">
        <v>0</v>
      </c>
      <c r="E121" s="6">
        <v>-2</v>
      </c>
      <c r="F121" s="7">
        <v>2</v>
      </c>
      <c r="G121" s="4"/>
    </row>
    <row r="122" spans="1:7" x14ac:dyDescent="0.25">
      <c r="A122" s="4" t="s">
        <v>20</v>
      </c>
      <c r="B122" s="7">
        <v>0</v>
      </c>
      <c r="C122" s="7">
        <v>0</v>
      </c>
      <c r="D122" s="7">
        <v>-1</v>
      </c>
      <c r="E122" s="6">
        <v>2</v>
      </c>
      <c r="F122" s="7">
        <v>0</v>
      </c>
      <c r="G122" s="4"/>
    </row>
    <row r="124" spans="1:7" x14ac:dyDescent="0.25">
      <c r="A124" s="10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4.1</vt:lpstr>
      <vt:lpstr>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2025-11-26T12:58:13Z</dcterms:modified>
</cp:coreProperties>
</file>