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b16\Students\ПМИб-3\Алекскандров Эрнест\Численные методы\"/>
    </mc:Choice>
  </mc:AlternateContent>
  <xr:revisionPtr revIDLastSave="0" documentId="13_ncr:1_{DDDF2BFE-BAD9-4CCC-A9AB-97D66C08C4B5}" xr6:coauthVersionLast="36" xr6:coauthVersionMax="36" xr10:uidLastSave="{00000000-0000-0000-0000-000000000000}"/>
  <bookViews>
    <workbookView xWindow="0" yWindow="0" windowWidth="21780" windowHeight="10110" xr2:uid="{BCC2B5B7-9915-4336-9540-714CE05C4036}"/>
  </bookViews>
  <sheets>
    <sheet name="Задание 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D11" i="1"/>
  <c r="D9" i="1"/>
  <c r="C11" i="1"/>
  <c r="D10" i="1"/>
  <c r="C10" i="1"/>
  <c r="C9" i="1"/>
  <c r="D8" i="1"/>
  <c r="C8" i="1"/>
  <c r="D7" i="1"/>
  <c r="C7" i="1"/>
  <c r="D6" i="1"/>
  <c r="E6" i="1"/>
  <c r="C6" i="1"/>
  <c r="E3" i="1"/>
  <c r="E4" i="1"/>
  <c r="E5" i="1"/>
  <c r="G3" i="1"/>
  <c r="E10" i="1" l="1"/>
  <c r="E9" i="1"/>
  <c r="E8" i="1"/>
  <c r="E7" i="1"/>
</calcChain>
</file>

<file path=xl/sharedStrings.xml><?xml version="1.0" encoding="utf-8"?>
<sst xmlns="http://schemas.openxmlformats.org/spreadsheetml/2006/main" count="15" uniqueCount="15">
  <si>
    <t>a</t>
  </si>
  <si>
    <t>b</t>
  </si>
  <si>
    <t>c</t>
  </si>
  <si>
    <t>a^2</t>
  </si>
  <si>
    <t>ln b</t>
  </si>
  <si>
    <t>ln b - a</t>
  </si>
  <si>
    <t>a^2 + 12c</t>
  </si>
  <si>
    <t>12c</t>
  </si>
  <si>
    <t>Z</t>
  </si>
  <si>
    <t>Приближённое число</t>
  </si>
  <si>
    <t>Значение</t>
  </si>
  <si>
    <t>Абсолютная погрешность</t>
  </si>
  <si>
    <t>Относительная погрешность</t>
  </si>
  <si>
    <t>Ответ</t>
  </si>
  <si>
    <r>
      <t>6,19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  <charset val="204"/>
      </rPr>
      <t>0,1</t>
    </r>
    <r>
      <rPr>
        <sz val="11"/>
        <color theme="1"/>
        <rFont val="Calibri"/>
        <family val="2"/>
        <charset val="20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</si>
</sst>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0"/>
    <numFmt numFmtId="166" formatCode="0.0000"/>
    <numFmt numFmtId="167" formatCode="0.00000"/>
    <numFmt numFmtId="168" formatCode="0.000000"/>
    <numFmt numFmtId="169" formatCode="0.0000000"/>
    <numFmt numFmtId="175" formatCode="0.0000000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7" xfId="0" applyNumberFormat="1" applyBorder="1" applyAlignment="1">
      <alignment horizontal="center" vertical="center" wrapText="1"/>
    </xf>
    <xf numFmtId="166" fontId="0" fillId="0" borderId="8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5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7" fontId="0" fillId="0" borderId="5" xfId="0" applyNumberFormat="1" applyBorder="1" applyAlignment="1">
      <alignment horizontal="center" vertical="center" wrapText="1"/>
    </xf>
    <xf numFmtId="168" fontId="0" fillId="0" borderId="8" xfId="0" applyNumberFormat="1" applyBorder="1" applyAlignment="1">
      <alignment horizontal="center" vertical="center" wrapText="1"/>
    </xf>
    <xf numFmtId="169" fontId="0" fillId="0" borderId="8" xfId="0" applyNumberFormat="1" applyBorder="1" applyAlignment="1">
      <alignment horizontal="center" vertical="center" wrapText="1"/>
    </xf>
    <xf numFmtId="175" fontId="0" fillId="0" borderId="8" xfId="0" applyNumberFormat="1" applyBorder="1" applyAlignment="1">
      <alignment horizontal="center" vertical="center" wrapText="1"/>
    </xf>
    <xf numFmtId="167" fontId="0" fillId="0" borderId="12" xfId="0" applyNumberForma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6E6E-79C1-4664-881B-A5DC151120FF}">
  <dimension ref="B1:G17"/>
  <sheetViews>
    <sheetView tabSelected="1" workbookViewId="0">
      <selection activeCell="C20" sqref="C20"/>
    </sheetView>
  </sheetViews>
  <sheetFormatPr defaultRowHeight="15" x14ac:dyDescent="0.25"/>
  <cols>
    <col min="1" max="1" width="9.140625" style="1"/>
    <col min="2" max="2" width="17.42578125" style="1" customWidth="1"/>
    <col min="3" max="3" width="10" style="1" customWidth="1"/>
    <col min="4" max="4" width="13.42578125" style="1" customWidth="1"/>
    <col min="5" max="5" width="15.5703125" style="1" customWidth="1"/>
    <col min="6" max="16384" width="9.140625" style="1"/>
  </cols>
  <sheetData>
    <row r="1" spans="2:7" ht="15.75" thickBot="1" x14ac:dyDescent="0.3"/>
    <row r="2" spans="2:7" ht="30.75" thickBot="1" x14ac:dyDescent="0.3">
      <c r="B2" s="5" t="s">
        <v>9</v>
      </c>
      <c r="C2" s="6" t="s">
        <v>10</v>
      </c>
      <c r="D2" s="6" t="s">
        <v>11</v>
      </c>
      <c r="E2" s="7" t="s">
        <v>12</v>
      </c>
    </row>
    <row r="3" spans="2:7" x14ac:dyDescent="0.25">
      <c r="B3" s="4" t="s">
        <v>0</v>
      </c>
      <c r="C3" s="9">
        <v>0.72189999999999999</v>
      </c>
      <c r="D3" s="9">
        <v>1E-4</v>
      </c>
      <c r="E3" s="15">
        <f>D3/C3</f>
        <v>1.3852334118298935E-4</v>
      </c>
      <c r="G3" s="1">
        <f>-2-2+1</f>
        <v>-3</v>
      </c>
    </row>
    <row r="4" spans="2:7" x14ac:dyDescent="0.25">
      <c r="B4" s="2" t="s">
        <v>1</v>
      </c>
      <c r="C4" s="8">
        <v>135.34700000000001</v>
      </c>
      <c r="D4" s="8">
        <v>1E-3</v>
      </c>
      <c r="E4" s="17">
        <f t="shared" ref="E4:E11" si="0">D4/C4</f>
        <v>7.3884164407042636E-6</v>
      </c>
    </row>
    <row r="5" spans="2:7" x14ac:dyDescent="0.25">
      <c r="B5" s="2" t="s">
        <v>2</v>
      </c>
      <c r="C5" s="8">
        <v>1.2999999999999999E-2</v>
      </c>
      <c r="D5" s="8">
        <v>1E-3</v>
      </c>
      <c r="E5" s="10">
        <f t="shared" si="0"/>
        <v>7.6923076923076927E-2</v>
      </c>
    </row>
    <row r="6" spans="2:7" x14ac:dyDescent="0.25">
      <c r="B6" s="2" t="s">
        <v>3</v>
      </c>
      <c r="C6" s="11">
        <f>C3^2</f>
        <v>0.52113960999999998</v>
      </c>
      <c r="D6" s="11">
        <f>C6*E6</f>
        <v>1.4438E-4</v>
      </c>
      <c r="E6" s="15">
        <f>2*E3</f>
        <v>2.7704668236597869E-4</v>
      </c>
    </row>
    <row r="7" spans="2:7" x14ac:dyDescent="0.25">
      <c r="B7" s="2" t="s">
        <v>4</v>
      </c>
      <c r="C7" s="11">
        <f>LN(C4)</f>
        <v>4.9078418510566335</v>
      </c>
      <c r="D7" s="13">
        <f>D4/C4</f>
        <v>7.3884164407042636E-6</v>
      </c>
      <c r="E7" s="17">
        <f t="shared" si="0"/>
        <v>1.5054308319070172E-6</v>
      </c>
    </row>
    <row r="8" spans="2:7" x14ac:dyDescent="0.25">
      <c r="B8" s="2" t="s">
        <v>7</v>
      </c>
      <c r="C8" s="8">
        <f>12*C5</f>
        <v>0.156</v>
      </c>
      <c r="D8" s="11">
        <f>12*D5</f>
        <v>1.2E-2</v>
      </c>
      <c r="E8" s="10">
        <f t="shared" si="0"/>
        <v>7.6923076923076927E-2</v>
      </c>
    </row>
    <row r="9" spans="2:7" x14ac:dyDescent="0.25">
      <c r="B9" s="2" t="s">
        <v>5</v>
      </c>
      <c r="C9" s="11">
        <f>C7-C3</f>
        <v>4.1859418510566337</v>
      </c>
      <c r="D9" s="11">
        <f>D7+D3</f>
        <v>1.0738841644070426E-4</v>
      </c>
      <c r="E9" s="16">
        <f t="shared" si="0"/>
        <v>2.565454090424042E-5</v>
      </c>
    </row>
    <row r="10" spans="2:7" x14ac:dyDescent="0.25">
      <c r="B10" s="2" t="s">
        <v>6</v>
      </c>
      <c r="C10" s="11">
        <f>C6+C8</f>
        <v>0.67713961</v>
      </c>
      <c r="D10" s="11">
        <f>D6+D8</f>
        <v>1.214438E-2</v>
      </c>
      <c r="E10" s="10">
        <f t="shared" si="0"/>
        <v>1.7934824400539794E-2</v>
      </c>
    </row>
    <row r="11" spans="2:7" ht="15.75" thickBot="1" x14ac:dyDescent="0.3">
      <c r="B11" s="3" t="s">
        <v>8</v>
      </c>
      <c r="C11" s="12">
        <f>C9/C10</f>
        <v>6.1818003100669801</v>
      </c>
      <c r="D11" s="14">
        <f>C11*E11</f>
        <v>0.11102809428917021</v>
      </c>
      <c r="E11" s="18">
        <f>E9+E10</f>
        <v>1.7960478941444036E-2</v>
      </c>
    </row>
    <row r="16" spans="2:7" ht="15.75" thickBot="1" x14ac:dyDescent="0.3"/>
    <row r="17" spans="2:3" ht="15.75" thickBot="1" x14ac:dyDescent="0.3">
      <c r="B17" s="19" t="s">
        <v>13</v>
      </c>
      <c r="C17" s="2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2024-09-05T11:04:24Z</dcterms:created>
  <dcterms:modified xsi:type="dcterms:W3CDTF">2024-09-05T12:30:07Z</dcterms:modified>
</cp:coreProperties>
</file>