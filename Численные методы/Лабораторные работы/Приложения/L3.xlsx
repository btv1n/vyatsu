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\\lib16\Students\ПМИб-3\Алекскандров Эрнест\Численные методы\"/>
    </mc:Choice>
  </mc:AlternateContent>
  <xr:revisionPtr revIDLastSave="0" documentId="13_ncr:1_{65D010F2-1596-4B31-8856-443E0F41D044}" xr6:coauthVersionLast="36" xr6:coauthVersionMax="36" xr10:uidLastSave="{00000000-0000-0000-0000-000000000000}"/>
  <bookViews>
    <workbookView xWindow="0" yWindow="0" windowWidth="28800" windowHeight="12225" activeTab="1" xr2:uid="{ACB5AC4E-1E28-4732-AB7F-A7709E43155F}"/>
  </bookViews>
  <sheets>
    <sheet name="Часть 1" sheetId="1" r:id="rId1"/>
    <sheet name="Зейделя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0" i="2" l="1"/>
  <c r="N31" i="2"/>
  <c r="N29" i="2"/>
  <c r="N47" i="1"/>
  <c r="N48" i="1"/>
  <c r="N46" i="1"/>
  <c r="F14" i="2"/>
  <c r="G14" i="2" s="1"/>
  <c r="H13" i="2"/>
  <c r="G13" i="2"/>
  <c r="E13" i="2"/>
  <c r="D13" i="2"/>
  <c r="C13" i="2"/>
  <c r="M7" i="2"/>
  <c r="L7" i="2"/>
  <c r="K7" i="2"/>
  <c r="J7" i="2"/>
  <c r="M6" i="2"/>
  <c r="L6" i="2"/>
  <c r="K6" i="2"/>
  <c r="Q6" i="2" s="1"/>
  <c r="J6" i="2"/>
  <c r="S5" i="2"/>
  <c r="M5" i="2"/>
  <c r="L5" i="2"/>
  <c r="K5" i="2"/>
  <c r="J5" i="2"/>
  <c r="T5" i="2" s="1"/>
  <c r="C43" i="1"/>
  <c r="D43" i="1"/>
  <c r="E43" i="1"/>
  <c r="F43" i="1"/>
  <c r="C44" i="1" s="1"/>
  <c r="G43" i="1"/>
  <c r="H43" i="1"/>
  <c r="E44" i="1" s="1"/>
  <c r="D44" i="1"/>
  <c r="C27" i="1"/>
  <c r="D27" i="1"/>
  <c r="E27" i="1"/>
  <c r="F27" i="1"/>
  <c r="C28" i="1" s="1"/>
  <c r="G27" i="1"/>
  <c r="H27" i="1"/>
  <c r="E28" i="1" s="1"/>
  <c r="D28" i="1"/>
  <c r="I14" i="1"/>
  <c r="I15" i="1"/>
  <c r="I16" i="1"/>
  <c r="I17" i="1"/>
  <c r="J17" i="1" s="1"/>
  <c r="I18" i="1"/>
  <c r="I19" i="1"/>
  <c r="I20" i="1"/>
  <c r="I21" i="1"/>
  <c r="J21" i="1" s="1"/>
  <c r="I22" i="1"/>
  <c r="I23" i="1"/>
  <c r="I24" i="1"/>
  <c r="I25" i="1"/>
  <c r="J25" i="1" s="1"/>
  <c r="I26" i="1"/>
  <c r="I13" i="1"/>
  <c r="J13" i="1" s="1"/>
  <c r="J14" i="1"/>
  <c r="J15" i="1"/>
  <c r="J16" i="1"/>
  <c r="J18" i="1"/>
  <c r="J19" i="1"/>
  <c r="J20" i="1"/>
  <c r="J22" i="1"/>
  <c r="J23" i="1"/>
  <c r="J24" i="1"/>
  <c r="J26" i="1"/>
  <c r="C15" i="1"/>
  <c r="D15" i="1"/>
  <c r="E15" i="1"/>
  <c r="F15" i="1"/>
  <c r="C16" i="1" s="1"/>
  <c r="G15" i="1"/>
  <c r="H15" i="1"/>
  <c r="E16" i="1" s="1"/>
  <c r="D16" i="1"/>
  <c r="E14" i="1"/>
  <c r="D14" i="1"/>
  <c r="C14" i="1"/>
  <c r="F14" i="1"/>
  <c r="G14" i="1"/>
  <c r="F13" i="1"/>
  <c r="G13" i="1"/>
  <c r="H13" i="1"/>
  <c r="K6" i="1"/>
  <c r="L6" i="1"/>
  <c r="M6" i="1"/>
  <c r="J6" i="1"/>
  <c r="Q6" i="1" s="1"/>
  <c r="K5" i="1"/>
  <c r="L5" i="1"/>
  <c r="M5" i="1"/>
  <c r="J5" i="1"/>
  <c r="R5" i="1" s="1"/>
  <c r="T7" i="1"/>
  <c r="R7" i="1"/>
  <c r="Q7" i="1"/>
  <c r="T6" i="1"/>
  <c r="S6" i="1"/>
  <c r="T5" i="1"/>
  <c r="S5" i="1"/>
  <c r="D13" i="1"/>
  <c r="E13" i="1"/>
  <c r="C13" i="1"/>
  <c r="K7" i="1"/>
  <c r="L7" i="1"/>
  <c r="M7" i="1"/>
  <c r="J7" i="1"/>
  <c r="H14" i="2" l="1"/>
  <c r="S6" i="2"/>
  <c r="R7" i="2"/>
  <c r="Q7" i="2"/>
  <c r="E14" i="2" s="1"/>
  <c r="T6" i="2"/>
  <c r="D14" i="2"/>
  <c r="R5" i="2"/>
  <c r="W3" i="2" s="1"/>
  <c r="T7" i="2"/>
  <c r="G44" i="1"/>
  <c r="D45" i="1" s="1"/>
  <c r="H44" i="1"/>
  <c r="E45" i="1" s="1"/>
  <c r="F44" i="1"/>
  <c r="I43" i="1"/>
  <c r="J43" i="1" s="1"/>
  <c r="G28" i="1"/>
  <c r="D29" i="1" s="1"/>
  <c r="H28" i="1"/>
  <c r="E29" i="1" s="1"/>
  <c r="F28" i="1"/>
  <c r="I27" i="1"/>
  <c r="J27" i="1" s="1"/>
  <c r="G16" i="1"/>
  <c r="D17" i="1" s="1"/>
  <c r="H16" i="1"/>
  <c r="E17" i="1" s="1"/>
  <c r="F16" i="1"/>
  <c r="H14" i="1"/>
  <c r="W3" i="1"/>
  <c r="F13" i="2" l="1"/>
  <c r="C45" i="1"/>
  <c r="I44" i="1"/>
  <c r="J44" i="1" s="1"/>
  <c r="C29" i="1"/>
  <c r="I28" i="1"/>
  <c r="J28" i="1" s="1"/>
  <c r="C17" i="1"/>
  <c r="I13" i="2" l="1"/>
  <c r="J13" i="2" s="1"/>
  <c r="C14" i="2"/>
  <c r="G45" i="1"/>
  <c r="D46" i="1" s="1"/>
  <c r="F45" i="1"/>
  <c r="H45" i="1"/>
  <c r="E46" i="1" s="1"/>
  <c r="G29" i="1"/>
  <c r="D30" i="1" s="1"/>
  <c r="H29" i="1"/>
  <c r="E30" i="1" s="1"/>
  <c r="F29" i="1"/>
  <c r="G17" i="1"/>
  <c r="D18" i="1" s="1"/>
  <c r="F17" i="1"/>
  <c r="H17" i="1"/>
  <c r="E18" i="1" s="1"/>
  <c r="E15" i="2" l="1"/>
  <c r="D15" i="2"/>
  <c r="C46" i="1"/>
  <c r="I45" i="1"/>
  <c r="J45" i="1" s="1"/>
  <c r="C30" i="1"/>
  <c r="I29" i="1"/>
  <c r="J29" i="1" s="1"/>
  <c r="C18" i="1"/>
  <c r="I14" i="2" l="1"/>
  <c r="J14" i="2" s="1"/>
  <c r="C15" i="2"/>
  <c r="F15" i="2" s="1"/>
  <c r="G46" i="1"/>
  <c r="D47" i="1" s="1"/>
  <c r="F46" i="1"/>
  <c r="H46" i="1"/>
  <c r="E47" i="1" s="1"/>
  <c r="G30" i="1"/>
  <c r="D31" i="1" s="1"/>
  <c r="F30" i="1"/>
  <c r="H30" i="1"/>
  <c r="E31" i="1" s="1"/>
  <c r="G18" i="1"/>
  <c r="D19" i="1" s="1"/>
  <c r="F18" i="1"/>
  <c r="H18" i="1"/>
  <c r="E19" i="1" s="1"/>
  <c r="G15" i="2" l="1"/>
  <c r="H15" i="2"/>
  <c r="E16" i="2" s="1"/>
  <c r="D16" i="2"/>
  <c r="C47" i="1"/>
  <c r="I46" i="1"/>
  <c r="J46" i="1" s="1"/>
  <c r="C31" i="1"/>
  <c r="I30" i="1"/>
  <c r="J30" i="1" s="1"/>
  <c r="C19" i="1"/>
  <c r="I15" i="2" l="1"/>
  <c r="J15" i="2" s="1"/>
  <c r="C16" i="2"/>
  <c r="F16" i="2" s="1"/>
  <c r="G47" i="1"/>
  <c r="D48" i="1" s="1"/>
  <c r="H47" i="1"/>
  <c r="E48" i="1" s="1"/>
  <c r="F47" i="1"/>
  <c r="G31" i="1"/>
  <c r="D32" i="1" s="1"/>
  <c r="F31" i="1"/>
  <c r="H31" i="1"/>
  <c r="E32" i="1" s="1"/>
  <c r="G19" i="1"/>
  <c r="D20" i="1" s="1"/>
  <c r="F19" i="1"/>
  <c r="H19" i="1"/>
  <c r="E20" i="1" s="1"/>
  <c r="G16" i="2" l="1"/>
  <c r="D17" i="2" s="1"/>
  <c r="C48" i="1"/>
  <c r="I47" i="1"/>
  <c r="J47" i="1" s="1"/>
  <c r="C32" i="1"/>
  <c r="I31" i="1"/>
  <c r="J31" i="1" s="1"/>
  <c r="C20" i="1"/>
  <c r="H16" i="2" l="1"/>
  <c r="E17" i="2" s="1"/>
  <c r="I16" i="2"/>
  <c r="J16" i="2" s="1"/>
  <c r="C17" i="2"/>
  <c r="F17" i="2" s="1"/>
  <c r="G48" i="1"/>
  <c r="D49" i="1" s="1"/>
  <c r="F48" i="1"/>
  <c r="H48" i="1"/>
  <c r="E49" i="1" s="1"/>
  <c r="G32" i="1"/>
  <c r="D33" i="1" s="1"/>
  <c r="F32" i="1"/>
  <c r="H32" i="1"/>
  <c r="E33" i="1" s="1"/>
  <c r="G20" i="1"/>
  <c r="D21" i="1" s="1"/>
  <c r="H20" i="1"/>
  <c r="E21" i="1" s="1"/>
  <c r="F20" i="1"/>
  <c r="G17" i="2" l="1"/>
  <c r="H17" i="2" s="1"/>
  <c r="E18" i="2" s="1"/>
  <c r="D18" i="2"/>
  <c r="C49" i="1"/>
  <c r="I48" i="1"/>
  <c r="J48" i="1" s="1"/>
  <c r="C33" i="1"/>
  <c r="I32" i="1"/>
  <c r="J32" i="1" s="1"/>
  <c r="C21" i="1"/>
  <c r="I17" i="2" l="1"/>
  <c r="J17" i="2" s="1"/>
  <c r="C18" i="2"/>
  <c r="F18" i="2" s="1"/>
  <c r="G49" i="1"/>
  <c r="D50" i="1" s="1"/>
  <c r="H49" i="1"/>
  <c r="E50" i="1" s="1"/>
  <c r="F49" i="1"/>
  <c r="G33" i="1"/>
  <c r="D34" i="1" s="1"/>
  <c r="F33" i="1"/>
  <c r="H33" i="1"/>
  <c r="E34" i="1" s="1"/>
  <c r="G21" i="1"/>
  <c r="D22" i="1" s="1"/>
  <c r="F21" i="1"/>
  <c r="H21" i="1"/>
  <c r="E22" i="1" s="1"/>
  <c r="G18" i="2" l="1"/>
  <c r="D19" i="2" s="1"/>
  <c r="H18" i="2"/>
  <c r="E19" i="2" s="1"/>
  <c r="C50" i="1"/>
  <c r="I49" i="1"/>
  <c r="J49" i="1" s="1"/>
  <c r="C34" i="1"/>
  <c r="I33" i="1"/>
  <c r="J33" i="1" s="1"/>
  <c r="C22" i="1"/>
  <c r="I18" i="2" l="1"/>
  <c r="J18" i="2" s="1"/>
  <c r="C19" i="2"/>
  <c r="F19" i="2" s="1"/>
  <c r="G50" i="1"/>
  <c r="D51" i="1" s="1"/>
  <c r="H50" i="1"/>
  <c r="E51" i="1" s="1"/>
  <c r="F50" i="1"/>
  <c r="G34" i="1"/>
  <c r="D35" i="1" s="1"/>
  <c r="H34" i="1"/>
  <c r="E35" i="1" s="1"/>
  <c r="F34" i="1"/>
  <c r="G22" i="1"/>
  <c r="D23" i="1" s="1"/>
  <c r="H22" i="1"/>
  <c r="E23" i="1" s="1"/>
  <c r="F22" i="1"/>
  <c r="G19" i="2" l="1"/>
  <c r="H19" i="2"/>
  <c r="E20" i="2" s="1"/>
  <c r="D20" i="2"/>
  <c r="C51" i="1"/>
  <c r="I50" i="1"/>
  <c r="J50" i="1" s="1"/>
  <c r="C35" i="1"/>
  <c r="I34" i="1"/>
  <c r="J34" i="1" s="1"/>
  <c r="C23" i="1"/>
  <c r="I19" i="2" l="1"/>
  <c r="J19" i="2" s="1"/>
  <c r="C20" i="2"/>
  <c r="F20" i="2" s="1"/>
  <c r="G51" i="1"/>
  <c r="H51" i="1"/>
  <c r="F51" i="1"/>
  <c r="I51" i="1" s="1"/>
  <c r="J51" i="1" s="1"/>
  <c r="G35" i="1"/>
  <c r="D36" i="1" s="1"/>
  <c r="F35" i="1"/>
  <c r="H35" i="1"/>
  <c r="E36" i="1" s="1"/>
  <c r="G23" i="1"/>
  <c r="D24" i="1" s="1"/>
  <c r="H23" i="1"/>
  <c r="E24" i="1" s="1"/>
  <c r="F23" i="1"/>
  <c r="G20" i="2" l="1"/>
  <c r="H20" i="2" s="1"/>
  <c r="E21" i="2" s="1"/>
  <c r="C36" i="1"/>
  <c r="I35" i="1"/>
  <c r="J35" i="1" s="1"/>
  <c r="C24" i="1"/>
  <c r="D21" i="2" l="1"/>
  <c r="I20" i="2"/>
  <c r="J20" i="2" s="1"/>
  <c r="C21" i="2"/>
  <c r="F21" i="2" s="1"/>
  <c r="G36" i="1"/>
  <c r="D37" i="1" s="1"/>
  <c r="H36" i="1"/>
  <c r="E37" i="1" s="1"/>
  <c r="F36" i="1"/>
  <c r="G24" i="1"/>
  <c r="D25" i="1" s="1"/>
  <c r="H24" i="1"/>
  <c r="E25" i="1" s="1"/>
  <c r="F24" i="1"/>
  <c r="G21" i="2" l="1"/>
  <c r="H21" i="2" s="1"/>
  <c r="E22" i="2" s="1"/>
  <c r="D22" i="2"/>
  <c r="C37" i="1"/>
  <c r="I36" i="1"/>
  <c r="J36" i="1" s="1"/>
  <c r="C25" i="1"/>
  <c r="I21" i="2" l="1"/>
  <c r="J21" i="2" s="1"/>
  <c r="C22" i="2"/>
  <c r="F22" i="2" s="1"/>
  <c r="G37" i="1"/>
  <c r="D38" i="1" s="1"/>
  <c r="H37" i="1"/>
  <c r="E38" i="1" s="1"/>
  <c r="F37" i="1"/>
  <c r="G25" i="1"/>
  <c r="D26" i="1" s="1"/>
  <c r="H25" i="1"/>
  <c r="E26" i="1" s="1"/>
  <c r="F25" i="1"/>
  <c r="G22" i="2" l="1"/>
  <c r="H22" i="2"/>
  <c r="E23" i="2" s="1"/>
  <c r="D23" i="2"/>
  <c r="C38" i="1"/>
  <c r="I37" i="1"/>
  <c r="J37" i="1" s="1"/>
  <c r="C26" i="1"/>
  <c r="I22" i="2" l="1"/>
  <c r="J22" i="2" s="1"/>
  <c r="C23" i="2"/>
  <c r="F23" i="2" s="1"/>
  <c r="G38" i="1"/>
  <c r="D39" i="1" s="1"/>
  <c r="H38" i="1"/>
  <c r="E39" i="1" s="1"/>
  <c r="F38" i="1"/>
  <c r="G26" i="1"/>
  <c r="H26" i="1"/>
  <c r="F26" i="1"/>
  <c r="G23" i="2" l="1"/>
  <c r="D24" i="2" s="1"/>
  <c r="H23" i="2"/>
  <c r="E24" i="2" s="1"/>
  <c r="C39" i="1"/>
  <c r="I38" i="1"/>
  <c r="J38" i="1" s="1"/>
  <c r="I23" i="2" l="1"/>
  <c r="J23" i="2" s="1"/>
  <c r="C24" i="2"/>
  <c r="F24" i="2" s="1"/>
  <c r="G39" i="1"/>
  <c r="D40" i="1" s="1"/>
  <c r="H39" i="1"/>
  <c r="E40" i="1" s="1"/>
  <c r="F39" i="1"/>
  <c r="G24" i="2" l="1"/>
  <c r="H24" i="2" s="1"/>
  <c r="E25" i="2" s="1"/>
  <c r="D25" i="2"/>
  <c r="C40" i="1"/>
  <c r="I39" i="1"/>
  <c r="J39" i="1" s="1"/>
  <c r="I24" i="2" l="1"/>
  <c r="J24" i="2" s="1"/>
  <c r="C25" i="2"/>
  <c r="F25" i="2" s="1"/>
  <c r="G40" i="1"/>
  <c r="D41" i="1" s="1"/>
  <c r="H40" i="1"/>
  <c r="E41" i="1" s="1"/>
  <c r="F40" i="1"/>
  <c r="G25" i="2" l="1"/>
  <c r="H25" i="2"/>
  <c r="E26" i="2" s="1"/>
  <c r="D26" i="2"/>
  <c r="C41" i="1"/>
  <c r="I40" i="1"/>
  <c r="J40" i="1" s="1"/>
  <c r="I25" i="2" l="1"/>
  <c r="J25" i="2" s="1"/>
  <c r="C26" i="2"/>
  <c r="F26" i="2" s="1"/>
  <c r="G41" i="1"/>
  <c r="D42" i="1" s="1"/>
  <c r="H41" i="1"/>
  <c r="E42" i="1" s="1"/>
  <c r="F41" i="1"/>
  <c r="G26" i="2" l="1"/>
  <c r="H26" i="2" s="1"/>
  <c r="E27" i="2" s="1"/>
  <c r="D27" i="2"/>
  <c r="C42" i="1"/>
  <c r="I41" i="1"/>
  <c r="J41" i="1" s="1"/>
  <c r="I26" i="2" l="1"/>
  <c r="J26" i="2" s="1"/>
  <c r="C27" i="2"/>
  <c r="F27" i="2" s="1"/>
  <c r="G42" i="1"/>
  <c r="F42" i="1"/>
  <c r="I42" i="1" s="1"/>
  <c r="J42" i="1" s="1"/>
  <c r="H42" i="1"/>
  <c r="G27" i="2" l="1"/>
  <c r="D28" i="2" s="1"/>
  <c r="H27" i="2"/>
  <c r="E28" i="2" s="1"/>
  <c r="I27" i="2" l="1"/>
  <c r="J27" i="2" s="1"/>
  <c r="C28" i="2"/>
  <c r="F28" i="2" s="1"/>
  <c r="G28" i="2" l="1"/>
  <c r="H28" i="2" s="1"/>
  <c r="E29" i="2" s="1"/>
  <c r="D29" i="2"/>
  <c r="I28" i="2" l="1"/>
  <c r="J28" i="2" s="1"/>
  <c r="C29" i="2"/>
  <c r="F29" i="2" s="1"/>
  <c r="G29" i="2" l="1"/>
  <c r="H29" i="2"/>
  <c r="E30" i="2" s="1"/>
  <c r="D30" i="2"/>
  <c r="I29" i="2" l="1"/>
  <c r="J29" i="2" s="1"/>
  <c r="C30" i="2"/>
  <c r="F30" i="2" s="1"/>
  <c r="G30" i="2" l="1"/>
  <c r="H30" i="2"/>
  <c r="E31" i="2" s="1"/>
  <c r="D31" i="2"/>
  <c r="I30" i="2" l="1"/>
  <c r="J30" i="2" s="1"/>
  <c r="C31" i="2"/>
  <c r="F31" i="2" s="1"/>
  <c r="G31" i="2" l="1"/>
  <c r="H31" i="2"/>
  <c r="E32" i="2" s="1"/>
  <c r="D32" i="2"/>
  <c r="I31" i="2" l="1"/>
  <c r="J31" i="2" s="1"/>
  <c r="C32" i="2"/>
  <c r="F32" i="2" s="1"/>
  <c r="G32" i="2" l="1"/>
  <c r="H32" i="2" s="1"/>
  <c r="E33" i="2" s="1"/>
  <c r="D33" i="2"/>
  <c r="I32" i="2" l="1"/>
  <c r="J32" i="2" s="1"/>
  <c r="C33" i="2"/>
  <c r="F33" i="2" s="1"/>
  <c r="G33" i="2" l="1"/>
  <c r="H33" i="2" s="1"/>
  <c r="E34" i="2" s="1"/>
  <c r="D34" i="2"/>
  <c r="I33" i="2" l="1"/>
  <c r="J33" i="2" s="1"/>
  <c r="C34" i="2"/>
  <c r="F34" i="2" s="1"/>
  <c r="G34" i="2" l="1"/>
  <c r="D35" i="2" s="1"/>
  <c r="H34" i="2"/>
  <c r="E35" i="2" s="1"/>
  <c r="I34" i="2" l="1"/>
  <c r="J34" i="2" s="1"/>
  <c r="C35" i="2"/>
  <c r="F35" i="2" s="1"/>
  <c r="G35" i="2" l="1"/>
  <c r="H35" i="2"/>
  <c r="E36" i="2" s="1"/>
  <c r="D36" i="2"/>
  <c r="I35" i="2" l="1"/>
  <c r="J35" i="2" s="1"/>
  <c r="C36" i="2"/>
  <c r="F36" i="2" s="1"/>
  <c r="G36" i="2" l="1"/>
  <c r="H36" i="2" s="1"/>
  <c r="E37" i="2" s="1"/>
  <c r="D37" i="2"/>
  <c r="I36" i="2" l="1"/>
  <c r="J36" i="2" s="1"/>
  <c r="C37" i="2"/>
  <c r="F37" i="2" s="1"/>
  <c r="G37" i="2" l="1"/>
  <c r="H37" i="2" s="1"/>
  <c r="E38" i="2" s="1"/>
  <c r="D38" i="2"/>
  <c r="I37" i="2" l="1"/>
  <c r="J37" i="2" s="1"/>
  <c r="C38" i="2"/>
  <c r="F38" i="2" s="1"/>
  <c r="G38" i="2" l="1"/>
  <c r="H38" i="2"/>
  <c r="E39" i="2" s="1"/>
  <c r="D39" i="2"/>
  <c r="I38" i="2" l="1"/>
  <c r="J38" i="2" s="1"/>
  <c r="C39" i="2"/>
  <c r="F39" i="2" s="1"/>
  <c r="G39" i="2" l="1"/>
  <c r="H39" i="2"/>
  <c r="E40" i="2" s="1"/>
  <c r="D40" i="2"/>
  <c r="I39" i="2" l="1"/>
  <c r="J39" i="2" s="1"/>
  <c r="C40" i="2"/>
  <c r="F40" i="2" s="1"/>
  <c r="G40" i="2" l="1"/>
  <c r="H40" i="2" s="1"/>
  <c r="E41" i="2" s="1"/>
  <c r="D41" i="2" l="1"/>
  <c r="I40" i="2"/>
  <c r="J40" i="2" s="1"/>
  <c r="C41" i="2"/>
  <c r="F41" i="2" s="1"/>
  <c r="G41" i="2" l="1"/>
  <c r="H41" i="2" s="1"/>
  <c r="E42" i="2" s="1"/>
  <c r="D42" i="2"/>
  <c r="I41" i="2" l="1"/>
  <c r="J41" i="2" s="1"/>
  <c r="C42" i="2"/>
  <c r="F42" i="2" s="1"/>
  <c r="G42" i="2" l="1"/>
  <c r="H42" i="2"/>
  <c r="E43" i="2" s="1"/>
  <c r="D43" i="2"/>
  <c r="I42" i="2" l="1"/>
  <c r="J42" i="2" s="1"/>
  <c r="C43" i="2"/>
  <c r="F43" i="2" s="1"/>
  <c r="G43" i="2" l="1"/>
  <c r="H43" i="2"/>
  <c r="E44" i="2" s="1"/>
  <c r="D44" i="2"/>
  <c r="I43" i="2" l="1"/>
  <c r="J43" i="2" s="1"/>
  <c r="C44" i="2"/>
  <c r="F44" i="2" s="1"/>
  <c r="G44" i="2" l="1"/>
  <c r="H44" i="2" s="1"/>
  <c r="E45" i="2" s="1"/>
  <c r="D45" i="2" l="1"/>
  <c r="I44" i="2"/>
  <c r="J44" i="2" s="1"/>
  <c r="C45" i="2"/>
  <c r="F45" i="2" s="1"/>
  <c r="G45" i="2" l="1"/>
  <c r="D46" i="2" s="1"/>
  <c r="H45" i="2" l="1"/>
  <c r="E46" i="2" s="1"/>
  <c r="I45" i="2"/>
  <c r="J45" i="2" s="1"/>
  <c r="C46" i="2"/>
  <c r="F46" i="2" s="1"/>
  <c r="G46" i="2" l="1"/>
  <c r="H46" i="2"/>
  <c r="E47" i="2" s="1"/>
  <c r="D47" i="2"/>
  <c r="I46" i="2" l="1"/>
  <c r="J46" i="2" s="1"/>
  <c r="C47" i="2"/>
  <c r="F47" i="2" s="1"/>
  <c r="G47" i="2" l="1"/>
  <c r="H47" i="2"/>
  <c r="E48" i="2" s="1"/>
  <c r="D48" i="2"/>
  <c r="I47" i="2" l="1"/>
  <c r="J47" i="2" s="1"/>
  <c r="C48" i="2"/>
  <c r="F48" i="2" s="1"/>
  <c r="G48" i="2" l="1"/>
  <c r="H48" i="2" s="1"/>
  <c r="E49" i="2" s="1"/>
  <c r="D49" i="2" l="1"/>
  <c r="I48" i="2"/>
  <c r="J48" i="2" s="1"/>
  <c r="C49" i="2"/>
  <c r="F49" i="2" s="1"/>
  <c r="G49" i="2" l="1"/>
  <c r="H49" i="2" s="1"/>
  <c r="E50" i="2" s="1"/>
  <c r="D50" i="2" l="1"/>
  <c r="I49" i="2"/>
  <c r="J49" i="2" s="1"/>
  <c r="C50" i="2"/>
  <c r="F50" i="2" s="1"/>
  <c r="G50" i="2" l="1"/>
  <c r="H50" i="2"/>
  <c r="E51" i="2" s="1"/>
  <c r="D51" i="2"/>
  <c r="I50" i="2" l="1"/>
  <c r="J50" i="2" s="1"/>
  <c r="C51" i="2"/>
  <c r="F51" i="2" s="1"/>
  <c r="G51" i="2" l="1"/>
  <c r="H51" i="2"/>
  <c r="I51" i="2" s="1"/>
  <c r="J51" i="2" s="1"/>
</calcChain>
</file>

<file path=xl/sharedStrings.xml><?xml version="1.0" encoding="utf-8"?>
<sst xmlns="http://schemas.openxmlformats.org/spreadsheetml/2006/main" count="56" uniqueCount="22">
  <si>
    <r>
      <rPr>
        <b/>
        <i/>
        <sz val="14"/>
        <color theme="1"/>
        <rFont val="Times New Roman"/>
        <family val="1"/>
        <charset val="204"/>
      </rPr>
      <t>a</t>
    </r>
    <r>
      <rPr>
        <b/>
        <i/>
        <sz val="9"/>
        <color theme="1"/>
        <rFont val="Times New Roman"/>
        <family val="1"/>
        <charset val="204"/>
      </rPr>
      <t>ij</t>
    </r>
  </si>
  <si>
    <t>Исходная система</t>
  </si>
  <si>
    <t>i=</t>
  </si>
  <si>
    <t>j=</t>
  </si>
  <si>
    <t>b</t>
  </si>
  <si>
    <t>Преобразованная система</t>
  </si>
  <si>
    <t>Выразим неизвестные величины</t>
  </si>
  <si>
    <r>
      <rPr>
        <b/>
        <sz val="14"/>
        <color theme="1"/>
        <rFont val="Times New Roman"/>
        <family val="1"/>
        <charset val="204"/>
      </rPr>
      <t>α</t>
    </r>
    <r>
      <rPr>
        <b/>
        <i/>
        <sz val="9"/>
        <color theme="1"/>
        <rFont val="Times New Roman"/>
        <family val="1"/>
        <charset val="204"/>
      </rPr>
      <t>ij</t>
    </r>
  </si>
  <si>
    <t>β</t>
  </si>
  <si>
    <t>Выбрал пространство с метрикой ρ1</t>
  </si>
  <si>
    <t xml:space="preserve">Коэффициент сжатия α =  </t>
  </si>
  <si>
    <t xml:space="preserve">Точность ε = </t>
  </si>
  <si>
    <t>Итерация</t>
  </si>
  <si>
    <t>Начальнае данные</t>
  </si>
  <si>
    <r>
      <t>x0</t>
    </r>
    <r>
      <rPr>
        <b/>
        <sz val="8"/>
        <color theme="1"/>
        <rFont val="Times New Roman"/>
        <family val="1"/>
        <charset val="204"/>
      </rPr>
      <t>1</t>
    </r>
  </si>
  <si>
    <r>
      <t>x0</t>
    </r>
    <r>
      <rPr>
        <b/>
        <sz val="8"/>
        <color theme="1"/>
        <rFont val="Times New Roman"/>
        <family val="1"/>
        <charset val="204"/>
      </rPr>
      <t>2</t>
    </r>
  </si>
  <si>
    <r>
      <t>x0</t>
    </r>
    <r>
      <rPr>
        <b/>
        <sz val="8"/>
        <color theme="1"/>
        <rFont val="Times New Roman"/>
        <family val="1"/>
        <charset val="204"/>
      </rPr>
      <t>3</t>
    </r>
  </si>
  <si>
    <r>
      <t>x1</t>
    </r>
    <r>
      <rPr>
        <b/>
        <sz val="8"/>
        <color theme="1"/>
        <rFont val="Times New Roman"/>
        <family val="1"/>
        <charset val="204"/>
      </rPr>
      <t>1</t>
    </r>
  </si>
  <si>
    <r>
      <t>x1</t>
    </r>
    <r>
      <rPr>
        <b/>
        <sz val="8"/>
        <color theme="1"/>
        <rFont val="Times New Roman"/>
        <family val="1"/>
        <charset val="204"/>
      </rPr>
      <t>2</t>
    </r>
  </si>
  <si>
    <r>
      <t>x1</t>
    </r>
    <r>
      <rPr>
        <b/>
        <sz val="8"/>
        <color theme="1"/>
        <rFont val="Times New Roman"/>
        <family val="1"/>
        <charset val="204"/>
      </rPr>
      <t>3</t>
    </r>
  </si>
  <si>
    <t>max(x1 - x0)</t>
  </si>
  <si>
    <t>Невязки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</si>
</sst>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b/>
      <i/>
      <sz val="9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sz val="8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  <xf numFmtId="2" fontId="2" fillId="0" borderId="12" xfId="0" applyNumberFormat="1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2" fillId="0" borderId="10" xfId="0" applyNumberFormat="1" applyFont="1" applyBorder="1" applyAlignment="1">
      <alignment horizontal="center" vertical="center"/>
    </xf>
    <xf numFmtId="2" fontId="2" fillId="0" borderId="13" xfId="0" applyNumberFormat="1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/>
    </xf>
    <xf numFmtId="2" fontId="2" fillId="0" borderId="14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11" fontId="1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B3AB0-0132-4383-A5EA-8DEE3898BA13}">
  <dimension ref="A2:W51"/>
  <sheetViews>
    <sheetView topLeftCell="A26" workbookViewId="0">
      <selection activeCell="F61" sqref="F61"/>
    </sheetView>
  </sheetViews>
  <sheetFormatPr defaultRowHeight="15" x14ac:dyDescent="0.25"/>
  <cols>
    <col min="1" max="1" width="9.140625" style="2"/>
    <col min="2" max="2" width="9.5703125" style="2" bestFit="1" customWidth="1"/>
    <col min="3" max="3" width="12" style="2" bestFit="1" customWidth="1"/>
    <col min="4" max="5" width="12.7109375" style="2" bestFit="1" customWidth="1"/>
    <col min="6" max="6" width="12" style="2" bestFit="1" customWidth="1"/>
    <col min="7" max="9" width="12.7109375" style="2" bestFit="1" customWidth="1"/>
    <col min="10" max="13" width="9.140625" style="2"/>
    <col min="14" max="14" width="13.28515625" style="2" bestFit="1" customWidth="1"/>
    <col min="15" max="21" width="9.140625" style="2"/>
    <col min="22" max="22" width="38.7109375" style="2" bestFit="1" customWidth="1"/>
    <col min="23" max="16384" width="9.140625" style="2"/>
  </cols>
  <sheetData>
    <row r="2" spans="1:23" x14ac:dyDescent="0.25">
      <c r="A2" s="17" t="s">
        <v>1</v>
      </c>
      <c r="B2" s="17"/>
      <c r="C2" s="17"/>
      <c r="D2" s="17"/>
      <c r="E2" s="17"/>
      <c r="F2" s="17"/>
      <c r="H2" s="17" t="s">
        <v>5</v>
      </c>
      <c r="I2" s="17"/>
      <c r="J2" s="17"/>
      <c r="K2" s="17"/>
      <c r="L2" s="17"/>
      <c r="M2" s="17"/>
      <c r="O2" s="17" t="s">
        <v>6</v>
      </c>
      <c r="P2" s="17"/>
      <c r="Q2" s="17"/>
      <c r="R2" s="17"/>
      <c r="S2" s="17"/>
      <c r="T2" s="17"/>
      <c r="V2" s="18" t="s">
        <v>9</v>
      </c>
    </row>
    <row r="3" spans="1:23" x14ac:dyDescent="0.25">
      <c r="C3" s="4" t="s">
        <v>2</v>
      </c>
      <c r="D3" s="4"/>
      <c r="E3" s="4"/>
      <c r="J3" s="4" t="s">
        <v>2</v>
      </c>
      <c r="K3" s="4"/>
      <c r="L3" s="4"/>
      <c r="Q3" s="4" t="s">
        <v>2</v>
      </c>
      <c r="R3" s="4"/>
      <c r="S3" s="4"/>
      <c r="V3" s="30" t="s">
        <v>10</v>
      </c>
      <c r="W3" s="2">
        <f>MAX(ABS(R5)+ABS(S5),ABS(Q6)+ABS(S6),ABS(Q7)+ABS(R7))</f>
        <v>0.9111111111111112</v>
      </c>
    </row>
    <row r="4" spans="1:23" ht="20.25" thickBot="1" x14ac:dyDescent="0.3">
      <c r="B4" s="1" t="s">
        <v>0</v>
      </c>
      <c r="C4" s="2">
        <v>1</v>
      </c>
      <c r="D4" s="2">
        <v>2</v>
      </c>
      <c r="E4" s="2">
        <v>3</v>
      </c>
      <c r="F4" s="3" t="s">
        <v>4</v>
      </c>
      <c r="I4" s="1" t="s">
        <v>0</v>
      </c>
      <c r="J4" s="2">
        <v>1</v>
      </c>
      <c r="K4" s="2">
        <v>2</v>
      </c>
      <c r="L4" s="2">
        <v>3</v>
      </c>
      <c r="M4" s="3" t="s">
        <v>4</v>
      </c>
      <c r="P4" s="1" t="s">
        <v>7</v>
      </c>
      <c r="Q4" s="2">
        <v>1</v>
      </c>
      <c r="R4" s="2">
        <v>2</v>
      </c>
      <c r="S4" s="2">
        <v>3</v>
      </c>
      <c r="T4" s="3" t="s">
        <v>8</v>
      </c>
    </row>
    <row r="5" spans="1:23" x14ac:dyDescent="0.25">
      <c r="A5" s="4" t="s">
        <v>3</v>
      </c>
      <c r="B5" s="2">
        <v>1</v>
      </c>
      <c r="C5" s="5">
        <v>0.21</v>
      </c>
      <c r="D5" s="6">
        <v>-0.45</v>
      </c>
      <c r="E5" s="7">
        <v>-0.2</v>
      </c>
      <c r="F5" s="8">
        <v>1.91</v>
      </c>
      <c r="H5" s="4" t="s">
        <v>3</v>
      </c>
      <c r="I5" s="2">
        <v>1</v>
      </c>
      <c r="J5" s="5">
        <f>C7+C6</f>
        <v>0.89999999999999991</v>
      </c>
      <c r="K5" s="5">
        <f t="shared" ref="K5:M5" si="0">D7+D6</f>
        <v>-9.9999999999999978E-2</v>
      </c>
      <c r="L5" s="5">
        <f t="shared" si="0"/>
        <v>0.18</v>
      </c>
      <c r="M5" s="5">
        <f t="shared" si="0"/>
        <v>2.15</v>
      </c>
      <c r="O5" s="4" t="s">
        <v>3</v>
      </c>
      <c r="P5" s="2">
        <v>1</v>
      </c>
      <c r="Q5" s="22">
        <v>0</v>
      </c>
      <c r="R5" s="23">
        <f>1/$J$5*(-K5)</f>
        <v>0.11111111111111109</v>
      </c>
      <c r="S5" s="23">
        <f t="shared" ref="S5:T5" si="1">1/$J$5*(-L5)</f>
        <v>-0.2</v>
      </c>
      <c r="T5" s="23">
        <f>1/$J$5*M5</f>
        <v>2.3888888888888888</v>
      </c>
      <c r="V5" s="30" t="s">
        <v>11</v>
      </c>
      <c r="W5" s="31">
        <v>1E-4</v>
      </c>
    </row>
    <row r="6" spans="1:23" x14ac:dyDescent="0.25">
      <c r="A6" s="4"/>
      <c r="B6" s="2">
        <v>2</v>
      </c>
      <c r="C6" s="9">
        <v>0.3</v>
      </c>
      <c r="D6" s="10">
        <v>0.25</v>
      </c>
      <c r="E6" s="11">
        <v>0.43</v>
      </c>
      <c r="F6" s="12">
        <v>0.32</v>
      </c>
      <c r="H6" s="4"/>
      <c r="I6" s="2">
        <v>2</v>
      </c>
      <c r="J6" s="9">
        <f>C5</f>
        <v>0.21</v>
      </c>
      <c r="K6" s="9">
        <f t="shared" ref="K6:M6" si="2">D5</f>
        <v>-0.45</v>
      </c>
      <c r="L6" s="9">
        <f t="shared" si="2"/>
        <v>-0.2</v>
      </c>
      <c r="M6" s="9">
        <f t="shared" si="2"/>
        <v>1.91</v>
      </c>
      <c r="O6" s="4"/>
      <c r="P6" s="2">
        <v>2</v>
      </c>
      <c r="Q6" s="24">
        <f>1/$K$6*(-J6)</f>
        <v>0.46666666666666667</v>
      </c>
      <c r="R6" s="25">
        <v>0</v>
      </c>
      <c r="S6" s="26">
        <f>1/$K$6*(-L6)</f>
        <v>-0.44444444444444448</v>
      </c>
      <c r="T6" s="26">
        <f>1/$K$6*M6</f>
        <v>-4.2444444444444445</v>
      </c>
    </row>
    <row r="7" spans="1:23" ht="15.75" thickBot="1" x14ac:dyDescent="0.3">
      <c r="A7" s="4"/>
      <c r="B7" s="2">
        <v>3</v>
      </c>
      <c r="C7" s="13">
        <v>0.6</v>
      </c>
      <c r="D7" s="14">
        <v>-0.35</v>
      </c>
      <c r="E7" s="15">
        <v>-0.25</v>
      </c>
      <c r="F7" s="16">
        <v>1.83</v>
      </c>
      <c r="H7" s="4"/>
      <c r="I7" s="2">
        <v>3</v>
      </c>
      <c r="J7" s="13">
        <f>C7-2*C6</f>
        <v>0</v>
      </c>
      <c r="K7" s="13">
        <f t="shared" ref="K7:M7" si="3">D7-2*D6</f>
        <v>-0.85</v>
      </c>
      <c r="L7" s="13">
        <f t="shared" si="3"/>
        <v>-1.1099999999999999</v>
      </c>
      <c r="M7" s="13">
        <f t="shared" si="3"/>
        <v>1.19</v>
      </c>
      <c r="O7" s="4"/>
      <c r="P7" s="2">
        <v>3</v>
      </c>
      <c r="Q7" s="27">
        <f>1/$L$7*(-J7)</f>
        <v>0</v>
      </c>
      <c r="R7" s="27">
        <f>1/$L$7*(-K7)</f>
        <v>-0.76576576576576583</v>
      </c>
      <c r="S7" s="28">
        <v>0</v>
      </c>
      <c r="T7" s="29">
        <f>1/$L$7*M7</f>
        <v>-1.0720720720720722</v>
      </c>
    </row>
    <row r="9" spans="1:23" ht="15.75" thickBot="1" x14ac:dyDescent="0.3"/>
    <row r="10" spans="1:23" x14ac:dyDescent="0.25">
      <c r="P10" s="32" t="s">
        <v>13</v>
      </c>
      <c r="Q10" s="33"/>
      <c r="R10" s="34"/>
    </row>
    <row r="11" spans="1:23" ht="15.75" thickBot="1" x14ac:dyDescent="0.3">
      <c r="P11" s="19">
        <v>1</v>
      </c>
      <c r="Q11" s="20">
        <v>2</v>
      </c>
      <c r="R11" s="21">
        <v>3</v>
      </c>
    </row>
    <row r="12" spans="1:23" ht="15.75" thickBot="1" x14ac:dyDescent="0.3">
      <c r="B12" s="2" t="s">
        <v>12</v>
      </c>
      <c r="C12" s="18" t="s">
        <v>14</v>
      </c>
      <c r="D12" s="18" t="s">
        <v>15</v>
      </c>
      <c r="E12" s="18" t="s">
        <v>16</v>
      </c>
      <c r="F12" s="18" t="s">
        <v>17</v>
      </c>
      <c r="G12" s="18" t="s">
        <v>18</v>
      </c>
      <c r="H12" s="18" t="s">
        <v>19</v>
      </c>
      <c r="I12" s="18" t="s">
        <v>20</v>
      </c>
      <c r="P12" s="35">
        <v>0</v>
      </c>
      <c r="Q12" s="36">
        <v>0</v>
      </c>
      <c r="R12" s="37">
        <v>0</v>
      </c>
    </row>
    <row r="13" spans="1:23" x14ac:dyDescent="0.25">
      <c r="B13" s="2">
        <v>1</v>
      </c>
      <c r="C13" s="38">
        <f>P12</f>
        <v>0</v>
      </c>
      <c r="D13" s="38">
        <f t="shared" ref="D13:E13" si="4">Q12</f>
        <v>0</v>
      </c>
      <c r="E13" s="38">
        <f t="shared" si="4"/>
        <v>0</v>
      </c>
      <c r="F13" s="38">
        <f>C13*$Q$5+D13*$R$5+E13*$S$5+$T$5</f>
        <v>2.3888888888888888</v>
      </c>
      <c r="G13" s="38">
        <f>C13*$Q$6+D13*$R$6+E13*$S$6+$T$6</f>
        <v>-4.2444444444444445</v>
      </c>
      <c r="H13" s="38">
        <f>C13*$Q$7+D13*$R$7+E13*$S$7+$T$7</f>
        <v>-1.0720720720720722</v>
      </c>
      <c r="I13" s="38">
        <f>MAX(ABS(F13-C13),ABS(G13-D13),ABS(H13-E13))</f>
        <v>4.2444444444444445</v>
      </c>
      <c r="J13" s="2" t="str">
        <f>IF(I13&lt;=($W$5*(1-$W$3)/$W$3),"решение","")</f>
        <v/>
      </c>
    </row>
    <row r="14" spans="1:23" x14ac:dyDescent="0.25">
      <c r="B14" s="2">
        <v>2</v>
      </c>
      <c r="C14" s="38">
        <f>F13</f>
        <v>2.3888888888888888</v>
      </c>
      <c r="D14" s="38">
        <f>G13</f>
        <v>-4.2444444444444445</v>
      </c>
      <c r="E14" s="38">
        <f>H13</f>
        <v>-1.0720720720720722</v>
      </c>
      <c r="F14" s="38">
        <f t="shared" ref="F14:F26" si="5">C14*$Q$5+D14*$R$5+E14*$S$5+$T$5</f>
        <v>2.1316983650316983</v>
      </c>
      <c r="G14" s="38">
        <f t="shared" ref="G14:G26" si="6">C14*$Q$6+D14*$R$6+E14*$S$6+$T$6</f>
        <v>-2.6531531531531529</v>
      </c>
      <c r="H14" s="38">
        <f t="shared" ref="H14:H26" si="7">C14*$Q$7+D14*$R$7+E14*$S$7+$T$7</f>
        <v>2.1781781781781784</v>
      </c>
      <c r="I14" s="38">
        <f t="shared" ref="I14:I26" si="8">MAX(ABS(F14-C14),ABS(G14-D14),ABS(H14-E14))</f>
        <v>3.2502502502502506</v>
      </c>
      <c r="J14" s="2" t="str">
        <f t="shared" ref="J14:J51" si="9">IF(I14&lt;=($W$5*(1-$W$3)/$W$3),"решение","")</f>
        <v/>
      </c>
    </row>
    <row r="15" spans="1:23" x14ac:dyDescent="0.25">
      <c r="B15" s="2">
        <v>3</v>
      </c>
      <c r="C15" s="38">
        <f t="shared" ref="C15:C26" si="10">F14</f>
        <v>2.1316983650316983</v>
      </c>
      <c r="D15" s="38">
        <f t="shared" ref="D15:D26" si="11">G14</f>
        <v>-2.6531531531531529</v>
      </c>
      <c r="E15" s="38">
        <f t="shared" ref="E15:E26" si="12">H14</f>
        <v>2.1781781781781784</v>
      </c>
      <c r="F15" s="38">
        <f t="shared" ref="F15:F26" si="13">C15*$Q$5+D15*$R$5+E15*$S$5+$T$5</f>
        <v>1.6584584584584585</v>
      </c>
      <c r="G15" s="38">
        <f t="shared" ref="G15:G26" si="14">C15*$Q$6+D15*$R$6+E15*$S$6+$T$6</f>
        <v>-4.2177310643977313</v>
      </c>
      <c r="H15" s="38">
        <f t="shared" ref="H15:H26" si="15">C15*$Q$7+D15*$R$7+E15*$S$7+$T$7</f>
        <v>0.95962178394610831</v>
      </c>
      <c r="I15" s="38">
        <f t="shared" si="8"/>
        <v>1.5645779112445783</v>
      </c>
      <c r="J15" s="2" t="str">
        <f t="shared" si="9"/>
        <v/>
      </c>
    </row>
    <row r="16" spans="1:23" x14ac:dyDescent="0.25">
      <c r="B16" s="2">
        <v>4</v>
      </c>
      <c r="C16" s="38">
        <f t="shared" si="10"/>
        <v>1.6584584584584585</v>
      </c>
      <c r="D16" s="38">
        <f t="shared" si="11"/>
        <v>-4.2177310643977313</v>
      </c>
      <c r="E16" s="38">
        <f t="shared" si="12"/>
        <v>0.95962178394610831</v>
      </c>
      <c r="F16" s="38">
        <f t="shared" si="13"/>
        <v>1.7283277471665861</v>
      </c>
      <c r="G16" s="38">
        <f t="shared" si="14"/>
        <v>-3.896995734473212</v>
      </c>
      <c r="H16" s="38">
        <f t="shared" si="15"/>
        <v>2.157721986250515</v>
      </c>
      <c r="I16" s="38">
        <f t="shared" si="8"/>
        <v>1.1981002023044067</v>
      </c>
      <c r="J16" s="2" t="str">
        <f t="shared" si="9"/>
        <v/>
      </c>
    </row>
    <row r="17" spans="2:10" x14ac:dyDescent="0.25">
      <c r="B17" s="2">
        <v>5</v>
      </c>
      <c r="C17" s="38">
        <f t="shared" si="10"/>
        <v>1.7283277471665861</v>
      </c>
      <c r="D17" s="38">
        <f t="shared" si="11"/>
        <v>-3.896995734473212</v>
      </c>
      <c r="E17" s="38">
        <f t="shared" si="12"/>
        <v>2.157721986250515</v>
      </c>
      <c r="F17" s="38">
        <f t="shared" si="13"/>
        <v>1.5243449655862067</v>
      </c>
      <c r="G17" s="38">
        <f t="shared" si="14"/>
        <v>-4.396879045211378</v>
      </c>
      <c r="H17" s="38">
        <f t="shared" si="15"/>
        <v>1.9121138507227302</v>
      </c>
      <c r="I17" s="38">
        <f t="shared" si="8"/>
        <v>0.49988331073816594</v>
      </c>
      <c r="J17" s="2" t="str">
        <f t="shared" si="9"/>
        <v/>
      </c>
    </row>
    <row r="18" spans="2:10" x14ac:dyDescent="0.25">
      <c r="B18" s="2">
        <v>6</v>
      </c>
      <c r="C18" s="38">
        <f t="shared" si="10"/>
        <v>1.5243449655862067</v>
      </c>
      <c r="D18" s="38">
        <f t="shared" si="11"/>
        <v>-4.396879045211378</v>
      </c>
      <c r="E18" s="38">
        <f t="shared" si="12"/>
        <v>1.9121138507227302</v>
      </c>
      <c r="F18" s="38">
        <f t="shared" si="13"/>
        <v>1.5179240026097454</v>
      </c>
      <c r="G18" s="38">
        <f t="shared" si="14"/>
        <v>-4.3829118386032055</v>
      </c>
      <c r="H18" s="38">
        <f t="shared" si="15"/>
        <v>2.2949073769636681</v>
      </c>
      <c r="I18" s="38">
        <f t="shared" si="8"/>
        <v>0.38279352624093788</v>
      </c>
      <c r="J18" s="2" t="str">
        <f t="shared" si="9"/>
        <v/>
      </c>
    </row>
    <row r="19" spans="2:10" x14ac:dyDescent="0.25">
      <c r="B19" s="2">
        <v>7</v>
      </c>
      <c r="C19" s="38">
        <f t="shared" si="10"/>
        <v>1.5179240026097454</v>
      </c>
      <c r="D19" s="38">
        <f t="shared" si="11"/>
        <v>-4.3829118386032055</v>
      </c>
      <c r="E19" s="38">
        <f t="shared" si="12"/>
        <v>2.2949073769636681</v>
      </c>
      <c r="F19" s="38">
        <f t="shared" si="13"/>
        <v>1.4429172092069102</v>
      </c>
      <c r="G19" s="38">
        <f t="shared" si="14"/>
        <v>-4.5560387440993049</v>
      </c>
      <c r="H19" s="38">
        <f t="shared" si="15"/>
        <v>2.2842117682997523</v>
      </c>
      <c r="I19" s="38">
        <f t="shared" si="8"/>
        <v>0.17312690549609933</v>
      </c>
      <c r="J19" s="2" t="str">
        <f t="shared" si="9"/>
        <v/>
      </c>
    </row>
    <row r="20" spans="2:10" x14ac:dyDescent="0.25">
      <c r="B20" s="2">
        <v>8</v>
      </c>
      <c r="C20" s="38">
        <f t="shared" si="10"/>
        <v>1.4429172092069102</v>
      </c>
      <c r="D20" s="38">
        <f t="shared" si="11"/>
        <v>-4.5560387440993049</v>
      </c>
      <c r="E20" s="38">
        <f t="shared" si="12"/>
        <v>2.2842117682997523</v>
      </c>
      <c r="F20" s="38">
        <f t="shared" si="13"/>
        <v>1.4258200081067935</v>
      </c>
      <c r="G20" s="38">
        <f t="shared" si="14"/>
        <v>-4.5862883105033321</v>
      </c>
      <c r="H20" s="38">
        <f t="shared" si="15"/>
        <v>2.41678642566163</v>
      </c>
      <c r="I20" s="38">
        <f t="shared" si="8"/>
        <v>0.13257465736187779</v>
      </c>
      <c r="J20" s="2" t="str">
        <f t="shared" si="9"/>
        <v/>
      </c>
    </row>
    <row r="21" spans="2:10" x14ac:dyDescent="0.25">
      <c r="B21" s="2">
        <v>9</v>
      </c>
      <c r="C21" s="38">
        <f t="shared" si="10"/>
        <v>1.4258200081067935</v>
      </c>
      <c r="D21" s="38">
        <f t="shared" si="11"/>
        <v>-4.5862883105033321</v>
      </c>
      <c r="E21" s="38">
        <f t="shared" si="12"/>
        <v>2.41678642566163</v>
      </c>
      <c r="F21" s="38">
        <f t="shared" si="13"/>
        <v>1.3959440137006371</v>
      </c>
      <c r="G21" s="38">
        <f t="shared" si="14"/>
        <v>-4.6531890742886652</v>
      </c>
      <c r="H21" s="38">
        <f t="shared" si="15"/>
        <v>2.4399505080430921</v>
      </c>
      <c r="I21" s="38">
        <f t="shared" si="8"/>
        <v>6.6900763785333162E-2</v>
      </c>
      <c r="J21" s="2" t="str">
        <f t="shared" si="9"/>
        <v/>
      </c>
    </row>
    <row r="22" spans="2:10" x14ac:dyDescent="0.25">
      <c r="B22" s="2">
        <v>10</v>
      </c>
      <c r="C22" s="38">
        <f t="shared" si="10"/>
        <v>1.3959440137006371</v>
      </c>
      <c r="D22" s="38">
        <f t="shared" si="11"/>
        <v>-4.6531890742886652</v>
      </c>
      <c r="E22" s="38">
        <f t="shared" si="12"/>
        <v>2.4399505080430921</v>
      </c>
      <c r="F22" s="38">
        <f t="shared" si="13"/>
        <v>1.3838777790259744</v>
      </c>
      <c r="G22" s="38">
        <f t="shared" si="14"/>
        <v>-4.6774263527366324</v>
      </c>
      <c r="H22" s="38">
        <f t="shared" si="15"/>
        <v>2.4911808226534826</v>
      </c>
      <c r="I22" s="38">
        <f t="shared" si="8"/>
        <v>5.1230314610390515E-2</v>
      </c>
      <c r="J22" s="2" t="str">
        <f t="shared" si="9"/>
        <v/>
      </c>
    </row>
    <row r="23" spans="2:10" x14ac:dyDescent="0.25">
      <c r="B23" s="2">
        <v>11</v>
      </c>
      <c r="C23" s="38">
        <f t="shared" si="10"/>
        <v>1.3838777790259744</v>
      </c>
      <c r="D23" s="38">
        <f t="shared" si="11"/>
        <v>-4.6774263527366324</v>
      </c>
      <c r="E23" s="38">
        <f t="shared" si="12"/>
        <v>2.4911808226534826</v>
      </c>
      <c r="F23" s="38">
        <f t="shared" si="13"/>
        <v>1.3709386851652332</v>
      </c>
      <c r="G23" s="38">
        <f t="shared" si="14"/>
        <v>-4.7058262909672042</v>
      </c>
      <c r="H23" s="38">
        <f t="shared" si="15"/>
        <v>2.5097409007442684</v>
      </c>
      <c r="I23" s="38">
        <f t="shared" si="8"/>
        <v>2.8399938230571742E-2</v>
      </c>
      <c r="J23" s="2" t="str">
        <f t="shared" si="9"/>
        <v/>
      </c>
    </row>
    <row r="24" spans="2:10" x14ac:dyDescent="0.25">
      <c r="B24" s="2">
        <v>12</v>
      </c>
      <c r="C24" s="38">
        <f t="shared" si="10"/>
        <v>1.3709386851652332</v>
      </c>
      <c r="D24" s="38">
        <f t="shared" si="11"/>
        <v>-4.7058262909672042</v>
      </c>
      <c r="E24" s="38">
        <f t="shared" si="12"/>
        <v>2.5097409007442684</v>
      </c>
      <c r="F24" s="38">
        <f t="shared" si="13"/>
        <v>1.3640711208547902</v>
      </c>
      <c r="G24" s="38">
        <f t="shared" si="14"/>
        <v>-4.7201134583647884</v>
      </c>
      <c r="H24" s="38">
        <f t="shared" si="15"/>
        <v>2.5314886011911026</v>
      </c>
      <c r="I24" s="38">
        <f t="shared" si="8"/>
        <v>2.1747700446834273E-2</v>
      </c>
      <c r="J24" s="2" t="str">
        <f t="shared" si="9"/>
        <v/>
      </c>
    </row>
    <row r="25" spans="2:10" x14ac:dyDescent="0.25">
      <c r="B25" s="2">
        <v>13</v>
      </c>
      <c r="C25" s="38">
        <f t="shared" si="10"/>
        <v>1.3640711208547902</v>
      </c>
      <c r="D25" s="38">
        <f t="shared" si="11"/>
        <v>-4.7201134583647884</v>
      </c>
      <c r="E25" s="38">
        <f t="shared" si="12"/>
        <v>2.5314886011911026</v>
      </c>
      <c r="F25" s="38">
        <f t="shared" si="13"/>
        <v>1.3581341177212476</v>
      </c>
      <c r="G25" s="38">
        <f t="shared" si="14"/>
        <v>-4.7329839663526991</v>
      </c>
      <c r="H25" s="38">
        <f t="shared" si="15"/>
        <v>2.5424292248739371</v>
      </c>
      <c r="I25" s="38">
        <f t="shared" si="8"/>
        <v>1.2870507987910784E-2</v>
      </c>
      <c r="J25" s="2" t="str">
        <f t="shared" si="9"/>
        <v/>
      </c>
    </row>
    <row r="26" spans="2:10" x14ac:dyDescent="0.25">
      <c r="B26" s="2">
        <v>14</v>
      </c>
      <c r="C26" s="38">
        <f t="shared" si="10"/>
        <v>1.3581341177212476</v>
      </c>
      <c r="D26" s="38">
        <f t="shared" si="11"/>
        <v>-4.7329839663526991</v>
      </c>
      <c r="E26" s="38">
        <f t="shared" si="12"/>
        <v>2.5424292248739371</v>
      </c>
      <c r="F26" s="38">
        <f t="shared" si="13"/>
        <v>1.3545159365415795</v>
      </c>
      <c r="G26" s="38">
        <f t="shared" si="14"/>
        <v>-4.7406170672296124</v>
      </c>
      <c r="H26" s="38">
        <f t="shared" si="15"/>
        <v>2.5522850192790942</v>
      </c>
      <c r="I26" s="38">
        <f t="shared" si="8"/>
        <v>9.8557944051571589E-3</v>
      </c>
      <c r="J26" s="2" t="str">
        <f t="shared" si="9"/>
        <v/>
      </c>
    </row>
    <row r="27" spans="2:10" x14ac:dyDescent="0.25">
      <c r="B27" s="2">
        <v>15</v>
      </c>
      <c r="C27" s="38">
        <f t="shared" ref="C27:C43" si="16">F26</f>
        <v>1.3545159365415795</v>
      </c>
      <c r="D27" s="38">
        <f t="shared" ref="D27:D43" si="17">G26</f>
        <v>-4.7406170672296124</v>
      </c>
      <c r="E27" s="38">
        <f t="shared" ref="E27:E43" si="18">H26</f>
        <v>2.5522850192790942</v>
      </c>
      <c r="F27" s="38">
        <f t="shared" ref="F27:F43" si="19">C27*$Q$5+D27*$R$5+E27*$S$5+$T$5</f>
        <v>1.3516966553408909</v>
      </c>
      <c r="G27" s="38">
        <f t="shared" ref="G27:G43" si="20">C27*$Q$6+D27*$R$6+E27*$S$6+$T$6</f>
        <v>-4.7466859048490821</v>
      </c>
      <c r="H27" s="38">
        <f t="shared" ref="H27:H43" si="21">C27*$Q$7+D27*$R$7+E27*$S$7+$T$7</f>
        <v>2.5581301866172708</v>
      </c>
      <c r="I27" s="38">
        <f t="shared" ref="I27:I43" si="22">MAX(ABS(F27-C27),ABS(G27-D27),ABS(H27-E27))</f>
        <v>6.0688376194697469E-3</v>
      </c>
      <c r="J27" s="2" t="str">
        <f t="shared" si="9"/>
        <v/>
      </c>
    </row>
    <row r="28" spans="2:10" x14ac:dyDescent="0.25">
      <c r="B28" s="2">
        <v>16</v>
      </c>
      <c r="C28" s="38">
        <f t="shared" si="16"/>
        <v>1.3516966553408909</v>
      </c>
      <c r="D28" s="38">
        <f t="shared" si="17"/>
        <v>-4.7466859048490821</v>
      </c>
      <c r="E28" s="38">
        <f t="shared" si="18"/>
        <v>2.5581301866172708</v>
      </c>
      <c r="F28" s="38">
        <f t="shared" si="19"/>
        <v>1.3498533065822036</v>
      </c>
      <c r="G28" s="38">
        <f t="shared" si="20"/>
        <v>-4.7505994215597047</v>
      </c>
      <c r="H28" s="38">
        <f t="shared" si="21"/>
        <v>2.5627774947042523</v>
      </c>
      <c r="I28" s="38">
        <f t="shared" si="22"/>
        <v>4.6473080869815497E-3</v>
      </c>
      <c r="J28" s="2" t="str">
        <f t="shared" si="9"/>
        <v/>
      </c>
    </row>
    <row r="29" spans="2:10" x14ac:dyDescent="0.25">
      <c r="B29" s="2">
        <v>17</v>
      </c>
      <c r="C29" s="38">
        <f t="shared" si="16"/>
        <v>1.3498533065822036</v>
      </c>
      <c r="D29" s="38">
        <f t="shared" si="17"/>
        <v>-4.7505994215597047</v>
      </c>
      <c r="E29" s="38">
        <f t="shared" si="18"/>
        <v>2.5627774947042523</v>
      </c>
      <c r="F29" s="38">
        <f t="shared" si="19"/>
        <v>1.348489009774738</v>
      </c>
      <c r="G29" s="38">
        <f t="shared" si="20"/>
        <v>-4.7535251212413066</v>
      </c>
      <c r="H29" s="38">
        <f t="shared" si="21"/>
        <v>2.5657743318249993</v>
      </c>
      <c r="I29" s="38">
        <f t="shared" si="22"/>
        <v>2.9968371207469424E-3</v>
      </c>
      <c r="J29" s="2" t="str">
        <f t="shared" si="9"/>
        <v/>
      </c>
    </row>
    <row r="30" spans="2:10" x14ac:dyDescent="0.25">
      <c r="B30" s="2">
        <v>18</v>
      </c>
      <c r="C30" s="38">
        <f t="shared" si="16"/>
        <v>1.348489009774738</v>
      </c>
      <c r="D30" s="38">
        <f t="shared" si="17"/>
        <v>-4.7535251212413066</v>
      </c>
      <c r="E30" s="38">
        <f t="shared" si="18"/>
        <v>2.5657743318249993</v>
      </c>
      <c r="F30" s="38">
        <f t="shared" si="19"/>
        <v>1.3475645646081884</v>
      </c>
      <c r="G30" s="38">
        <f t="shared" si="20"/>
        <v>-4.7554937206940107</v>
      </c>
      <c r="H30" s="38">
        <f t="shared" si="21"/>
        <v>2.5680147324820819</v>
      </c>
      <c r="I30" s="38">
        <f t="shared" si="22"/>
        <v>2.2404006570826418E-3</v>
      </c>
      <c r="J30" s="2" t="str">
        <f t="shared" si="9"/>
        <v/>
      </c>
    </row>
    <row r="31" spans="2:10" x14ac:dyDescent="0.25">
      <c r="B31" s="2">
        <v>19</v>
      </c>
      <c r="C31" s="38">
        <f t="shared" si="16"/>
        <v>1.3475645646081884</v>
      </c>
      <c r="D31" s="38">
        <f t="shared" si="17"/>
        <v>-4.7554937206940107</v>
      </c>
      <c r="E31" s="38">
        <f t="shared" si="18"/>
        <v>2.5680147324820819</v>
      </c>
      <c r="F31" s="38">
        <f t="shared" si="19"/>
        <v>1.3468977512042493</v>
      </c>
      <c r="G31" s="38">
        <f t="shared" si="20"/>
        <v>-4.7569208620637706</v>
      </c>
      <c r="H31" s="38">
        <f t="shared" si="21"/>
        <v>2.5695222185494679</v>
      </c>
      <c r="I31" s="38">
        <f t="shared" si="22"/>
        <v>1.5074860673860435E-3</v>
      </c>
      <c r="J31" s="2" t="str">
        <f t="shared" si="9"/>
        <v/>
      </c>
    </row>
    <row r="32" spans="2:10" x14ac:dyDescent="0.25">
      <c r="B32" s="2">
        <v>20</v>
      </c>
      <c r="C32" s="38">
        <f t="shared" si="16"/>
        <v>1.3468977512042493</v>
      </c>
      <c r="D32" s="38">
        <f t="shared" si="17"/>
        <v>-4.7569208620637706</v>
      </c>
      <c r="E32" s="38">
        <f t="shared" si="18"/>
        <v>2.5695222185494679</v>
      </c>
      <c r="F32" s="38">
        <f t="shared" si="19"/>
        <v>1.3464376827274651</v>
      </c>
      <c r="G32" s="38">
        <f t="shared" si="20"/>
        <v>-4.7579020354600026</v>
      </c>
      <c r="H32" s="38">
        <f t="shared" si="21"/>
        <v>2.5706150745533378</v>
      </c>
      <c r="I32" s="38">
        <f t="shared" si="22"/>
        <v>1.0928560038698798E-3</v>
      </c>
      <c r="J32" s="2" t="str">
        <f t="shared" si="9"/>
        <v/>
      </c>
    </row>
    <row r="33" spans="2:14" x14ac:dyDescent="0.25">
      <c r="B33" s="2">
        <v>21</v>
      </c>
      <c r="C33" s="38">
        <f t="shared" si="16"/>
        <v>1.3464376827274651</v>
      </c>
      <c r="D33" s="38">
        <f t="shared" si="17"/>
        <v>-4.7579020354600026</v>
      </c>
      <c r="E33" s="38">
        <f t="shared" si="18"/>
        <v>2.5706150745533378</v>
      </c>
      <c r="F33" s="38">
        <f t="shared" si="19"/>
        <v>1.3461100922604432</v>
      </c>
      <c r="G33" s="38">
        <f t="shared" si="20"/>
        <v>-4.7586024478619997</v>
      </c>
      <c r="H33" s="38">
        <f t="shared" si="21"/>
        <v>2.5713664235504528</v>
      </c>
      <c r="I33" s="38">
        <f t="shared" si="22"/>
        <v>7.5134899711493119E-4</v>
      </c>
      <c r="J33" s="2" t="str">
        <f t="shared" si="9"/>
        <v/>
      </c>
    </row>
    <row r="34" spans="2:14" x14ac:dyDescent="0.25">
      <c r="B34" s="2">
        <v>22</v>
      </c>
      <c r="C34" s="38">
        <f t="shared" si="16"/>
        <v>1.3461100922604432</v>
      </c>
      <c r="D34" s="38">
        <f t="shared" si="17"/>
        <v>-4.7586024478619997</v>
      </c>
      <c r="E34" s="38">
        <f t="shared" si="18"/>
        <v>2.5713664235504528</v>
      </c>
      <c r="F34" s="38">
        <f t="shared" si="19"/>
        <v>1.3458819988607984</v>
      </c>
      <c r="G34" s="38">
        <f t="shared" si="20"/>
        <v>-4.7590892563008831</v>
      </c>
      <c r="H34" s="38">
        <f t="shared" si="21"/>
        <v>2.5719027753898196</v>
      </c>
      <c r="I34" s="38">
        <f t="shared" si="22"/>
        <v>5.3635183936684427E-4</v>
      </c>
      <c r="J34" s="2" t="str">
        <f t="shared" si="9"/>
        <v/>
      </c>
    </row>
    <row r="35" spans="2:14" x14ac:dyDescent="0.25">
      <c r="B35" s="2">
        <v>23</v>
      </c>
      <c r="C35" s="38">
        <f t="shared" si="16"/>
        <v>1.3458819988607984</v>
      </c>
      <c r="D35" s="38">
        <f t="shared" si="17"/>
        <v>-4.7590892563008831</v>
      </c>
      <c r="E35" s="38">
        <f t="shared" si="18"/>
        <v>2.5719027753898196</v>
      </c>
      <c r="F35" s="38">
        <f t="shared" si="19"/>
        <v>1.3457206386663825</v>
      </c>
      <c r="G35" s="38">
        <f t="shared" si="20"/>
        <v>-4.7594340784826583</v>
      </c>
      <c r="H35" s="38">
        <f t="shared" si="21"/>
        <v>2.5722755566268023</v>
      </c>
      <c r="I35" s="38">
        <f t="shared" si="22"/>
        <v>3.7278123698269994E-4</v>
      </c>
      <c r="J35" s="2" t="str">
        <f t="shared" si="9"/>
        <v/>
      </c>
    </row>
    <row r="36" spans="2:14" x14ac:dyDescent="0.25">
      <c r="B36" s="2">
        <v>24</v>
      </c>
      <c r="C36" s="38">
        <f t="shared" si="16"/>
        <v>1.3457206386663825</v>
      </c>
      <c r="D36" s="38">
        <f t="shared" si="17"/>
        <v>-4.7594340784826583</v>
      </c>
      <c r="E36" s="38">
        <f t="shared" si="18"/>
        <v>2.5722755566268023</v>
      </c>
      <c r="F36" s="38">
        <f t="shared" si="19"/>
        <v>1.3456077688432331</v>
      </c>
      <c r="G36" s="38">
        <f t="shared" si="20"/>
        <v>-4.7596750604564892</v>
      </c>
      <c r="H36" s="38">
        <f t="shared" si="21"/>
        <v>2.5725396096488828</v>
      </c>
      <c r="I36" s="38">
        <f t="shared" si="22"/>
        <v>2.6405302208054593E-4</v>
      </c>
      <c r="J36" s="2" t="str">
        <f t="shared" si="9"/>
        <v/>
      </c>
    </row>
    <row r="37" spans="2:14" x14ac:dyDescent="0.25">
      <c r="B37" s="2">
        <v>25</v>
      </c>
      <c r="C37" s="38">
        <f t="shared" si="16"/>
        <v>1.3456077688432331</v>
      </c>
      <c r="D37" s="38">
        <f t="shared" si="17"/>
        <v>-4.7596750604564892</v>
      </c>
      <c r="E37" s="38">
        <f t="shared" si="18"/>
        <v>2.5725396096488828</v>
      </c>
      <c r="F37" s="38">
        <f t="shared" si="19"/>
        <v>1.3455281824639469</v>
      </c>
      <c r="G37" s="38">
        <f t="shared" si="20"/>
        <v>-4.7598450899393283</v>
      </c>
      <c r="H37" s="38">
        <f t="shared" si="21"/>
        <v>2.5727241453946088</v>
      </c>
      <c r="I37" s="38">
        <f t="shared" si="22"/>
        <v>1.8453574572596665E-4</v>
      </c>
      <c r="J37" s="2" t="str">
        <f t="shared" si="9"/>
        <v/>
      </c>
    </row>
    <row r="38" spans="2:14" x14ac:dyDescent="0.25">
      <c r="B38" s="2">
        <v>26</v>
      </c>
      <c r="C38" s="38">
        <f t="shared" si="16"/>
        <v>1.3455281824639469</v>
      </c>
      <c r="D38" s="38">
        <f t="shared" si="17"/>
        <v>-4.7598450899393283</v>
      </c>
      <c r="E38" s="38">
        <f t="shared" si="18"/>
        <v>2.5727241453946088</v>
      </c>
      <c r="F38" s="38">
        <f t="shared" si="19"/>
        <v>1.3454723831500419</v>
      </c>
      <c r="G38" s="38">
        <f t="shared" si="20"/>
        <v>-4.7599642461366507</v>
      </c>
      <c r="H38" s="38">
        <f t="shared" si="21"/>
        <v>2.5728543481517381</v>
      </c>
      <c r="I38" s="38">
        <f t="shared" si="22"/>
        <v>1.3020275712927187E-4</v>
      </c>
      <c r="J38" s="2" t="str">
        <f t="shared" si="9"/>
        <v/>
      </c>
    </row>
    <row r="39" spans="2:14" x14ac:dyDescent="0.25">
      <c r="B39" s="2">
        <v>27</v>
      </c>
      <c r="C39" s="38">
        <f t="shared" si="16"/>
        <v>1.3454723831500419</v>
      </c>
      <c r="D39" s="38">
        <f t="shared" si="17"/>
        <v>-4.7599642461366507</v>
      </c>
      <c r="E39" s="38">
        <f t="shared" si="18"/>
        <v>2.5728543481517381</v>
      </c>
      <c r="F39" s="38">
        <f t="shared" si="19"/>
        <v>1.3454331030211357</v>
      </c>
      <c r="G39" s="38">
        <f t="shared" si="20"/>
        <v>-4.7600481537085306</v>
      </c>
      <c r="H39" s="38">
        <f t="shared" si="21"/>
        <v>2.5729455938884263</v>
      </c>
      <c r="I39" s="38">
        <f t="shared" si="22"/>
        <v>9.1245736688172485E-5</v>
      </c>
      <c r="J39" s="2" t="str">
        <f t="shared" si="9"/>
        <v/>
      </c>
    </row>
    <row r="40" spans="2:14" x14ac:dyDescent="0.25">
      <c r="B40" s="2">
        <v>28</v>
      </c>
      <c r="C40" s="38">
        <f t="shared" si="16"/>
        <v>1.3454331030211357</v>
      </c>
      <c r="D40" s="38">
        <f t="shared" si="17"/>
        <v>-4.7600481537085306</v>
      </c>
      <c r="E40" s="38">
        <f t="shared" si="18"/>
        <v>2.5729455938884263</v>
      </c>
      <c r="F40" s="38">
        <f t="shared" si="19"/>
        <v>1.3454055308102557</v>
      </c>
      <c r="G40" s="38">
        <f t="shared" si="20"/>
        <v>-4.7601070380961037</v>
      </c>
      <c r="H40" s="38">
        <f t="shared" si="21"/>
        <v>2.5730098474344607</v>
      </c>
      <c r="I40" s="38">
        <f t="shared" si="22"/>
        <v>6.425354603445399E-5</v>
      </c>
      <c r="J40" s="2" t="str">
        <f t="shared" si="9"/>
        <v/>
      </c>
    </row>
    <row r="41" spans="2:14" x14ac:dyDescent="0.25">
      <c r="B41" s="2">
        <v>29</v>
      </c>
      <c r="C41" s="38">
        <f t="shared" si="16"/>
        <v>1.3454055308102557</v>
      </c>
      <c r="D41" s="38">
        <f t="shared" si="17"/>
        <v>-4.7601070380961037</v>
      </c>
      <c r="E41" s="38">
        <f t="shared" si="18"/>
        <v>2.5730098474344607</v>
      </c>
      <c r="F41" s="38">
        <f t="shared" si="19"/>
        <v>1.3453861373913185</v>
      </c>
      <c r="G41" s="38">
        <f t="shared" si="20"/>
        <v>-4.7601484622594192</v>
      </c>
      <c r="H41" s="38">
        <f t="shared" si="21"/>
        <v>2.5730549390826019</v>
      </c>
      <c r="I41" s="38">
        <f t="shared" si="22"/>
        <v>4.5091648141148966E-5</v>
      </c>
      <c r="J41" s="2" t="str">
        <f t="shared" si="9"/>
        <v/>
      </c>
    </row>
    <row r="42" spans="2:14" x14ac:dyDescent="0.25">
      <c r="B42" s="2">
        <v>30</v>
      </c>
      <c r="C42" s="38">
        <f t="shared" si="16"/>
        <v>1.3453861373913185</v>
      </c>
      <c r="D42" s="38">
        <f t="shared" si="17"/>
        <v>-4.7601484622594192</v>
      </c>
      <c r="E42" s="38">
        <f t="shared" si="18"/>
        <v>2.5730549390826019</v>
      </c>
      <c r="F42" s="38">
        <f t="shared" si="19"/>
        <v>1.3453725163768775</v>
      </c>
      <c r="G42" s="38">
        <f t="shared" si="20"/>
        <v>-4.7601775532540964</v>
      </c>
      <c r="H42" s="38">
        <f t="shared" si="21"/>
        <v>2.5730866602887446</v>
      </c>
      <c r="I42" s="38">
        <f t="shared" si="22"/>
        <v>3.1721206142698577E-5</v>
      </c>
      <c r="J42" s="2" t="str">
        <f t="shared" si="9"/>
        <v/>
      </c>
    </row>
    <row r="43" spans="2:14" x14ac:dyDescent="0.25">
      <c r="B43" s="2">
        <v>31</v>
      </c>
      <c r="C43" s="38">
        <f t="shared" si="16"/>
        <v>1.3453725163768775</v>
      </c>
      <c r="D43" s="38">
        <f t="shared" si="17"/>
        <v>-4.7601775532540964</v>
      </c>
      <c r="E43" s="38">
        <f t="shared" si="18"/>
        <v>2.5730866602887446</v>
      </c>
      <c r="F43" s="38">
        <f t="shared" si="19"/>
        <v>1.345362939802907</v>
      </c>
      <c r="G43" s="38">
        <f t="shared" si="20"/>
        <v>-4.7601980080413435</v>
      </c>
      <c r="H43" s="38">
        <f t="shared" si="21"/>
        <v>2.5731089371765603</v>
      </c>
      <c r="I43" s="38">
        <f t="shared" si="22"/>
        <v>2.2276887815753099E-5</v>
      </c>
      <c r="J43" s="2" t="str">
        <f t="shared" si="9"/>
        <v/>
      </c>
    </row>
    <row r="44" spans="2:14" x14ac:dyDescent="0.25">
      <c r="B44" s="2">
        <v>32</v>
      </c>
      <c r="C44" s="38">
        <f t="shared" ref="C44:C51" si="23">F43</f>
        <v>1.345362939802907</v>
      </c>
      <c r="D44" s="38">
        <f t="shared" ref="D44:D51" si="24">G43</f>
        <v>-4.7601980080413435</v>
      </c>
      <c r="E44" s="38">
        <f t="shared" ref="E44:E51" si="25">H43</f>
        <v>2.5731089371765603</v>
      </c>
      <c r="F44" s="38">
        <f t="shared" ref="F44:F51" si="26">C44*$Q$5+D44*$R$5+E44*$S$5+$T$5</f>
        <v>1.3453562116712052</v>
      </c>
      <c r="G44" s="38">
        <f t="shared" ref="G44:G51" si="27">C44*$Q$6+D44*$R$6+E44*$S$6+$T$6</f>
        <v>-4.7602123779482257</v>
      </c>
      <c r="H44" s="38">
        <f t="shared" ref="H44:H51" si="28">C44*$Q$7+D44*$R$7+E44*$S$7+$T$7</f>
        <v>2.5731246007523803</v>
      </c>
      <c r="I44" s="38">
        <f t="shared" ref="I44:I51" si="29">MAX(ABS(F44-C44),ABS(G44-D44),ABS(H44-E44))</f>
        <v>1.5663575819946374E-5</v>
      </c>
      <c r="J44" s="2" t="str">
        <f t="shared" si="9"/>
        <v/>
      </c>
    </row>
    <row r="45" spans="2:14" x14ac:dyDescent="0.25">
      <c r="B45" s="2">
        <v>33</v>
      </c>
      <c r="C45" s="38">
        <f t="shared" si="23"/>
        <v>1.3453562116712052</v>
      </c>
      <c r="D45" s="38">
        <f t="shared" si="24"/>
        <v>-4.7602123779482257</v>
      </c>
      <c r="E45" s="38">
        <f t="shared" si="25"/>
        <v>2.5731246007523803</v>
      </c>
      <c r="F45" s="38">
        <f t="shared" si="26"/>
        <v>1.345351482299721</v>
      </c>
      <c r="G45" s="38">
        <f t="shared" si="27"/>
        <v>-4.7602224793322732</v>
      </c>
      <c r="H45" s="38">
        <f t="shared" si="28"/>
        <v>2.5731356047351279</v>
      </c>
      <c r="I45" s="38">
        <f t="shared" si="29"/>
        <v>1.1003982747670449E-5</v>
      </c>
      <c r="J45" s="2" t="str">
        <f t="shared" si="9"/>
        <v/>
      </c>
      <c r="M45" s="4" t="s">
        <v>21</v>
      </c>
      <c r="N45" s="4"/>
    </row>
    <row r="46" spans="2:14" x14ac:dyDescent="0.25">
      <c r="B46" s="2">
        <v>34</v>
      </c>
      <c r="C46" s="39">
        <f t="shared" si="23"/>
        <v>1.345351482299721</v>
      </c>
      <c r="D46" s="39">
        <f t="shared" si="24"/>
        <v>-4.7602224793322732</v>
      </c>
      <c r="E46" s="39">
        <f t="shared" si="25"/>
        <v>2.5731356047351279</v>
      </c>
      <c r="F46" s="38">
        <f t="shared" si="26"/>
        <v>1.3453481591271663</v>
      </c>
      <c r="G46" s="38">
        <f t="shared" si="27"/>
        <v>-4.7602295770312981</v>
      </c>
      <c r="H46" s="38">
        <f t="shared" si="28"/>
        <v>2.5731433400292185</v>
      </c>
      <c r="I46" s="38">
        <f t="shared" si="29"/>
        <v>7.7352940905939249E-6</v>
      </c>
      <c r="J46" s="2" t="str">
        <f t="shared" si="9"/>
        <v>решение</v>
      </c>
      <c r="M46" s="2">
        <v>1</v>
      </c>
      <c r="N46" s="18">
        <f>C5*$C$46+D5*$D$46+E5*$E$46-F5</f>
        <v>-3.1939645610545853E-6</v>
      </c>
    </row>
    <row r="47" spans="2:14" x14ac:dyDescent="0.25">
      <c r="B47" s="2">
        <v>35</v>
      </c>
      <c r="C47" s="38">
        <f t="shared" si="23"/>
        <v>1.3453481591271663</v>
      </c>
      <c r="D47" s="38">
        <f t="shared" si="24"/>
        <v>-4.7602295770312981</v>
      </c>
      <c r="E47" s="38">
        <f t="shared" si="25"/>
        <v>2.5731433400292185</v>
      </c>
      <c r="F47" s="38">
        <f t="shared" si="26"/>
        <v>1.3453458234351232</v>
      </c>
      <c r="G47" s="38">
        <f t="shared" si="27"/>
        <v>-4.7602345657536418</v>
      </c>
      <c r="H47" s="38">
        <f t="shared" si="28"/>
        <v>2.5731487752041473</v>
      </c>
      <c r="I47" s="38">
        <f t="shared" si="29"/>
        <v>5.4351749287917528E-6</v>
      </c>
      <c r="J47" s="2" t="str">
        <f t="shared" si="9"/>
        <v>решение</v>
      </c>
      <c r="M47" s="2">
        <v>2</v>
      </c>
      <c r="N47" s="18">
        <f t="shared" ref="N47:N48" si="30">C6*$C$46+D6*$D$46+E6*$E$46-F6</f>
        <v>-1.8651070471942255E-6</v>
      </c>
    </row>
    <row r="48" spans="2:14" x14ac:dyDescent="0.25">
      <c r="B48" s="2">
        <v>36</v>
      </c>
      <c r="C48" s="38">
        <f t="shared" si="23"/>
        <v>1.3453458234351232</v>
      </c>
      <c r="D48" s="38">
        <f t="shared" si="24"/>
        <v>-4.7602345657536418</v>
      </c>
      <c r="E48" s="38">
        <f t="shared" si="25"/>
        <v>2.5731487752041473</v>
      </c>
      <c r="F48" s="38">
        <f t="shared" si="26"/>
        <v>1.3453441820976546</v>
      </c>
      <c r="G48" s="38">
        <f t="shared" si="27"/>
        <v>-4.7602380713765635</v>
      </c>
      <c r="H48" s="38">
        <f t="shared" si="28"/>
        <v>2.573152595396933</v>
      </c>
      <c r="I48" s="38">
        <f t="shared" si="29"/>
        <v>3.8201927856640339E-6</v>
      </c>
      <c r="J48" s="2" t="str">
        <f t="shared" si="9"/>
        <v>решение</v>
      </c>
      <c r="M48" s="2">
        <v>3</v>
      </c>
      <c r="N48" s="18">
        <f t="shared" si="30"/>
        <v>4.8559623460064927E-6</v>
      </c>
    </row>
    <row r="49" spans="2:10" x14ac:dyDescent="0.25">
      <c r="B49" s="2">
        <v>37</v>
      </c>
      <c r="C49" s="38">
        <f t="shared" si="23"/>
        <v>1.3453441820976546</v>
      </c>
      <c r="D49" s="38">
        <f t="shared" si="24"/>
        <v>-4.7602380713765635</v>
      </c>
      <c r="E49" s="38">
        <f t="shared" si="25"/>
        <v>2.573152595396933</v>
      </c>
      <c r="F49" s="38">
        <f t="shared" si="26"/>
        <v>1.3453430285454397</v>
      </c>
      <c r="G49" s="38">
        <f t="shared" si="27"/>
        <v>-4.760240535197509</v>
      </c>
      <c r="H49" s="38">
        <f t="shared" si="28"/>
        <v>2.573155279882954</v>
      </c>
      <c r="I49" s="38">
        <f t="shared" si="29"/>
        <v>2.6844860210317734E-6</v>
      </c>
      <c r="J49" s="2" t="str">
        <f t="shared" si="9"/>
        <v>решение</v>
      </c>
    </row>
    <row r="50" spans="2:10" x14ac:dyDescent="0.25">
      <c r="B50" s="2">
        <v>38</v>
      </c>
      <c r="C50" s="38">
        <f t="shared" si="23"/>
        <v>1.3453430285454397</v>
      </c>
      <c r="D50" s="38">
        <f t="shared" si="24"/>
        <v>-4.760240535197509</v>
      </c>
      <c r="E50" s="38">
        <f t="shared" si="25"/>
        <v>2.573155279882954</v>
      </c>
      <c r="F50" s="38">
        <f t="shared" si="26"/>
        <v>1.3453422178903525</v>
      </c>
      <c r="G50" s="38">
        <f t="shared" si="27"/>
        <v>-4.7602422666267747</v>
      </c>
      <c r="H50" s="38">
        <f t="shared" si="28"/>
        <v>2.5731571665926873</v>
      </c>
      <c r="I50" s="38">
        <f t="shared" si="29"/>
        <v>1.8867097333341576E-6</v>
      </c>
      <c r="J50" s="2" t="str">
        <f t="shared" si="9"/>
        <v>решение</v>
      </c>
    </row>
    <row r="51" spans="2:10" x14ac:dyDescent="0.25">
      <c r="B51" s="2">
        <v>39</v>
      </c>
      <c r="C51" s="38">
        <f t="shared" si="23"/>
        <v>1.3453422178903525</v>
      </c>
      <c r="D51" s="38">
        <f t="shared" si="24"/>
        <v>-4.7602422666267747</v>
      </c>
      <c r="E51" s="38">
        <f t="shared" si="25"/>
        <v>2.5731571665926873</v>
      </c>
      <c r="F51" s="38">
        <f t="shared" si="26"/>
        <v>1.3453416481673766</v>
      </c>
      <c r="G51" s="38">
        <f t="shared" si="27"/>
        <v>-4.7602434834701413</v>
      </c>
      <c r="H51" s="38">
        <f t="shared" si="28"/>
        <v>2.5731584924619448</v>
      </c>
      <c r="I51" s="38">
        <f t="shared" si="29"/>
        <v>1.325869257495782E-6</v>
      </c>
      <c r="J51" s="2" t="str">
        <f t="shared" si="9"/>
        <v>решение</v>
      </c>
    </row>
  </sheetData>
  <mergeCells count="11">
    <mergeCell ref="O5:O7"/>
    <mergeCell ref="Q3:S3"/>
    <mergeCell ref="O2:T2"/>
    <mergeCell ref="P10:R10"/>
    <mergeCell ref="M45:N45"/>
    <mergeCell ref="C3:E3"/>
    <mergeCell ref="A5:A7"/>
    <mergeCell ref="J3:L3"/>
    <mergeCell ref="H5:H7"/>
    <mergeCell ref="A2:F2"/>
    <mergeCell ref="H2:M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D2975-D7C5-43D6-B5E2-396556DD86CA}">
  <dimension ref="A2:W51"/>
  <sheetViews>
    <sheetView tabSelected="1" topLeftCell="A10" workbookViewId="0">
      <selection activeCell="L41" sqref="L41"/>
    </sheetView>
  </sheetViews>
  <sheetFormatPr defaultRowHeight="15" x14ac:dyDescent="0.25"/>
  <cols>
    <col min="1" max="1" width="9.140625" style="2"/>
    <col min="2" max="2" width="9.5703125" style="2" bestFit="1" customWidth="1"/>
    <col min="3" max="3" width="12" style="2" bestFit="1" customWidth="1"/>
    <col min="4" max="5" width="12.7109375" style="2" bestFit="1" customWidth="1"/>
    <col min="6" max="6" width="12" style="2" bestFit="1" customWidth="1"/>
    <col min="7" max="9" width="12.7109375" style="2" bestFit="1" customWidth="1"/>
    <col min="10" max="13" width="9.140625" style="2"/>
    <col min="14" max="14" width="14.85546875" style="2" bestFit="1" customWidth="1"/>
    <col min="15" max="21" width="9.140625" style="2"/>
    <col min="22" max="22" width="38.7109375" style="2" bestFit="1" customWidth="1"/>
    <col min="23" max="16384" width="9.140625" style="2"/>
  </cols>
  <sheetData>
    <row r="2" spans="1:23" x14ac:dyDescent="0.25">
      <c r="A2" s="17" t="s">
        <v>1</v>
      </c>
      <c r="B2" s="17"/>
      <c r="C2" s="17"/>
      <c r="D2" s="17"/>
      <c r="E2" s="17"/>
      <c r="F2" s="17"/>
      <c r="H2" s="17" t="s">
        <v>5</v>
      </c>
      <c r="I2" s="17"/>
      <c r="J2" s="17"/>
      <c r="K2" s="17"/>
      <c r="L2" s="17"/>
      <c r="M2" s="17"/>
      <c r="O2" s="17" t="s">
        <v>6</v>
      </c>
      <c r="P2" s="17"/>
      <c r="Q2" s="17"/>
      <c r="R2" s="17"/>
      <c r="S2" s="17"/>
      <c r="T2" s="17"/>
      <c r="V2" s="18" t="s">
        <v>9</v>
      </c>
    </row>
    <row r="3" spans="1:23" x14ac:dyDescent="0.25">
      <c r="C3" s="4" t="s">
        <v>2</v>
      </c>
      <c r="D3" s="4"/>
      <c r="E3" s="4"/>
      <c r="J3" s="4" t="s">
        <v>2</v>
      </c>
      <c r="K3" s="4"/>
      <c r="L3" s="4"/>
      <c r="Q3" s="4" t="s">
        <v>2</v>
      </c>
      <c r="R3" s="4"/>
      <c r="S3" s="4"/>
      <c r="V3" s="30" t="s">
        <v>10</v>
      </c>
      <c r="W3" s="2">
        <f>MAX(ABS(R5)+ABS(S5),ABS(Q6)+ABS(S6),ABS(Q7)+ABS(R7))</f>
        <v>0.9111111111111112</v>
      </c>
    </row>
    <row r="4" spans="1:23" ht="20.25" thickBot="1" x14ac:dyDescent="0.3">
      <c r="B4" s="1" t="s">
        <v>0</v>
      </c>
      <c r="C4" s="2">
        <v>1</v>
      </c>
      <c r="D4" s="2">
        <v>2</v>
      </c>
      <c r="E4" s="2">
        <v>3</v>
      </c>
      <c r="F4" s="3" t="s">
        <v>4</v>
      </c>
      <c r="I4" s="1" t="s">
        <v>0</v>
      </c>
      <c r="J4" s="2">
        <v>1</v>
      </c>
      <c r="K4" s="2">
        <v>2</v>
      </c>
      <c r="L4" s="2">
        <v>3</v>
      </c>
      <c r="M4" s="3" t="s">
        <v>4</v>
      </c>
      <c r="P4" s="1" t="s">
        <v>7</v>
      </c>
      <c r="Q4" s="2">
        <v>1</v>
      </c>
      <c r="R4" s="2">
        <v>2</v>
      </c>
      <c r="S4" s="2">
        <v>3</v>
      </c>
      <c r="T4" s="3" t="s">
        <v>8</v>
      </c>
    </row>
    <row r="5" spans="1:23" x14ac:dyDescent="0.25">
      <c r="A5" s="4" t="s">
        <v>3</v>
      </c>
      <c r="B5" s="2">
        <v>1</v>
      </c>
      <c r="C5" s="5">
        <v>0.21</v>
      </c>
      <c r="D5" s="6">
        <v>-0.45</v>
      </c>
      <c r="E5" s="7">
        <v>-0.2</v>
      </c>
      <c r="F5" s="8">
        <v>1.91</v>
      </c>
      <c r="H5" s="4" t="s">
        <v>3</v>
      </c>
      <c r="I5" s="2">
        <v>1</v>
      </c>
      <c r="J5" s="5">
        <f>C7+C6</f>
        <v>0.89999999999999991</v>
      </c>
      <c r="K5" s="5">
        <f t="shared" ref="K5:M5" si="0">D7+D6</f>
        <v>-9.9999999999999978E-2</v>
      </c>
      <c r="L5" s="5">
        <f t="shared" si="0"/>
        <v>0.18</v>
      </c>
      <c r="M5" s="5">
        <f t="shared" si="0"/>
        <v>2.15</v>
      </c>
      <c r="O5" s="4" t="s">
        <v>3</v>
      </c>
      <c r="P5" s="2">
        <v>1</v>
      </c>
      <c r="Q5" s="22">
        <v>0</v>
      </c>
      <c r="R5" s="23">
        <f>1/$J$5*(-K5)</f>
        <v>0.11111111111111109</v>
      </c>
      <c r="S5" s="23">
        <f t="shared" ref="S5" si="1">1/$J$5*(-L5)</f>
        <v>-0.2</v>
      </c>
      <c r="T5" s="23">
        <f>1/$J$5*M5</f>
        <v>2.3888888888888888</v>
      </c>
      <c r="V5" s="30" t="s">
        <v>11</v>
      </c>
      <c r="W5" s="31">
        <v>1E-4</v>
      </c>
    </row>
    <row r="6" spans="1:23" x14ac:dyDescent="0.25">
      <c r="A6" s="4"/>
      <c r="B6" s="2">
        <v>2</v>
      </c>
      <c r="C6" s="9">
        <v>0.3</v>
      </c>
      <c r="D6" s="10">
        <v>0.25</v>
      </c>
      <c r="E6" s="11">
        <v>0.43</v>
      </c>
      <c r="F6" s="12">
        <v>0.32</v>
      </c>
      <c r="H6" s="4"/>
      <c r="I6" s="2">
        <v>2</v>
      </c>
      <c r="J6" s="9">
        <f>C5</f>
        <v>0.21</v>
      </c>
      <c r="K6" s="9">
        <f t="shared" ref="K6:M6" si="2">D5</f>
        <v>-0.45</v>
      </c>
      <c r="L6" s="9">
        <f t="shared" si="2"/>
        <v>-0.2</v>
      </c>
      <c r="M6" s="9">
        <f t="shared" si="2"/>
        <v>1.91</v>
      </c>
      <c r="O6" s="4"/>
      <c r="P6" s="2">
        <v>2</v>
      </c>
      <c r="Q6" s="24">
        <f>1/$K$6*(-J6)</f>
        <v>0.46666666666666667</v>
      </c>
      <c r="R6" s="25">
        <v>0</v>
      </c>
      <c r="S6" s="26">
        <f>1/$K$6*(-L6)</f>
        <v>-0.44444444444444448</v>
      </c>
      <c r="T6" s="26">
        <f>1/$K$6*M6</f>
        <v>-4.2444444444444445</v>
      </c>
    </row>
    <row r="7" spans="1:23" ht="15.75" thickBot="1" x14ac:dyDescent="0.3">
      <c r="A7" s="4"/>
      <c r="B7" s="2">
        <v>3</v>
      </c>
      <c r="C7" s="13">
        <v>0.6</v>
      </c>
      <c r="D7" s="14">
        <v>-0.35</v>
      </c>
      <c r="E7" s="15">
        <v>-0.25</v>
      </c>
      <c r="F7" s="16">
        <v>1.83</v>
      </c>
      <c r="H7" s="4"/>
      <c r="I7" s="2">
        <v>3</v>
      </c>
      <c r="J7" s="13">
        <f>C7-2*C6</f>
        <v>0</v>
      </c>
      <c r="K7" s="13">
        <f t="shared" ref="K7:M7" si="3">D7-2*D6</f>
        <v>-0.85</v>
      </c>
      <c r="L7" s="13">
        <f t="shared" si="3"/>
        <v>-1.1099999999999999</v>
      </c>
      <c r="M7" s="13">
        <f t="shared" si="3"/>
        <v>1.19</v>
      </c>
      <c r="O7" s="4"/>
      <c r="P7" s="2">
        <v>3</v>
      </c>
      <c r="Q7" s="27">
        <f>1/$L$7*(-J7)</f>
        <v>0</v>
      </c>
      <c r="R7" s="27">
        <f>1/$L$7*(-K7)</f>
        <v>-0.76576576576576583</v>
      </c>
      <c r="S7" s="28">
        <v>0</v>
      </c>
      <c r="T7" s="29">
        <f>1/$L$7*M7</f>
        <v>-1.0720720720720722</v>
      </c>
    </row>
    <row r="9" spans="1:23" ht="15.75" thickBot="1" x14ac:dyDescent="0.3"/>
    <row r="10" spans="1:23" x14ac:dyDescent="0.25">
      <c r="P10" s="32" t="s">
        <v>13</v>
      </c>
      <c r="Q10" s="33"/>
      <c r="R10" s="34"/>
    </row>
    <row r="11" spans="1:23" ht="15.75" thickBot="1" x14ac:dyDescent="0.3">
      <c r="P11" s="19">
        <v>1</v>
      </c>
      <c r="Q11" s="20">
        <v>2</v>
      </c>
      <c r="R11" s="21">
        <v>3</v>
      </c>
    </row>
    <row r="12" spans="1:23" ht="15.75" thickBot="1" x14ac:dyDescent="0.3">
      <c r="B12" s="2" t="s">
        <v>12</v>
      </c>
      <c r="C12" s="18" t="s">
        <v>14</v>
      </c>
      <c r="D12" s="18" t="s">
        <v>15</v>
      </c>
      <c r="E12" s="18" t="s">
        <v>16</v>
      </c>
      <c r="F12" s="18" t="s">
        <v>17</v>
      </c>
      <c r="G12" s="18" t="s">
        <v>18</v>
      </c>
      <c r="H12" s="18" t="s">
        <v>19</v>
      </c>
      <c r="I12" s="18" t="s">
        <v>20</v>
      </c>
      <c r="P12" s="35">
        <v>0</v>
      </c>
      <c r="Q12" s="36">
        <v>0</v>
      </c>
      <c r="R12" s="37">
        <v>0</v>
      </c>
    </row>
    <row r="13" spans="1:23" x14ac:dyDescent="0.25">
      <c r="B13" s="2">
        <v>1</v>
      </c>
      <c r="C13" s="38">
        <f>P12</f>
        <v>0</v>
      </c>
      <c r="D13" s="38">
        <f t="shared" ref="D13:E13" si="4">Q12</f>
        <v>0</v>
      </c>
      <c r="E13" s="38">
        <f t="shared" si="4"/>
        <v>0</v>
      </c>
      <c r="F13" s="38">
        <f>C13*$Q$5+D13*$R$5+E13*$S$5+$T$5</f>
        <v>2.3888888888888888</v>
      </c>
      <c r="G13" s="38">
        <f>F13*$Q$6+D13*$R$6+E13*$S$6+$T$6</f>
        <v>-3.1296296296296298</v>
      </c>
      <c r="H13" s="38">
        <f>F13*$Q$7+G13*$R$7+E13*$S$7+$T$7</f>
        <v>1.3244911578244913</v>
      </c>
      <c r="I13" s="38">
        <f>MAX(ABS(F13-C13),ABS(G13-D13),ABS(H13-E13))</f>
        <v>3.1296296296296298</v>
      </c>
      <c r="J13" s="2" t="str">
        <f>IF(I13&lt;=($W$5*(1-$W$3)/$W$3),"решение","")</f>
        <v/>
      </c>
    </row>
    <row r="14" spans="1:23" x14ac:dyDescent="0.25">
      <c r="B14" s="2">
        <v>2</v>
      </c>
      <c r="C14" s="38">
        <f>F13</f>
        <v>2.3888888888888888</v>
      </c>
      <c r="D14" s="38">
        <f>G13</f>
        <v>-3.1296296296296298</v>
      </c>
      <c r="E14" s="38">
        <f>H13</f>
        <v>1.3244911578244913</v>
      </c>
      <c r="F14" s="38">
        <f t="shared" ref="F14:F51" si="5">C14*$Q$5+D14*$R$5+E14*$S$5+$T$5</f>
        <v>1.7762540318095872</v>
      </c>
      <c r="G14" s="38">
        <f t="shared" ref="G14:G51" si="6">F14*$Q$6+D14*$R$6+E14*$S$6+$T$6</f>
        <v>-4.004188633077522</v>
      </c>
      <c r="H14" s="38">
        <f t="shared" ref="H14:H51" si="7">F14*$Q$7+G14*$R$7+E14*$S$7+$T$7</f>
        <v>1.9941985028071114</v>
      </c>
      <c r="I14" s="38">
        <f t="shared" ref="I14:I51" si="8">MAX(ABS(F14-C14),ABS(G14-D14),ABS(H14-E14))</f>
        <v>0.87455900344789228</v>
      </c>
      <c r="J14" s="2" t="str">
        <f t="shared" ref="J14:J51" si="9">IF(I14&lt;=($W$5*(1-$W$3)/$W$3),"решение","")</f>
        <v/>
      </c>
    </row>
    <row r="15" spans="1:23" x14ac:dyDescent="0.25">
      <c r="B15" s="2">
        <v>3</v>
      </c>
      <c r="C15" s="38">
        <f t="shared" ref="C15:E30" si="10">F14</f>
        <v>1.7762540318095872</v>
      </c>
      <c r="D15" s="38">
        <f t="shared" si="10"/>
        <v>-4.004188633077522</v>
      </c>
      <c r="E15" s="38">
        <f t="shared" si="10"/>
        <v>1.9941985028071114</v>
      </c>
      <c r="F15" s="38">
        <f t="shared" si="5"/>
        <v>1.5451393402077418</v>
      </c>
      <c r="G15" s="38">
        <f t="shared" si="6"/>
        <v>-4.4096898647062144</v>
      </c>
      <c r="H15" s="38">
        <f t="shared" si="7"/>
        <v>2.3047174639642183</v>
      </c>
      <c r="I15" s="38">
        <f t="shared" si="8"/>
        <v>0.40550123162869234</v>
      </c>
      <c r="J15" s="2" t="str">
        <f t="shared" si="9"/>
        <v/>
      </c>
    </row>
    <row r="16" spans="1:23" x14ac:dyDescent="0.25">
      <c r="B16" s="2">
        <v>4</v>
      </c>
      <c r="C16" s="38">
        <f t="shared" si="10"/>
        <v>1.5451393402077418</v>
      </c>
      <c r="D16" s="38">
        <f t="shared" si="10"/>
        <v>-4.4096898647062144</v>
      </c>
      <c r="E16" s="38">
        <f t="shared" si="10"/>
        <v>2.3047174639642183</v>
      </c>
      <c r="F16" s="38">
        <f t="shared" si="5"/>
        <v>1.4379798555731325</v>
      </c>
      <c r="G16" s="38">
        <f t="shared" si="6"/>
        <v>-4.5977060513833017</v>
      </c>
      <c r="H16" s="38">
        <f t="shared" si="7"/>
        <v>2.4486938231313573</v>
      </c>
      <c r="I16" s="38">
        <f t="shared" si="8"/>
        <v>0.1880161866770873</v>
      </c>
      <c r="J16" s="2" t="str">
        <f t="shared" si="9"/>
        <v/>
      </c>
    </row>
    <row r="17" spans="2:14" x14ac:dyDescent="0.25">
      <c r="B17" s="2">
        <v>5</v>
      </c>
      <c r="C17" s="38">
        <f t="shared" si="10"/>
        <v>1.4379798555731325</v>
      </c>
      <c r="D17" s="38">
        <f t="shared" si="10"/>
        <v>-4.5977060513833017</v>
      </c>
      <c r="E17" s="38">
        <f t="shared" si="10"/>
        <v>2.4486938231313573</v>
      </c>
      <c r="F17" s="38">
        <f t="shared" si="5"/>
        <v>1.3882938963311395</v>
      </c>
      <c r="G17" s="38">
        <f t="shared" si="6"/>
        <v>-4.6848823253260719</v>
      </c>
      <c r="H17" s="38">
        <f t="shared" si="7"/>
        <v>2.515450429303749</v>
      </c>
      <c r="I17" s="38">
        <f t="shared" si="8"/>
        <v>8.7176273942770166E-2</v>
      </c>
      <c r="J17" s="2" t="str">
        <f t="shared" si="9"/>
        <v/>
      </c>
    </row>
    <row r="18" spans="2:14" x14ac:dyDescent="0.25">
      <c r="B18" s="2">
        <v>6</v>
      </c>
      <c r="C18" s="38">
        <f t="shared" si="10"/>
        <v>1.3882938963311395</v>
      </c>
      <c r="D18" s="38">
        <f t="shared" si="10"/>
        <v>-4.6848823253260719</v>
      </c>
      <c r="E18" s="38">
        <f t="shared" si="10"/>
        <v>2.515450429303749</v>
      </c>
      <c r="F18" s="38">
        <f t="shared" si="5"/>
        <v>1.3652563224363534</v>
      </c>
      <c r="G18" s="38">
        <f t="shared" si="6"/>
        <v>-4.7253027958869236</v>
      </c>
      <c r="H18" s="38">
        <f t="shared" si="7"/>
        <v>2.5464030418953922</v>
      </c>
      <c r="I18" s="38">
        <f t="shared" si="8"/>
        <v>4.042047056085174E-2</v>
      </c>
      <c r="J18" s="2" t="str">
        <f t="shared" si="9"/>
        <v/>
      </c>
    </row>
    <row r="19" spans="2:14" x14ac:dyDescent="0.25">
      <c r="B19" s="2">
        <v>7</v>
      </c>
      <c r="C19" s="38">
        <f t="shared" si="10"/>
        <v>1.3652563224363534</v>
      </c>
      <c r="D19" s="38">
        <f t="shared" si="10"/>
        <v>-4.7253027958869236</v>
      </c>
      <c r="E19" s="38">
        <f t="shared" si="10"/>
        <v>2.5464030418953922</v>
      </c>
      <c r="F19" s="38">
        <f t="shared" si="5"/>
        <v>1.3545746365223743</v>
      </c>
      <c r="G19" s="38">
        <f t="shared" si="6"/>
        <v>-4.7440442993541776</v>
      </c>
      <c r="H19" s="38">
        <f t="shared" si="7"/>
        <v>2.5607546436495956</v>
      </c>
      <c r="I19" s="38">
        <f t="shared" si="8"/>
        <v>1.8741503467254006E-2</v>
      </c>
      <c r="J19" s="2" t="str">
        <f t="shared" si="9"/>
        <v/>
      </c>
    </row>
    <row r="20" spans="2:14" x14ac:dyDescent="0.25">
      <c r="B20" s="2">
        <v>8</v>
      </c>
      <c r="C20" s="38">
        <f t="shared" si="10"/>
        <v>1.3545746365223743</v>
      </c>
      <c r="D20" s="38">
        <f t="shared" si="10"/>
        <v>-4.7440442993541776</v>
      </c>
      <c r="E20" s="38">
        <f t="shared" si="10"/>
        <v>2.5607546436495956</v>
      </c>
      <c r="F20" s="38">
        <f t="shared" si="5"/>
        <v>1.3496219268973944</v>
      </c>
      <c r="G20" s="38">
        <f t="shared" si="6"/>
        <v>-4.7527340535143701</v>
      </c>
      <c r="H20" s="38">
        <f t="shared" si="7"/>
        <v>2.5674089598983918</v>
      </c>
      <c r="I20" s="38">
        <f t="shared" si="8"/>
        <v>8.6897541601924644E-3</v>
      </c>
      <c r="J20" s="2" t="str">
        <f t="shared" si="9"/>
        <v/>
      </c>
    </row>
    <row r="21" spans="2:14" x14ac:dyDescent="0.25">
      <c r="B21" s="2">
        <v>9</v>
      </c>
      <c r="C21" s="38">
        <f t="shared" si="10"/>
        <v>1.3496219268973944</v>
      </c>
      <c r="D21" s="38">
        <f t="shared" si="10"/>
        <v>-4.7527340535143701</v>
      </c>
      <c r="E21" s="38">
        <f t="shared" si="10"/>
        <v>2.5674089598983918</v>
      </c>
      <c r="F21" s="38">
        <f t="shared" si="5"/>
        <v>1.3473255354076139</v>
      </c>
      <c r="G21" s="38">
        <f t="shared" si="6"/>
        <v>-4.756763176764621</v>
      </c>
      <c r="H21" s="38">
        <f t="shared" si="7"/>
        <v>2.5704943245494847</v>
      </c>
      <c r="I21" s="38">
        <f t="shared" si="8"/>
        <v>4.0291232502509544E-3</v>
      </c>
      <c r="J21" s="2" t="str">
        <f t="shared" si="9"/>
        <v/>
      </c>
    </row>
    <row r="22" spans="2:14" x14ac:dyDescent="0.25">
      <c r="B22" s="2">
        <v>10</v>
      </c>
      <c r="C22" s="38">
        <f t="shared" si="10"/>
        <v>1.3473255354076139</v>
      </c>
      <c r="D22" s="38">
        <f t="shared" si="10"/>
        <v>-4.756763176764621</v>
      </c>
      <c r="E22" s="38">
        <f t="shared" si="10"/>
        <v>2.5704943245494847</v>
      </c>
      <c r="F22" s="38">
        <f t="shared" si="5"/>
        <v>1.3462607821162562</v>
      </c>
      <c r="G22" s="38">
        <f t="shared" si="6"/>
        <v>-4.7586313348121845</v>
      </c>
      <c r="H22" s="38">
        <f t="shared" si="7"/>
        <v>2.5719248960273484</v>
      </c>
      <c r="I22" s="38">
        <f t="shared" si="8"/>
        <v>1.8681580475634618E-3</v>
      </c>
      <c r="J22" s="2" t="str">
        <f t="shared" si="9"/>
        <v/>
      </c>
    </row>
    <row r="23" spans="2:14" x14ac:dyDescent="0.25">
      <c r="B23" s="2">
        <v>11</v>
      </c>
      <c r="C23" s="38">
        <f t="shared" si="10"/>
        <v>1.3462607821162562</v>
      </c>
      <c r="D23" s="38">
        <f t="shared" si="10"/>
        <v>-4.7586313348121845</v>
      </c>
      <c r="E23" s="38">
        <f t="shared" si="10"/>
        <v>2.5719248960273484</v>
      </c>
      <c r="F23" s="38">
        <f t="shared" si="5"/>
        <v>1.3457670947042877</v>
      </c>
      <c r="G23" s="38">
        <f t="shared" si="6"/>
        <v>-4.7594975318168204</v>
      </c>
      <c r="H23" s="38">
        <f t="shared" si="7"/>
        <v>2.5725882000399078</v>
      </c>
      <c r="I23" s="38">
        <f t="shared" si="8"/>
        <v>8.6619700463597127E-4</v>
      </c>
      <c r="J23" s="2" t="str">
        <f t="shared" si="9"/>
        <v/>
      </c>
    </row>
    <row r="24" spans="2:14" x14ac:dyDescent="0.25">
      <c r="B24" s="2">
        <v>12</v>
      </c>
      <c r="C24" s="38">
        <f t="shared" si="10"/>
        <v>1.3457670947042877</v>
      </c>
      <c r="D24" s="38">
        <f t="shared" si="10"/>
        <v>-4.7594975318168204</v>
      </c>
      <c r="E24" s="38">
        <f t="shared" si="10"/>
        <v>2.5725882000399078</v>
      </c>
      <c r="F24" s="38">
        <f t="shared" si="5"/>
        <v>1.3455381897901495</v>
      </c>
      <c r="G24" s="38">
        <f t="shared" si="6"/>
        <v>-4.7598991558934447</v>
      </c>
      <c r="H24" s="38">
        <f t="shared" si="7"/>
        <v>2.5728957500084939</v>
      </c>
      <c r="I24" s="38">
        <f t="shared" si="8"/>
        <v>4.0162407662425181E-4</v>
      </c>
      <c r="J24" s="2" t="str">
        <f t="shared" si="9"/>
        <v/>
      </c>
    </row>
    <row r="25" spans="2:14" x14ac:dyDescent="0.25">
      <c r="B25" s="2">
        <v>13</v>
      </c>
      <c r="C25" s="38">
        <f t="shared" si="10"/>
        <v>1.3455381897901495</v>
      </c>
      <c r="D25" s="38">
        <f t="shared" si="10"/>
        <v>-4.7598991558934447</v>
      </c>
      <c r="E25" s="38">
        <f t="shared" si="10"/>
        <v>2.5728957500084939</v>
      </c>
      <c r="F25" s="38">
        <f t="shared" si="5"/>
        <v>1.3454320548990295</v>
      </c>
      <c r="G25" s="38">
        <f t="shared" si="6"/>
        <v>-4.7600853743842277</v>
      </c>
      <c r="H25" s="38">
        <f t="shared" si="7"/>
        <v>2.5730383497536882</v>
      </c>
      <c r="I25" s="38">
        <f t="shared" si="8"/>
        <v>1.8621849078304109E-4</v>
      </c>
      <c r="J25" s="2" t="str">
        <f t="shared" si="9"/>
        <v/>
      </c>
    </row>
    <row r="26" spans="2:14" x14ac:dyDescent="0.25">
      <c r="B26" s="2">
        <v>14</v>
      </c>
      <c r="C26" s="38">
        <f t="shared" si="10"/>
        <v>1.3454320548990295</v>
      </c>
      <c r="D26" s="38">
        <f t="shared" si="10"/>
        <v>-4.7600853743842277</v>
      </c>
      <c r="E26" s="38">
        <f t="shared" si="10"/>
        <v>2.5730383497536882</v>
      </c>
      <c r="F26" s="38">
        <f t="shared" si="5"/>
        <v>1.3453828440065703</v>
      </c>
      <c r="G26" s="38">
        <f t="shared" si="6"/>
        <v>-4.7601717171319065</v>
      </c>
      <c r="H26" s="38">
        <f t="shared" si="7"/>
        <v>2.5731044680739825</v>
      </c>
      <c r="I26" s="38">
        <f t="shared" si="8"/>
        <v>8.6342747678713749E-5</v>
      </c>
      <c r="J26" s="2" t="str">
        <f t="shared" si="9"/>
        <v/>
      </c>
    </row>
    <row r="27" spans="2:14" x14ac:dyDescent="0.25">
      <c r="B27" s="2">
        <v>15</v>
      </c>
      <c r="C27" s="38">
        <f t="shared" si="10"/>
        <v>1.3453828440065703</v>
      </c>
      <c r="D27" s="38">
        <f t="shared" si="10"/>
        <v>-4.7601717171319065</v>
      </c>
      <c r="E27" s="38">
        <f t="shared" si="10"/>
        <v>2.5731044680739825</v>
      </c>
      <c r="F27" s="38">
        <f t="shared" si="5"/>
        <v>1.3453600267038806</v>
      </c>
      <c r="G27" s="38">
        <f t="shared" si="6"/>
        <v>-4.7602117511266258</v>
      </c>
      <c r="H27" s="38">
        <f t="shared" si="7"/>
        <v>2.5731351247366057</v>
      </c>
      <c r="I27" s="38">
        <f t="shared" si="8"/>
        <v>4.0033994719301802E-5</v>
      </c>
      <c r="J27" s="2" t="str">
        <f t="shared" si="9"/>
        <v/>
      </c>
    </row>
    <row r="28" spans="2:14" x14ac:dyDescent="0.25">
      <c r="B28" s="2">
        <v>16</v>
      </c>
      <c r="C28" s="38">
        <f t="shared" si="10"/>
        <v>1.3453600267038806</v>
      </c>
      <c r="D28" s="38">
        <f t="shared" si="10"/>
        <v>-4.7602117511266258</v>
      </c>
      <c r="E28" s="38">
        <f t="shared" si="10"/>
        <v>2.5731351247366057</v>
      </c>
      <c r="F28" s="38">
        <f t="shared" si="5"/>
        <v>1.3453494471497205</v>
      </c>
      <c r="G28" s="38">
        <f t="shared" si="6"/>
        <v>-4.7602303134352884</v>
      </c>
      <c r="H28" s="38">
        <f t="shared" si="7"/>
        <v>2.573149339117113</v>
      </c>
      <c r="I28" s="38">
        <f t="shared" si="8"/>
        <v>1.8562308662595228E-5</v>
      </c>
      <c r="J28" s="2" t="str">
        <f t="shared" si="9"/>
        <v/>
      </c>
      <c r="M28" s="4" t="s">
        <v>21</v>
      </c>
      <c r="N28" s="4"/>
    </row>
    <row r="29" spans="2:14" x14ac:dyDescent="0.25">
      <c r="B29" s="2">
        <v>17</v>
      </c>
      <c r="C29" s="39">
        <f t="shared" si="10"/>
        <v>1.3453494471497205</v>
      </c>
      <c r="D29" s="39">
        <f t="shared" si="10"/>
        <v>-4.7602303134352884</v>
      </c>
      <c r="E29" s="39">
        <f t="shared" si="10"/>
        <v>2.573149339117113</v>
      </c>
      <c r="F29" s="38">
        <f t="shared" si="5"/>
        <v>1.3453445417948786</v>
      </c>
      <c r="G29" s="38">
        <f t="shared" si="6"/>
        <v>-4.7602389201033297</v>
      </c>
      <c r="H29" s="38">
        <f t="shared" si="7"/>
        <v>2.5731559298088564</v>
      </c>
      <c r="I29" s="38">
        <f t="shared" si="8"/>
        <v>8.6066680413665608E-6</v>
      </c>
      <c r="J29" s="2" t="str">
        <f t="shared" si="9"/>
        <v>решение</v>
      </c>
      <c r="M29" s="2">
        <v>1</v>
      </c>
      <c r="N29" s="18">
        <f>C5*$C$29+D5*$D$29+E5*$E$29-F5</f>
        <v>-2.842876101416536E-6</v>
      </c>
    </row>
    <row r="30" spans="2:14" x14ac:dyDescent="0.25">
      <c r="B30" s="2">
        <v>18</v>
      </c>
      <c r="C30" s="38">
        <f t="shared" si="10"/>
        <v>1.3453445417948786</v>
      </c>
      <c r="D30" s="38">
        <f t="shared" si="10"/>
        <v>-4.7602389201033297</v>
      </c>
      <c r="E30" s="38">
        <f t="shared" si="10"/>
        <v>2.5731559298088564</v>
      </c>
      <c r="F30" s="38">
        <f t="shared" si="5"/>
        <v>1.345342267360081</v>
      </c>
      <c r="G30" s="38">
        <f t="shared" si="6"/>
        <v>-4.7602429107025657</v>
      </c>
      <c r="H30" s="38">
        <f t="shared" si="7"/>
        <v>2.5731589856731358</v>
      </c>
      <c r="I30" s="38">
        <f t="shared" si="8"/>
        <v>3.9905992359479114E-6</v>
      </c>
      <c r="J30" s="2" t="str">
        <f t="shared" si="9"/>
        <v>решение</v>
      </c>
      <c r="M30" s="2">
        <v>2</v>
      </c>
      <c r="N30" s="18">
        <f t="shared" ref="N30:N31" si="11">C6*$C$29+D6*$D$29+E6*$E$29-F6</f>
        <v>1.4716064525299721E-6</v>
      </c>
    </row>
    <row r="31" spans="2:14" x14ac:dyDescent="0.25">
      <c r="B31" s="2">
        <v>19</v>
      </c>
      <c r="C31" s="38">
        <f t="shared" ref="C31:E47" si="12">F30</f>
        <v>1.345342267360081</v>
      </c>
      <c r="D31" s="38">
        <f t="shared" si="12"/>
        <v>-4.7602429107025657</v>
      </c>
      <c r="E31" s="38">
        <f t="shared" si="12"/>
        <v>2.5731589856731358</v>
      </c>
      <c r="F31" s="38">
        <f t="shared" si="5"/>
        <v>1.3453412127873099</v>
      </c>
      <c r="G31" s="38">
        <f t="shared" si="6"/>
        <v>-4.7602447609984271</v>
      </c>
      <c r="H31" s="38">
        <f t="shared" si="7"/>
        <v>2.573160402566363</v>
      </c>
      <c r="I31" s="38">
        <f t="shared" si="8"/>
        <v>1.8502958614163845E-6</v>
      </c>
      <c r="J31" s="2" t="str">
        <f t="shared" si="9"/>
        <v>решение</v>
      </c>
      <c r="M31" s="2">
        <v>3</v>
      </c>
      <c r="N31" s="18">
        <f t="shared" si="11"/>
        <v>2.9432129047268774E-6</v>
      </c>
    </row>
    <row r="32" spans="2:14" x14ac:dyDescent="0.25">
      <c r="B32" s="2">
        <v>20</v>
      </c>
      <c r="C32" s="38">
        <f t="shared" si="12"/>
        <v>1.3453412127873099</v>
      </c>
      <c r="D32" s="38">
        <f t="shared" si="12"/>
        <v>-4.7602447609984271</v>
      </c>
      <c r="E32" s="38">
        <f t="shared" si="12"/>
        <v>2.573160402566363</v>
      </c>
      <c r="F32" s="38">
        <f t="shared" si="5"/>
        <v>1.3453407238202355</v>
      </c>
      <c r="G32" s="38">
        <f t="shared" si="6"/>
        <v>-4.7602456189133848</v>
      </c>
      <c r="H32" s="38">
        <f t="shared" si="7"/>
        <v>2.5731610595282679</v>
      </c>
      <c r="I32" s="38">
        <f t="shared" si="8"/>
        <v>8.5791495774145687E-7</v>
      </c>
      <c r="J32" s="2" t="str">
        <f t="shared" si="9"/>
        <v>решение</v>
      </c>
    </row>
    <row r="33" spans="2:10" x14ac:dyDescent="0.25">
      <c r="B33" s="2">
        <v>21</v>
      </c>
      <c r="C33" s="38">
        <f t="shared" si="12"/>
        <v>1.3453407238202355</v>
      </c>
      <c r="D33" s="38">
        <f t="shared" si="12"/>
        <v>-4.7602456189133848</v>
      </c>
      <c r="E33" s="38">
        <f t="shared" si="12"/>
        <v>2.5731610595282679</v>
      </c>
      <c r="F33" s="38">
        <f t="shared" si="5"/>
        <v>1.3453404971039704</v>
      </c>
      <c r="G33" s="38">
        <f t="shared" si="6"/>
        <v>-4.7602460166973772</v>
      </c>
      <c r="H33" s="38">
        <f t="shared" si="7"/>
        <v>2.5731613641376314</v>
      </c>
      <c r="I33" s="38">
        <f t="shared" si="8"/>
        <v>3.977839924118598E-7</v>
      </c>
      <c r="J33" s="2" t="str">
        <f t="shared" si="9"/>
        <v>решение</v>
      </c>
    </row>
    <row r="34" spans="2:10" x14ac:dyDescent="0.25">
      <c r="B34" s="2">
        <v>22</v>
      </c>
      <c r="C34" s="38">
        <f t="shared" si="12"/>
        <v>1.3453404971039704</v>
      </c>
      <c r="D34" s="38">
        <f t="shared" si="12"/>
        <v>-4.7602460166973772</v>
      </c>
      <c r="E34" s="38">
        <f t="shared" si="12"/>
        <v>2.5731613641376314</v>
      </c>
      <c r="F34" s="38">
        <f t="shared" si="5"/>
        <v>1.3453403919838762</v>
      </c>
      <c r="G34" s="38">
        <f t="shared" si="6"/>
        <v>-4.7602462011353603</v>
      </c>
      <c r="H34" s="38">
        <f t="shared" si="7"/>
        <v>2.5731615053739247</v>
      </c>
      <c r="I34" s="38">
        <f t="shared" si="8"/>
        <v>1.8443798310840975E-7</v>
      </c>
      <c r="J34" s="2" t="str">
        <f t="shared" si="9"/>
        <v>решение</v>
      </c>
    </row>
    <row r="35" spans="2:10" x14ac:dyDescent="0.25">
      <c r="B35" s="2">
        <v>23</v>
      </c>
      <c r="C35" s="38">
        <f t="shared" si="12"/>
        <v>1.3453403919838762</v>
      </c>
      <c r="D35" s="38">
        <f t="shared" si="12"/>
        <v>-4.7602462011353603</v>
      </c>
      <c r="E35" s="38">
        <f t="shared" si="12"/>
        <v>2.5731615053739247</v>
      </c>
      <c r="F35" s="38">
        <f t="shared" si="5"/>
        <v>1.3453403432435085</v>
      </c>
      <c r="G35" s="38">
        <f t="shared" si="6"/>
        <v>-4.7602462866525519</v>
      </c>
      <c r="H35" s="38">
        <f t="shared" si="7"/>
        <v>2.5731615708600626</v>
      </c>
      <c r="I35" s="38">
        <f t="shared" si="8"/>
        <v>8.5517191550366078E-8</v>
      </c>
      <c r="J35" s="2" t="str">
        <f t="shared" si="9"/>
        <v>решение</v>
      </c>
    </row>
    <row r="36" spans="2:10" x14ac:dyDescent="0.25">
      <c r="B36" s="2">
        <v>24</v>
      </c>
      <c r="C36" s="38">
        <f t="shared" si="12"/>
        <v>1.3453403432435085</v>
      </c>
      <c r="D36" s="38">
        <f t="shared" si="12"/>
        <v>-4.7602462866525519</v>
      </c>
      <c r="E36" s="38">
        <f t="shared" si="12"/>
        <v>2.5731615708600626</v>
      </c>
      <c r="F36" s="38">
        <f t="shared" si="5"/>
        <v>1.3453403206443708</v>
      </c>
      <c r="G36" s="38">
        <f t="shared" si="6"/>
        <v>-4.7602463263037658</v>
      </c>
      <c r="H36" s="38">
        <f t="shared" si="7"/>
        <v>2.5731616012236045</v>
      </c>
      <c r="I36" s="38">
        <f t="shared" si="8"/>
        <v>3.9651213867841761E-8</v>
      </c>
      <c r="J36" s="2" t="str">
        <f t="shared" si="9"/>
        <v>решение</v>
      </c>
    </row>
    <row r="37" spans="2:10" x14ac:dyDescent="0.25">
      <c r="B37" s="2">
        <v>25</v>
      </c>
      <c r="C37" s="38">
        <f t="shared" si="12"/>
        <v>1.3453403206443708</v>
      </c>
      <c r="D37" s="38">
        <f t="shared" si="12"/>
        <v>-4.7602463263037658</v>
      </c>
      <c r="E37" s="38">
        <f t="shared" si="12"/>
        <v>2.5731616012236045</v>
      </c>
      <c r="F37" s="38">
        <f t="shared" si="5"/>
        <v>1.3453403101659718</v>
      </c>
      <c r="G37" s="38">
        <f t="shared" si="6"/>
        <v>-4.7602463446885928</v>
      </c>
      <c r="H37" s="38">
        <f t="shared" si="7"/>
        <v>2.5731616153020758</v>
      </c>
      <c r="I37" s="38">
        <f t="shared" si="8"/>
        <v>1.838482699412225E-8</v>
      </c>
      <c r="J37" s="2" t="str">
        <f t="shared" si="9"/>
        <v>решение</v>
      </c>
    </row>
    <row r="38" spans="2:10" x14ac:dyDescent="0.25">
      <c r="B38" s="2">
        <v>26</v>
      </c>
      <c r="C38" s="38">
        <f t="shared" si="12"/>
        <v>1.3453403101659718</v>
      </c>
      <c r="D38" s="38">
        <f t="shared" si="12"/>
        <v>-4.7602463446885928</v>
      </c>
      <c r="E38" s="38">
        <f t="shared" si="12"/>
        <v>2.5731616153020758</v>
      </c>
      <c r="F38" s="38">
        <f t="shared" si="5"/>
        <v>1.345340305307519</v>
      </c>
      <c r="G38" s="38">
        <f t="shared" si="6"/>
        <v>-4.7602463532129695</v>
      </c>
      <c r="H38" s="38">
        <f t="shared" si="7"/>
        <v>2.5731616218297515</v>
      </c>
      <c r="I38" s="38">
        <f t="shared" si="8"/>
        <v>8.5243767600218234E-9</v>
      </c>
      <c r="J38" s="2" t="str">
        <f t="shared" si="9"/>
        <v>решение</v>
      </c>
    </row>
    <row r="39" spans="2:10" x14ac:dyDescent="0.25">
      <c r="B39" s="2">
        <v>27</v>
      </c>
      <c r="C39" s="38">
        <f t="shared" si="12"/>
        <v>1.345340305307519</v>
      </c>
      <c r="D39" s="38">
        <f t="shared" si="12"/>
        <v>-4.7602463532129695</v>
      </c>
      <c r="E39" s="38">
        <f t="shared" si="12"/>
        <v>2.5731616218297515</v>
      </c>
      <c r="F39" s="38">
        <f t="shared" si="5"/>
        <v>1.3453403030548308</v>
      </c>
      <c r="G39" s="38">
        <f t="shared" si="6"/>
        <v>-4.7602463571654132</v>
      </c>
      <c r="H39" s="38">
        <f t="shared" si="7"/>
        <v>2.5731616248563975</v>
      </c>
      <c r="I39" s="38">
        <f t="shared" si="8"/>
        <v>3.9524437056570605E-9</v>
      </c>
      <c r="J39" s="2" t="str">
        <f t="shared" si="9"/>
        <v>решение</v>
      </c>
    </row>
    <row r="40" spans="2:10" x14ac:dyDescent="0.25">
      <c r="B40" s="2">
        <v>28</v>
      </c>
      <c r="C40" s="38">
        <f t="shared" si="12"/>
        <v>1.3453403030548308</v>
      </c>
      <c r="D40" s="38">
        <f t="shared" si="12"/>
        <v>-4.7602463571654132</v>
      </c>
      <c r="E40" s="38">
        <f t="shared" si="12"/>
        <v>2.5731616248563975</v>
      </c>
      <c r="F40" s="38">
        <f t="shared" si="5"/>
        <v>1.3453403020103414</v>
      </c>
      <c r="G40" s="38">
        <f t="shared" si="6"/>
        <v>-4.7602463589980175</v>
      </c>
      <c r="H40" s="38">
        <f t="shared" si="7"/>
        <v>2.5731616262597434</v>
      </c>
      <c r="I40" s="38">
        <f t="shared" si="8"/>
        <v>1.8326042905414397E-9</v>
      </c>
      <c r="J40" s="2" t="str">
        <f t="shared" si="9"/>
        <v>решение</v>
      </c>
    </row>
    <row r="41" spans="2:10" x14ac:dyDescent="0.25">
      <c r="B41" s="2">
        <v>29</v>
      </c>
      <c r="C41" s="38">
        <f t="shared" si="12"/>
        <v>1.3453403020103414</v>
      </c>
      <c r="D41" s="38">
        <f t="shared" si="12"/>
        <v>-4.7602463589980175</v>
      </c>
      <c r="E41" s="38">
        <f t="shared" si="12"/>
        <v>2.5731616262597434</v>
      </c>
      <c r="F41" s="38">
        <f t="shared" si="5"/>
        <v>1.3453403015260494</v>
      </c>
      <c r="G41" s="38">
        <f t="shared" si="6"/>
        <v>-4.7602463598477298</v>
      </c>
      <c r="H41" s="38">
        <f t="shared" si="7"/>
        <v>2.5731616269104238</v>
      </c>
      <c r="I41" s="38">
        <f t="shared" si="8"/>
        <v>8.4971230052133251E-10</v>
      </c>
      <c r="J41" s="2" t="str">
        <f t="shared" si="9"/>
        <v>решение</v>
      </c>
    </row>
    <row r="42" spans="2:10" x14ac:dyDescent="0.25">
      <c r="B42" s="2">
        <v>30</v>
      </c>
      <c r="C42" s="38">
        <f t="shared" si="12"/>
        <v>1.3453403015260494</v>
      </c>
      <c r="D42" s="38">
        <f t="shared" si="12"/>
        <v>-4.7602463598477298</v>
      </c>
      <c r="E42" s="38">
        <f t="shared" si="12"/>
        <v>2.5731616269104238</v>
      </c>
      <c r="F42" s="38">
        <f t="shared" si="5"/>
        <v>1.3453403013015008</v>
      </c>
      <c r="G42" s="38">
        <f t="shared" si="6"/>
        <v>-4.7602463602417107</v>
      </c>
      <c r="H42" s="38">
        <f t="shared" si="7"/>
        <v>2.5731616272121207</v>
      </c>
      <c r="I42" s="38">
        <f t="shared" si="8"/>
        <v>3.9398084794584065E-10</v>
      </c>
      <c r="J42" s="2" t="str">
        <f t="shared" si="9"/>
        <v>решение</v>
      </c>
    </row>
    <row r="43" spans="2:10" x14ac:dyDescent="0.25">
      <c r="B43" s="2">
        <v>31</v>
      </c>
      <c r="C43" s="38">
        <f t="shared" si="12"/>
        <v>1.3453403013015008</v>
      </c>
      <c r="D43" s="38">
        <f t="shared" si="12"/>
        <v>-4.7602463602417107</v>
      </c>
      <c r="E43" s="38">
        <f t="shared" si="12"/>
        <v>2.5731616272121207</v>
      </c>
      <c r="F43" s="38">
        <f t="shared" si="5"/>
        <v>1.3453403011973859</v>
      </c>
      <c r="G43" s="38">
        <f t="shared" si="6"/>
        <v>-4.760246360424385</v>
      </c>
      <c r="H43" s="38">
        <f t="shared" si="7"/>
        <v>2.5731616273520066</v>
      </c>
      <c r="I43" s="38">
        <f t="shared" si="8"/>
        <v>1.8267432011498386E-10</v>
      </c>
      <c r="J43" s="2" t="str">
        <f t="shared" si="9"/>
        <v>решение</v>
      </c>
    </row>
    <row r="44" spans="2:10" x14ac:dyDescent="0.25">
      <c r="B44" s="2">
        <v>32</v>
      </c>
      <c r="C44" s="38">
        <f t="shared" si="12"/>
        <v>1.3453403011973859</v>
      </c>
      <c r="D44" s="38">
        <f t="shared" si="12"/>
        <v>-4.760246360424385</v>
      </c>
      <c r="E44" s="38">
        <f t="shared" si="12"/>
        <v>2.5731616273520066</v>
      </c>
      <c r="F44" s="38">
        <f t="shared" si="5"/>
        <v>1.3453403011491114</v>
      </c>
      <c r="G44" s="38">
        <f t="shared" si="6"/>
        <v>-4.7602463605090843</v>
      </c>
      <c r="H44" s="38">
        <f t="shared" si="7"/>
        <v>2.5731616274168667</v>
      </c>
      <c r="I44" s="38">
        <f t="shared" si="8"/>
        <v>8.4699358637863043E-11</v>
      </c>
      <c r="J44" s="2" t="str">
        <f t="shared" si="9"/>
        <v>решение</v>
      </c>
    </row>
    <row r="45" spans="2:10" x14ac:dyDescent="0.25">
      <c r="B45" s="2">
        <v>33</v>
      </c>
      <c r="C45" s="38">
        <f t="shared" si="12"/>
        <v>1.3453403011491114</v>
      </c>
      <c r="D45" s="38">
        <f t="shared" si="12"/>
        <v>-4.7602463605090843</v>
      </c>
      <c r="E45" s="38">
        <f t="shared" si="12"/>
        <v>2.5731616274168667</v>
      </c>
      <c r="F45" s="38">
        <f t="shared" si="5"/>
        <v>1.3453403011267284</v>
      </c>
      <c r="G45" s="38">
        <f t="shared" si="6"/>
        <v>-4.7602463605483569</v>
      </c>
      <c r="H45" s="38">
        <f t="shared" si="7"/>
        <v>2.57316162744694</v>
      </c>
      <c r="I45" s="38">
        <f t="shared" si="8"/>
        <v>3.9272585183880437E-11</v>
      </c>
      <c r="J45" s="2" t="str">
        <f t="shared" si="9"/>
        <v>решение</v>
      </c>
    </row>
    <row r="46" spans="2:10" x14ac:dyDescent="0.25">
      <c r="B46" s="2">
        <v>34</v>
      </c>
      <c r="C46" s="38">
        <f t="shared" si="12"/>
        <v>1.3453403011267284</v>
      </c>
      <c r="D46" s="38">
        <f t="shared" si="12"/>
        <v>-4.7602463605483569</v>
      </c>
      <c r="E46" s="38">
        <f t="shared" si="12"/>
        <v>2.57316162744694</v>
      </c>
      <c r="F46" s="38">
        <f t="shared" si="5"/>
        <v>1.3453403011163503</v>
      </c>
      <c r="G46" s="38">
        <f t="shared" si="6"/>
        <v>-4.7602463605665655</v>
      </c>
      <c r="H46" s="38">
        <f t="shared" si="7"/>
        <v>2.5731616274608835</v>
      </c>
      <c r="I46" s="38">
        <f t="shared" si="8"/>
        <v>1.8208545782272267E-11</v>
      </c>
      <c r="J46" s="2" t="str">
        <f t="shared" si="9"/>
        <v>решение</v>
      </c>
    </row>
    <row r="47" spans="2:10" x14ac:dyDescent="0.25">
      <c r="B47" s="2">
        <v>35</v>
      </c>
      <c r="C47" s="38">
        <f t="shared" si="12"/>
        <v>1.3453403011163503</v>
      </c>
      <c r="D47" s="38">
        <f t="shared" si="12"/>
        <v>-4.7602463605665655</v>
      </c>
      <c r="E47" s="38">
        <f t="shared" si="12"/>
        <v>2.5731616274608835</v>
      </c>
      <c r="F47" s="38">
        <f t="shared" si="5"/>
        <v>1.3453403011115381</v>
      </c>
      <c r="G47" s="38">
        <f t="shared" si="6"/>
        <v>-4.7602463605750085</v>
      </c>
      <c r="H47" s="38">
        <f t="shared" si="7"/>
        <v>2.573161627467349</v>
      </c>
      <c r="I47" s="38">
        <f t="shared" si="8"/>
        <v>8.4430240576693905E-12</v>
      </c>
      <c r="J47" s="2" t="str">
        <f t="shared" si="9"/>
        <v>решение</v>
      </c>
    </row>
    <row r="48" spans="2:10" x14ac:dyDescent="0.25">
      <c r="B48" s="2">
        <v>36</v>
      </c>
      <c r="C48" s="38">
        <f t="shared" ref="C48:E55" si="13">F47</f>
        <v>1.3453403011115381</v>
      </c>
      <c r="D48" s="38">
        <f t="shared" si="13"/>
        <v>-4.7602463605750085</v>
      </c>
      <c r="E48" s="38">
        <f t="shared" si="13"/>
        <v>2.573161627467349</v>
      </c>
      <c r="F48" s="38">
        <f t="shared" si="5"/>
        <v>1.345340301109307</v>
      </c>
      <c r="G48" s="38">
        <f t="shared" si="6"/>
        <v>-4.7602463605789227</v>
      </c>
      <c r="H48" s="38">
        <f t="shared" si="7"/>
        <v>2.5731616274703462</v>
      </c>
      <c r="I48" s="38">
        <f t="shared" si="8"/>
        <v>3.9142022956184519E-12</v>
      </c>
      <c r="J48" s="2" t="str">
        <f t="shared" si="9"/>
        <v>решение</v>
      </c>
    </row>
    <row r="49" spans="2:10" x14ac:dyDescent="0.25">
      <c r="B49" s="2">
        <v>37</v>
      </c>
      <c r="C49" s="38">
        <f t="shared" si="13"/>
        <v>1.345340301109307</v>
      </c>
      <c r="D49" s="38">
        <f t="shared" si="13"/>
        <v>-4.7602463605789227</v>
      </c>
      <c r="E49" s="38">
        <f t="shared" si="13"/>
        <v>2.5731616274703462</v>
      </c>
      <c r="F49" s="38">
        <f t="shared" si="5"/>
        <v>1.3453403011082727</v>
      </c>
      <c r="G49" s="38">
        <f t="shared" si="6"/>
        <v>-4.7602463605807372</v>
      </c>
      <c r="H49" s="38">
        <f t="shared" si="7"/>
        <v>2.5731616274717357</v>
      </c>
      <c r="I49" s="38">
        <f t="shared" si="8"/>
        <v>1.8145485114473558E-12</v>
      </c>
      <c r="J49" s="2" t="str">
        <f t="shared" si="9"/>
        <v>решение</v>
      </c>
    </row>
    <row r="50" spans="2:10" x14ac:dyDescent="0.25">
      <c r="B50" s="2">
        <v>38</v>
      </c>
      <c r="C50" s="38">
        <f t="shared" si="13"/>
        <v>1.3453403011082727</v>
      </c>
      <c r="D50" s="38">
        <f t="shared" si="13"/>
        <v>-4.7602463605807372</v>
      </c>
      <c r="E50" s="38">
        <f t="shared" si="13"/>
        <v>2.5731616274717357</v>
      </c>
      <c r="F50" s="38">
        <f t="shared" si="5"/>
        <v>1.3453403011077931</v>
      </c>
      <c r="G50" s="38">
        <f t="shared" si="6"/>
        <v>-4.7602463605815792</v>
      </c>
      <c r="H50" s="38">
        <f t="shared" si="7"/>
        <v>2.5731616274723805</v>
      </c>
      <c r="I50" s="38">
        <f t="shared" si="8"/>
        <v>8.4199314187571872E-13</v>
      </c>
      <c r="J50" s="2" t="str">
        <f t="shared" si="9"/>
        <v>решение</v>
      </c>
    </row>
    <row r="51" spans="2:10" x14ac:dyDescent="0.25">
      <c r="B51" s="2">
        <v>39</v>
      </c>
      <c r="C51" s="38">
        <f t="shared" si="13"/>
        <v>1.3453403011077931</v>
      </c>
      <c r="D51" s="38">
        <f t="shared" si="13"/>
        <v>-4.7602463605815792</v>
      </c>
      <c r="E51" s="38">
        <f t="shared" si="13"/>
        <v>2.5731616274723805</v>
      </c>
      <c r="F51" s="38">
        <f t="shared" si="5"/>
        <v>1.3453403011075706</v>
      </c>
      <c r="G51" s="38">
        <f t="shared" si="6"/>
        <v>-4.76024636058197</v>
      </c>
      <c r="H51" s="38">
        <f t="shared" si="7"/>
        <v>2.5731616274726798</v>
      </c>
      <c r="I51" s="38">
        <f t="shared" si="8"/>
        <v>3.907985046680551E-13</v>
      </c>
      <c r="J51" s="2" t="str">
        <f t="shared" si="9"/>
        <v>решение</v>
      </c>
    </row>
  </sheetData>
  <mergeCells count="11">
    <mergeCell ref="A5:A7"/>
    <mergeCell ref="H5:H7"/>
    <mergeCell ref="O5:O7"/>
    <mergeCell ref="P10:R10"/>
    <mergeCell ref="M28:N28"/>
    <mergeCell ref="A2:F2"/>
    <mergeCell ref="H2:M2"/>
    <mergeCell ref="O2:T2"/>
    <mergeCell ref="C3:E3"/>
    <mergeCell ref="J3:L3"/>
    <mergeCell ref="Q3: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Часть 1</vt:lpstr>
      <vt:lpstr>Зейделя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2024-09-26T11:19:09Z</dcterms:created>
  <dcterms:modified xsi:type="dcterms:W3CDTF">2024-09-26T12:28:04Z</dcterms:modified>
</cp:coreProperties>
</file>