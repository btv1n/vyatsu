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ФИб-2\Численные методы\"/>
    </mc:Choice>
  </mc:AlternateContent>
  <xr:revisionPtr revIDLastSave="0" documentId="13_ncr:1_{C6018DE0-1401-4D13-9652-2EDF7BC8435D}" xr6:coauthVersionLast="36" xr6:coauthVersionMax="36" xr10:uidLastSave="{00000000-0000-0000-0000-000000000000}"/>
  <bookViews>
    <workbookView xWindow="0" yWindow="0" windowWidth="14775" windowHeight="11775" activeTab="4" xr2:uid="{1D347508-4C8B-45FE-9EFF-1F153FE8E0BA}"/>
  </bookViews>
  <sheets>
    <sheet name="Задача 1" sheetId="1" r:id="rId1"/>
    <sheet name="Задача 2" sheetId="2" r:id="rId2"/>
    <sheet name="Задача 3" sheetId="3" r:id="rId3"/>
    <sheet name="Задача 4" sheetId="4" r:id="rId4"/>
    <sheet name="Лист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5" l="1"/>
  <c r="C11" i="5"/>
  <c r="C10" i="5"/>
  <c r="C9" i="5"/>
  <c r="D10" i="5"/>
  <c r="D9" i="5"/>
  <c r="C4" i="5"/>
  <c r="B7" i="5"/>
  <c r="B12" i="5"/>
  <c r="B11" i="5"/>
  <c r="B10" i="5"/>
  <c r="B9" i="5"/>
  <c r="C2" i="1"/>
  <c r="C3" i="1"/>
  <c r="C3" i="5"/>
  <c r="C2" i="5"/>
  <c r="D12" i="5" l="1"/>
  <c r="C7" i="5"/>
  <c r="D7" i="5" s="1"/>
  <c r="D11" i="5"/>
  <c r="D5" i="5"/>
  <c r="C5" i="5"/>
  <c r="B5" i="5"/>
  <c r="D3" i="5"/>
  <c r="D4" i="5"/>
  <c r="D2" i="5"/>
  <c r="B7" i="4"/>
  <c r="C7" i="4" s="1"/>
  <c r="B6" i="4"/>
  <c r="C6" i="4" s="1"/>
  <c r="B5" i="4"/>
  <c r="C5" i="4" s="1"/>
  <c r="B4" i="4"/>
  <c r="C4" i="4" s="1"/>
  <c r="B3" i="4"/>
  <c r="B2" i="4"/>
  <c r="C2" i="4" s="1"/>
  <c r="C3" i="4"/>
  <c r="E3" i="2"/>
  <c r="E2" i="2"/>
  <c r="C3" i="2"/>
  <c r="C2" i="2"/>
  <c r="D2" i="1"/>
</calcChain>
</file>

<file path=xl/sharedStrings.xml><?xml version="1.0" encoding="utf-8"?>
<sst xmlns="http://schemas.openxmlformats.org/spreadsheetml/2006/main" count="39" uniqueCount="31">
  <si>
    <t>a</t>
  </si>
  <si>
    <r>
      <rPr>
        <sz val="16"/>
        <color theme="1"/>
        <rFont val="Symbol"/>
        <family val="1"/>
        <charset val="2"/>
      </rPr>
      <t>D</t>
    </r>
    <r>
      <rPr>
        <sz val="16"/>
        <color theme="1"/>
        <rFont val="Times New Roman"/>
        <family val="1"/>
        <charset val="204"/>
      </rPr>
      <t>a</t>
    </r>
  </si>
  <si>
    <t>Оносительная погрешность</t>
  </si>
  <si>
    <t>Условие задачи</t>
  </si>
  <si>
    <t>1,22 &lt;= a &lt;= 1,80</t>
  </si>
  <si>
    <t>Равенство 1</t>
  </si>
  <si>
    <t>Равенство 2</t>
  </si>
  <si>
    <r>
      <rPr>
        <sz val="18"/>
        <color theme="1"/>
        <rFont val="Symbol"/>
        <family val="1"/>
        <charset val="2"/>
      </rPr>
      <t>D</t>
    </r>
    <r>
      <rPr>
        <sz val="18"/>
        <color theme="1"/>
        <rFont val="Times New Roman"/>
        <family val="1"/>
        <charset val="204"/>
      </rPr>
      <t>a</t>
    </r>
  </si>
  <si>
    <t xml:space="preserve">Относительная погрешность </t>
  </si>
  <si>
    <r>
      <t xml:space="preserve">1/9 </t>
    </r>
    <r>
      <rPr>
        <sz val="18"/>
        <color theme="1"/>
        <rFont val="Symbol"/>
        <family val="1"/>
        <charset val="2"/>
      </rPr>
      <t>»</t>
    </r>
    <r>
      <rPr>
        <sz val="18"/>
        <color theme="1"/>
        <rFont val="Times New Roman"/>
        <family val="1"/>
        <charset val="204"/>
      </rPr>
      <t xml:space="preserve"> 0,1</t>
    </r>
  </si>
  <si>
    <r>
      <t xml:space="preserve">1/3 </t>
    </r>
    <r>
      <rPr>
        <sz val="18"/>
        <color theme="1"/>
        <rFont val="Symbol"/>
        <family val="1"/>
        <charset val="2"/>
      </rPr>
      <t>»</t>
    </r>
    <r>
      <rPr>
        <sz val="18"/>
        <color theme="1"/>
        <rFont val="Times New Roman"/>
        <family val="1"/>
        <charset val="204"/>
      </rPr>
      <t xml:space="preserve"> 0,33</t>
    </r>
  </si>
  <si>
    <t>Равенство 2 точнее</t>
  </si>
  <si>
    <t>Итог:</t>
  </si>
  <si>
    <t>b</t>
  </si>
  <si>
    <t>Верные цифры в широком смысле</t>
  </si>
  <si>
    <t>7 2 2 9</t>
  </si>
  <si>
    <t>9 0</t>
  </si>
  <si>
    <t>7 2 2</t>
  </si>
  <si>
    <t>Верные цифры в строгом смысле</t>
  </si>
  <si>
    <t>Числа:</t>
  </si>
  <si>
    <t>Относительная погрешность</t>
  </si>
  <si>
    <t>Приблеженное число</t>
  </si>
  <si>
    <t>Значение</t>
  </si>
  <si>
    <t>Абсолютная погрешность</t>
  </si>
  <si>
    <t>c</t>
  </si>
  <si>
    <t>sin(b)</t>
  </si>
  <si>
    <t>Z</t>
  </si>
  <si>
    <t>a - sin(b)</t>
  </si>
  <si>
    <t xml:space="preserve">b^2 </t>
  </si>
  <si>
    <t>6 * c</t>
  </si>
  <si>
    <t>b^2 + 6 *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</si>
</sst>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0000"/>
    <numFmt numFmtId="166" formatCode="0.00000%"/>
    <numFmt numFmtId="167" formatCode="0.0000"/>
  </numFmts>
  <fonts count="8">
    <font>
      <sz val="11"/>
      <color theme="1"/>
      <name val="Calibri"/>
      <family val="2"/>
      <charset val="204"/>
      <scheme val="minor"/>
    </font>
    <font>
      <sz val="16"/>
      <color theme="1"/>
      <name val="Times New Roman"/>
      <family val="1"/>
      <charset val="204"/>
    </font>
    <font>
      <sz val="16"/>
      <color theme="1"/>
      <name val="Symbol"/>
      <family val="1"/>
      <charset val="2"/>
    </font>
    <font>
      <sz val="16"/>
      <color theme="1"/>
      <name val="Times New Roman"/>
      <family val="1"/>
      <charset val="2"/>
    </font>
    <font>
      <sz val="18"/>
      <color theme="1"/>
      <name val="Times New Roman"/>
      <family val="1"/>
      <charset val="204"/>
    </font>
    <font>
      <sz val="18"/>
      <color theme="1"/>
      <name val="Symbol"/>
      <family val="1"/>
      <charset val="2"/>
    </font>
    <font>
      <sz val="18"/>
      <color theme="1"/>
      <name val="Times New Roman"/>
      <family val="1"/>
      <charset val="2"/>
    </font>
    <font>
      <sz val="1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9" fontId="1" fillId="0" borderId="2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10" fontId="0" fillId="0" borderId="0" xfId="0" applyNumberFormat="1"/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9" fontId="4" fillId="0" borderId="15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0" fontId="4" fillId="0" borderId="2" xfId="0" applyFont="1" applyBorder="1"/>
    <xf numFmtId="0" fontId="4" fillId="0" borderId="2" xfId="0" applyFont="1" applyBorder="1" applyAlignment="1">
      <alignment wrapText="1"/>
    </xf>
    <xf numFmtId="0" fontId="6" fillId="0" borderId="2" xfId="0" applyFont="1" applyBorder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10" fontId="4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6" fontId="0" fillId="0" borderId="0" xfId="0" applyNumberFormat="1"/>
    <xf numFmtId="164" fontId="4" fillId="0" borderId="2" xfId="0" applyNumberFormat="1" applyFont="1" applyBorder="1"/>
    <xf numFmtId="167" fontId="4" fillId="0" borderId="2" xfId="0" applyNumberFormat="1" applyFont="1" applyBorder="1"/>
    <xf numFmtId="0" fontId="0" fillId="0" borderId="0" xfId="0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2EC28-401F-4F9A-95D3-1F8B2F260DD0}">
  <dimension ref="A1:N30"/>
  <sheetViews>
    <sheetView workbookViewId="0">
      <selection activeCell="C3" sqref="C3"/>
    </sheetView>
  </sheetViews>
  <sheetFormatPr defaultRowHeight="15"/>
  <cols>
    <col min="1" max="1" width="24.42578125" customWidth="1"/>
    <col min="2" max="2" width="10.7109375" customWidth="1"/>
    <col min="3" max="3" width="9.85546875" customWidth="1"/>
    <col min="4" max="4" width="22.42578125" customWidth="1"/>
  </cols>
  <sheetData>
    <row r="1" spans="1:14" ht="45.75" customHeight="1" thickBot="1">
      <c r="A1" s="7" t="s">
        <v>3</v>
      </c>
      <c r="B1" s="4" t="s">
        <v>0</v>
      </c>
      <c r="C1" s="6" t="s">
        <v>1</v>
      </c>
      <c r="D1" s="7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1" thickBot="1">
      <c r="A2" s="3" t="s">
        <v>4</v>
      </c>
      <c r="B2" s="5">
        <v>1.51</v>
      </c>
      <c r="C2" s="1">
        <f>(1.8-1.22)/2</f>
        <v>0.29000000000000004</v>
      </c>
      <c r="D2" s="8">
        <f>C2/B2</f>
        <v>0.19205298013245034</v>
      </c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0.25">
      <c r="A3" s="2"/>
      <c r="B3" s="1"/>
      <c r="C3" s="1">
        <f>(1.8-1.22)/2</f>
        <v>0.29000000000000004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20.25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20.25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25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20.25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20.25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20.25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20.25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20.25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20.25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20.25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20.25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2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2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2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2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2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2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2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2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2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2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2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2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2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2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2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2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85872-3E4C-4D5B-99C9-CB95A96B3800}">
  <dimension ref="A1:E5"/>
  <sheetViews>
    <sheetView workbookViewId="0">
      <selection activeCell="B5" sqref="B5:E5"/>
    </sheetView>
  </sheetViews>
  <sheetFormatPr defaultRowHeight="15"/>
  <cols>
    <col min="1" max="1" width="19.85546875" customWidth="1"/>
    <col min="2" max="2" width="15" customWidth="1"/>
    <col min="3" max="3" width="21.28515625" customWidth="1"/>
    <col min="4" max="4" width="13.42578125" customWidth="1"/>
    <col min="5" max="5" width="23.7109375" customWidth="1"/>
  </cols>
  <sheetData>
    <row r="1" spans="1:5" ht="51.75" customHeight="1">
      <c r="A1" s="16"/>
      <c r="B1" s="17"/>
      <c r="C1" s="17" t="s">
        <v>0</v>
      </c>
      <c r="D1" s="18" t="s">
        <v>7</v>
      </c>
      <c r="E1" s="19" t="s">
        <v>8</v>
      </c>
    </row>
    <row r="2" spans="1:5" ht="23.25">
      <c r="A2" s="20" t="s">
        <v>5</v>
      </c>
      <c r="B2" s="11" t="s">
        <v>9</v>
      </c>
      <c r="C2" s="12">
        <f>1/9-0.1</f>
        <v>1.1111111111111099E-2</v>
      </c>
      <c r="D2" s="11">
        <v>1.2E-2</v>
      </c>
      <c r="E2" s="21">
        <f>0.012/(1/9)</f>
        <v>0.10800000000000001</v>
      </c>
    </row>
    <row r="3" spans="1:5" ht="24" thickBot="1">
      <c r="A3" s="22" t="s">
        <v>6</v>
      </c>
      <c r="B3" s="23" t="s">
        <v>10</v>
      </c>
      <c r="C3" s="23">
        <f>1/3-0.33</f>
        <v>3.3333333333332993E-3</v>
      </c>
      <c r="D3" s="23">
        <v>4.0000000000000001E-3</v>
      </c>
      <c r="E3" s="24">
        <f>D3/(1/3)</f>
        <v>1.2E-2</v>
      </c>
    </row>
    <row r="4" spans="1:5" ht="21" thickBot="1">
      <c r="A4" s="14"/>
      <c r="B4" s="14"/>
      <c r="C4" s="15"/>
      <c r="D4" s="15"/>
      <c r="E4" s="15"/>
    </row>
    <row r="5" spans="1:5" ht="24" thickBot="1">
      <c r="A5" s="13" t="s">
        <v>12</v>
      </c>
      <c r="B5" s="37" t="s">
        <v>11</v>
      </c>
      <c r="C5" s="37"/>
      <c r="D5" s="37"/>
      <c r="E5" s="38"/>
    </row>
  </sheetData>
  <mergeCells count="1"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4AF9B-469B-4B08-AB3D-3C116F0B8A16}">
  <dimension ref="A1:E3"/>
  <sheetViews>
    <sheetView workbookViewId="0">
      <selection activeCell="B3" sqref="B3"/>
    </sheetView>
  </sheetViews>
  <sheetFormatPr defaultRowHeight="15"/>
  <cols>
    <col min="2" max="2" width="16.42578125" customWidth="1"/>
    <col min="3" max="3" width="16.7109375" customWidth="1"/>
    <col min="4" max="5" width="18.85546875" customWidth="1"/>
  </cols>
  <sheetData>
    <row r="1" spans="1:5" ht="93.75" thickBot="1">
      <c r="A1" s="25"/>
      <c r="B1" s="25"/>
      <c r="C1" s="27" t="s">
        <v>7</v>
      </c>
      <c r="D1" s="26" t="s">
        <v>14</v>
      </c>
      <c r="E1" s="26" t="s">
        <v>18</v>
      </c>
    </row>
    <row r="2" spans="1:5" ht="24" thickBot="1">
      <c r="A2" s="25" t="s">
        <v>0</v>
      </c>
      <c r="B2" s="34">
        <v>9.02</v>
      </c>
      <c r="C2" s="25">
        <v>0.02</v>
      </c>
      <c r="D2" s="25" t="s">
        <v>16</v>
      </c>
      <c r="E2" s="25" t="s">
        <v>16</v>
      </c>
    </row>
    <row r="3" spans="1:5" ht="24" thickBot="1">
      <c r="A3" s="25" t="s">
        <v>13</v>
      </c>
      <c r="B3" s="35">
        <v>7.2298</v>
      </c>
      <c r="C3" s="25">
        <v>8.0000000000000004E-4</v>
      </c>
      <c r="D3" s="25" t="s">
        <v>15</v>
      </c>
      <c r="E3" s="25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66711-8A01-4D35-B8FE-845B18E813D4}">
  <dimension ref="A1:C7"/>
  <sheetViews>
    <sheetView workbookViewId="0">
      <selection activeCell="B2" sqref="B2"/>
    </sheetView>
  </sheetViews>
  <sheetFormatPr defaultRowHeight="15"/>
  <cols>
    <col min="1" max="1" width="12.140625" customWidth="1"/>
    <col min="2" max="2" width="24.28515625" customWidth="1"/>
    <col min="3" max="3" width="27.28515625" customWidth="1"/>
  </cols>
  <sheetData>
    <row r="1" spans="1:3" ht="47.25" thickBot="1">
      <c r="A1" s="28" t="s">
        <v>19</v>
      </c>
      <c r="B1" s="32" t="s">
        <v>7</v>
      </c>
      <c r="C1" s="29" t="s">
        <v>20</v>
      </c>
    </row>
    <row r="2" spans="1:3" ht="24" thickBot="1">
      <c r="A2" s="28">
        <v>1.24</v>
      </c>
      <c r="B2" s="28">
        <f>0.5*10^(0-3+1)</f>
        <v>5.0000000000000001E-3</v>
      </c>
      <c r="C2" s="30">
        <f>B2/A2</f>
        <v>4.0322580645161289E-3</v>
      </c>
    </row>
    <row r="3" spans="1:3" ht="24" thickBot="1">
      <c r="A3" s="31">
        <v>1.24</v>
      </c>
      <c r="B3" s="28">
        <f>0.5*10^(0-4+1)</f>
        <v>5.0000000000000001E-4</v>
      </c>
      <c r="C3" s="30">
        <f t="shared" ref="C3:C7" si="0">B3/A3</f>
        <v>4.032258064516129E-4</v>
      </c>
    </row>
    <row r="4" spans="1:3" ht="24" thickBot="1">
      <c r="A4" s="28">
        <v>56.1</v>
      </c>
      <c r="B4" s="28">
        <f>0.5*10^(1-3+1)</f>
        <v>0.05</v>
      </c>
      <c r="C4" s="30">
        <f t="shared" si="0"/>
        <v>8.9126559714795015E-4</v>
      </c>
    </row>
    <row r="5" spans="1:3" ht="24" thickBot="1">
      <c r="A5" s="28">
        <v>7.6E-3</v>
      </c>
      <c r="B5" s="28">
        <f>0.5*10^(0-5+1)</f>
        <v>5.0000000000000002E-5</v>
      </c>
      <c r="C5" s="30">
        <f t="shared" si="0"/>
        <v>6.5789473684210531E-3</v>
      </c>
    </row>
    <row r="6" spans="1:3" ht="24" thickBot="1">
      <c r="A6" s="28">
        <v>3.4119999999999998E-2</v>
      </c>
      <c r="B6" s="28">
        <f>0.5*10^(0-5+1)</f>
        <v>5.0000000000000002E-5</v>
      </c>
      <c r="C6" s="30">
        <f t="shared" si="0"/>
        <v>1.4654161781946075E-3</v>
      </c>
    </row>
    <row r="7" spans="1:3" ht="24" thickBot="1">
      <c r="A7" s="28">
        <v>87.1</v>
      </c>
      <c r="B7" s="28">
        <f>0.5*10^(1-3+1)</f>
        <v>0.05</v>
      </c>
      <c r="C7" s="30">
        <f t="shared" si="0"/>
        <v>5.7405281285878313E-4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1B95-4AB7-415B-8158-6416D86B9966}">
  <dimension ref="A1:D13"/>
  <sheetViews>
    <sheetView tabSelected="1" workbookViewId="0">
      <selection activeCell="D3" sqref="D3"/>
    </sheetView>
  </sheetViews>
  <sheetFormatPr defaultRowHeight="15"/>
  <cols>
    <col min="1" max="1" width="15.5703125" customWidth="1"/>
    <col min="2" max="2" width="10.28515625" customWidth="1"/>
    <col min="3" max="3" width="20.85546875" customWidth="1"/>
    <col min="4" max="4" width="44.85546875" customWidth="1"/>
  </cols>
  <sheetData>
    <row r="1" spans="1:4" ht="30">
      <c r="A1" s="9" t="s">
        <v>21</v>
      </c>
      <c r="B1" s="9" t="s">
        <v>22</v>
      </c>
      <c r="C1" s="9" t="s">
        <v>23</v>
      </c>
      <c r="D1" s="9" t="s">
        <v>20</v>
      </c>
    </row>
    <row r="2" spans="1:4">
      <c r="A2" t="s">
        <v>0</v>
      </c>
      <c r="B2">
        <v>1.75</v>
      </c>
      <c r="C2">
        <f>1*10^(0-3+1)</f>
        <v>0.01</v>
      </c>
      <c r="D2" s="10">
        <f>C2/B2</f>
        <v>5.7142857142857143E-3</v>
      </c>
    </row>
    <row r="3" spans="1:4">
      <c r="A3" t="s">
        <v>13</v>
      </c>
      <c r="B3">
        <v>1.21</v>
      </c>
      <c r="C3">
        <f>1*10^(0-3+1)</f>
        <v>0.01</v>
      </c>
      <c r="D3" s="10">
        <f t="shared" ref="D3:D4" si="0">C3/B3</f>
        <v>8.2644628099173556E-3</v>
      </c>
    </row>
    <row r="4" spans="1:4">
      <c r="A4" t="s">
        <v>24</v>
      </c>
      <c r="B4">
        <v>4.1000000000000002E-2</v>
      </c>
      <c r="C4">
        <f>1*10^(-2-2+1)</f>
        <v>1E-3</v>
      </c>
      <c r="D4" s="10">
        <f t="shared" si="0"/>
        <v>2.4390243902439025E-2</v>
      </c>
    </row>
    <row r="5" spans="1:4">
      <c r="A5" t="s">
        <v>25</v>
      </c>
      <c r="B5">
        <f>SIN(B3)</f>
        <v>0.93561600155338587</v>
      </c>
      <c r="C5">
        <f>COS(B3)*C3</f>
        <v>3.530194012193304E-3</v>
      </c>
      <c r="D5" s="10">
        <f>C5/B5</f>
        <v>3.7731227408810755E-3</v>
      </c>
    </row>
    <row r="6" spans="1:4">
      <c r="D6" s="10"/>
    </row>
    <row r="7" spans="1:4">
      <c r="A7" t="s">
        <v>26</v>
      </c>
      <c r="B7">
        <f>B9/B12</f>
        <v>0.47622010317912061</v>
      </c>
      <c r="C7">
        <f>(C9*ABS(B12)+C12*ABS(B9))/(B12*B12)</f>
        <v>1.6321876573418364E-2</v>
      </c>
      <c r="D7" s="33">
        <f>C7/B7</f>
        <v>3.4273808401740692E-2</v>
      </c>
    </row>
    <row r="9" spans="1:4">
      <c r="A9" s="36" t="s">
        <v>27</v>
      </c>
      <c r="B9">
        <f>B2-B5</f>
        <v>0.81438399844661413</v>
      </c>
      <c r="C9">
        <f>C2+C5</f>
        <v>1.3530194012193304E-2</v>
      </c>
      <c r="D9" s="33">
        <f>C9/B9</f>
        <v>1.6614022424312477E-2</v>
      </c>
    </row>
    <row r="10" spans="1:4">
      <c r="A10" s="36" t="s">
        <v>28</v>
      </c>
      <c r="B10">
        <f>B3*B3</f>
        <v>1.4641</v>
      </c>
      <c r="C10">
        <f>B3*C3*2</f>
        <v>2.4199999999999999E-2</v>
      </c>
      <c r="D10" s="33">
        <f t="shared" ref="D10:D12" si="1">C10/B10</f>
        <v>1.6528925619834711E-2</v>
      </c>
    </row>
    <row r="11" spans="1:4">
      <c r="A11" s="36" t="s">
        <v>29</v>
      </c>
      <c r="B11">
        <f>6*B4</f>
        <v>0.246</v>
      </c>
      <c r="C11">
        <f>6*C4</f>
        <v>6.0000000000000001E-3</v>
      </c>
      <c r="D11" s="33">
        <f t="shared" si="1"/>
        <v>2.4390243902439025E-2</v>
      </c>
    </row>
    <row r="12" spans="1:4">
      <c r="A12" s="36" t="s">
        <v>30</v>
      </c>
      <c r="B12">
        <f>B10+B11</f>
        <v>1.7101</v>
      </c>
      <c r="C12">
        <f>C10+C11</f>
        <v>3.0199999999999998E-2</v>
      </c>
      <c r="D12" s="33">
        <f t="shared" si="1"/>
        <v>1.7659785977428219E-2</v>
      </c>
    </row>
    <row r="13" spans="1:4">
      <c r="A13" s="36"/>
      <c r="D13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Задача 1</vt:lpstr>
      <vt:lpstr>Задача 2</vt:lpstr>
      <vt:lpstr>Задача 3</vt:lpstr>
      <vt:lpstr>Задача 4</vt:lpstr>
      <vt:lpstr>Лист5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2026-02-03T08:55:07Z</dcterms:created>
  <dcterms:modified xsi:type="dcterms:W3CDTF">2026-02-10T12:16:33Z</dcterms:modified>
</cp:coreProperties>
</file>