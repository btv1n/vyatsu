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ПМИшечки-3\Алекскандров Эрнест\Численные методы\Lab7\"/>
    </mc:Choice>
  </mc:AlternateContent>
  <xr:revisionPtr revIDLastSave="0" documentId="13_ncr:1_{F6E51EA1-E71F-4475-9403-C772B89958CE}" xr6:coauthVersionLast="36" xr6:coauthVersionMax="36" xr10:uidLastSave="{00000000-0000-0000-0000-000000000000}"/>
  <bookViews>
    <workbookView xWindow="0" yWindow="0" windowWidth="28800" windowHeight="12225" xr2:uid="{BA1FBAB7-4644-4717-9C49-380D863D8A8C}"/>
  </bookViews>
  <sheets>
    <sheet name="Линейная" sheetId="1" r:id="rId1"/>
    <sheet name="Параболическая" sheetId="2" r:id="rId2"/>
    <sheet name="Логарифмическая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11" i="2"/>
  <c r="I9" i="1"/>
  <c r="O10" i="3" s="1"/>
  <c r="C9" i="1"/>
  <c r="O12" i="3"/>
  <c r="O11" i="3"/>
  <c r="D12" i="2"/>
  <c r="E12" i="2"/>
  <c r="F12" i="2"/>
  <c r="G12" i="2"/>
  <c r="H12" i="2"/>
  <c r="D9" i="3"/>
  <c r="E9" i="3"/>
  <c r="F9" i="3"/>
  <c r="G9" i="3"/>
  <c r="H9" i="3"/>
  <c r="C9" i="3"/>
  <c r="D8" i="3"/>
  <c r="E8" i="3"/>
  <c r="F8" i="3"/>
  <c r="G8" i="3"/>
  <c r="H8" i="3"/>
  <c r="C8" i="3"/>
  <c r="F19" i="3"/>
  <c r="D19" i="3"/>
  <c r="C19" i="3"/>
  <c r="D18" i="3"/>
  <c r="C18" i="3"/>
  <c r="D16" i="3"/>
  <c r="C16" i="3"/>
  <c r="D15" i="3"/>
  <c r="C15" i="3"/>
  <c r="F16" i="3" s="1"/>
  <c r="I13" i="3" s="1"/>
  <c r="D13" i="3"/>
  <c r="C13" i="3"/>
  <c r="D12" i="3"/>
  <c r="C12" i="3"/>
  <c r="F13" i="3" s="1"/>
  <c r="D7" i="3"/>
  <c r="E7" i="3"/>
  <c r="F7" i="3"/>
  <c r="G7" i="3"/>
  <c r="H7" i="3"/>
  <c r="C7" i="3"/>
  <c r="D5" i="3"/>
  <c r="E5" i="3"/>
  <c r="F5" i="3"/>
  <c r="G5" i="3"/>
  <c r="H5" i="3"/>
  <c r="C5" i="3"/>
  <c r="I5" i="3" s="1"/>
  <c r="D4" i="3"/>
  <c r="E4" i="3"/>
  <c r="F4" i="3"/>
  <c r="G4" i="3"/>
  <c r="H4" i="3"/>
  <c r="C4" i="3"/>
  <c r="H6" i="3"/>
  <c r="G6" i="3"/>
  <c r="F6" i="3"/>
  <c r="E6" i="3"/>
  <c r="D6" i="3"/>
  <c r="C6" i="3"/>
  <c r="I6" i="3" s="1"/>
  <c r="D11" i="2"/>
  <c r="E11" i="2"/>
  <c r="F11" i="2"/>
  <c r="G11" i="2"/>
  <c r="H11" i="2"/>
  <c r="D8" i="1"/>
  <c r="D9" i="1" s="1"/>
  <c r="E8" i="1"/>
  <c r="E9" i="1" s="1"/>
  <c r="F8" i="1"/>
  <c r="G8" i="1"/>
  <c r="H8" i="1"/>
  <c r="H9" i="1" s="1"/>
  <c r="C8" i="1"/>
  <c r="K19" i="2"/>
  <c r="K18" i="2"/>
  <c r="K17" i="2"/>
  <c r="H29" i="2"/>
  <c r="D29" i="2"/>
  <c r="D28" i="2"/>
  <c r="D27" i="2"/>
  <c r="E29" i="2"/>
  <c r="E28" i="2"/>
  <c r="E27" i="2"/>
  <c r="C29" i="2"/>
  <c r="C28" i="2"/>
  <c r="C27" i="2"/>
  <c r="H25" i="2"/>
  <c r="D25" i="2"/>
  <c r="D24" i="2"/>
  <c r="D23" i="2"/>
  <c r="E25" i="2"/>
  <c r="C25" i="2"/>
  <c r="E24" i="2"/>
  <c r="C24" i="2"/>
  <c r="E23" i="2"/>
  <c r="C23" i="2"/>
  <c r="H21" i="2"/>
  <c r="C21" i="2"/>
  <c r="C20" i="2"/>
  <c r="C19" i="2"/>
  <c r="E21" i="2"/>
  <c r="D21" i="2"/>
  <c r="E20" i="2"/>
  <c r="D20" i="2"/>
  <c r="E19" i="2"/>
  <c r="D19" i="2"/>
  <c r="H17" i="2"/>
  <c r="E17" i="2"/>
  <c r="E16" i="2"/>
  <c r="E15" i="2"/>
  <c r="D17" i="2"/>
  <c r="D16" i="2"/>
  <c r="D15" i="2"/>
  <c r="C17" i="2"/>
  <c r="C16" i="2"/>
  <c r="C15" i="2"/>
  <c r="I10" i="2"/>
  <c r="D10" i="2"/>
  <c r="E10" i="2"/>
  <c r="F10" i="2"/>
  <c r="G10" i="2"/>
  <c r="H10" i="2"/>
  <c r="C10" i="2"/>
  <c r="D7" i="2"/>
  <c r="E7" i="2"/>
  <c r="F7" i="2"/>
  <c r="G7" i="2"/>
  <c r="H7" i="2"/>
  <c r="C7" i="2"/>
  <c r="C6" i="2"/>
  <c r="I6" i="2" s="1"/>
  <c r="D6" i="2"/>
  <c r="E6" i="2"/>
  <c r="F6" i="2"/>
  <c r="G6" i="2"/>
  <c r="H6" i="2"/>
  <c r="H8" i="2"/>
  <c r="G8" i="2"/>
  <c r="F8" i="2"/>
  <c r="E8" i="2"/>
  <c r="D8" i="2"/>
  <c r="C8" i="2"/>
  <c r="H5" i="2"/>
  <c r="G5" i="2"/>
  <c r="F5" i="2"/>
  <c r="E5" i="2"/>
  <c r="D5" i="2"/>
  <c r="C5" i="2"/>
  <c r="H4" i="2"/>
  <c r="G4" i="2"/>
  <c r="F4" i="2"/>
  <c r="E4" i="2"/>
  <c r="D4" i="2"/>
  <c r="D9" i="2" s="1"/>
  <c r="C4" i="2"/>
  <c r="F9" i="1"/>
  <c r="G9" i="1"/>
  <c r="D16" i="1"/>
  <c r="D13" i="1"/>
  <c r="D7" i="1"/>
  <c r="E7" i="1"/>
  <c r="C7" i="1"/>
  <c r="D6" i="1"/>
  <c r="I6" i="1" s="1"/>
  <c r="E6" i="1"/>
  <c r="F6" i="1"/>
  <c r="G6" i="1"/>
  <c r="H6" i="1"/>
  <c r="C6" i="1"/>
  <c r="D5" i="1"/>
  <c r="E5" i="1"/>
  <c r="I5" i="1" s="1"/>
  <c r="F5" i="1"/>
  <c r="G5" i="1"/>
  <c r="H5" i="1"/>
  <c r="C5" i="1"/>
  <c r="D4" i="1"/>
  <c r="I4" i="1" s="1"/>
  <c r="E4" i="1"/>
  <c r="F4" i="1"/>
  <c r="F7" i="1" s="1"/>
  <c r="G4" i="1"/>
  <c r="G7" i="1" s="1"/>
  <c r="H4" i="1"/>
  <c r="H7" i="1" s="1"/>
  <c r="C4" i="1"/>
  <c r="I14" i="3" l="1"/>
  <c r="I4" i="3"/>
  <c r="I7" i="2"/>
  <c r="I4" i="2"/>
  <c r="H9" i="2"/>
  <c r="G9" i="2"/>
  <c r="I8" i="2"/>
  <c r="F9" i="2"/>
  <c r="I5" i="2"/>
  <c r="E9" i="2"/>
  <c r="C9" i="2"/>
  <c r="C18" i="1"/>
  <c r="C12" i="1"/>
  <c r="I7" i="1"/>
  <c r="D19" i="1"/>
  <c r="C16" i="1"/>
  <c r="C19" i="1"/>
  <c r="D15" i="1"/>
  <c r="D12" i="1"/>
  <c r="F13" i="1" s="1"/>
  <c r="C13" i="1"/>
  <c r="I7" i="3" l="1"/>
  <c r="I9" i="2"/>
  <c r="I12" i="2"/>
  <c r="C15" i="1"/>
  <c r="F16" i="1" s="1"/>
  <c r="I13" i="1" s="1"/>
  <c r="D18" i="1"/>
  <c r="F19" i="1" s="1"/>
  <c r="I14" i="1" s="1"/>
  <c r="I9" i="3" l="1"/>
</calcChain>
</file>

<file path=xl/sharedStrings.xml><?xml version="1.0" encoding="utf-8"?>
<sst xmlns="http://schemas.openxmlformats.org/spreadsheetml/2006/main" count="52" uniqueCount="29">
  <si>
    <t>x</t>
  </si>
  <si>
    <t>y</t>
  </si>
  <si>
    <t>x_i</t>
  </si>
  <si>
    <t>(x_i)^2</t>
  </si>
  <si>
    <t>y_i</t>
  </si>
  <si>
    <t>(x_i)*(y_i)</t>
  </si>
  <si>
    <t>Сумма</t>
  </si>
  <si>
    <t>Δ =</t>
  </si>
  <si>
    <t>Δ_а =</t>
  </si>
  <si>
    <t>Δ_b =</t>
  </si>
  <si>
    <t>a =</t>
  </si>
  <si>
    <t>b =</t>
  </si>
  <si>
    <t>f(x)</t>
  </si>
  <si>
    <t>(y_i - f(x_i))^2</t>
  </si>
  <si>
    <t>(x_i)^3</t>
  </si>
  <si>
    <t>(x_i)^4</t>
  </si>
  <si>
    <t>(y_i)*(x_i)</t>
  </si>
  <si>
    <t>(y_i)*(x_i)^2</t>
  </si>
  <si>
    <t>Δ_a =</t>
  </si>
  <si>
    <t>Δ_c =</t>
  </si>
  <si>
    <t>c =</t>
  </si>
  <si>
    <t>ln(x_i)</t>
  </si>
  <si>
    <t>ln((x_i))^2</t>
  </si>
  <si>
    <t>(y_i)*ln(x_i)</t>
  </si>
  <si>
    <t>Квадратичный отклонения</t>
  </si>
  <si>
    <t>Зависимость</t>
  </si>
  <si>
    <t>Линейная</t>
  </si>
  <si>
    <t>Параболическая</t>
  </si>
  <si>
    <t>Логарифмическая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</si>
</sst>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00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21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3" borderId="29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0" fontId="1" fillId="3" borderId="25" xfId="0" applyFont="1" applyFill="1" applyBorder="1" applyAlignment="1">
      <alignment horizontal="right" vertical="center"/>
    </xf>
    <xf numFmtId="164" fontId="1" fillId="2" borderId="26" xfId="0" applyNumberFormat="1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right" vertical="center"/>
    </xf>
    <xf numFmtId="164" fontId="1" fillId="2" borderId="36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right" vertical="center"/>
    </xf>
    <xf numFmtId="164" fontId="1" fillId="2" borderId="28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1" fontId="2" fillId="4" borderId="8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Логарифмическая!$B$3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59842519685039"/>
                  <c:y val="0.39351851851851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118153980752407"/>
                  <c:y val="0.506384149897929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1275109361329834"/>
                  <c:y val="0.656508821813939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Логарифмическая!$C$2:$H$2</c:f>
              <c:numCache>
                <c:formatCode>0.000</c:formatCode>
                <c:ptCount val="6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</c:numCache>
            </c:numRef>
          </c:xVal>
          <c:yVal>
            <c:numRef>
              <c:f>Логарифмическая!$C$3:$H$3</c:f>
              <c:numCache>
                <c:formatCode>0.000</c:formatCode>
                <c:ptCount val="6"/>
                <c:pt idx="0">
                  <c:v>2.5</c:v>
                </c:pt>
                <c:pt idx="1">
                  <c:v>3.5</c:v>
                </c:pt>
                <c:pt idx="2">
                  <c:v>4.2</c:v>
                </c:pt>
                <c:pt idx="3">
                  <c:v>4.5</c:v>
                </c:pt>
                <c:pt idx="4">
                  <c:v>5</c:v>
                </c:pt>
                <c:pt idx="5">
                  <c:v>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2-460E-A896-46DAD7E973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47635696"/>
        <c:axId val="647636024"/>
      </c:scatterChart>
      <c:valAx>
        <c:axId val="64763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636024"/>
        <c:crosses val="autoZero"/>
        <c:crossBetween val="midCat"/>
      </c:valAx>
      <c:valAx>
        <c:axId val="64763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63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14</xdr:row>
      <xdr:rowOff>166687</xdr:rowOff>
    </xdr:from>
    <xdr:ext cx="1933575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5703D61-65F2-45C1-98BB-DB275E355ADB}"/>
                </a:ext>
              </a:extLst>
            </xdr:cNvPr>
            <xdr:cNvSpPr txBox="1"/>
          </xdr:nvSpPr>
          <xdr:spPr>
            <a:xfrm>
              <a:off x="4305300" y="2481262"/>
              <a:ext cx="19335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=2,091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+1,797</m:t>
                    </m:r>
                  </m:oMath>
                </m:oMathPara>
              </a14:m>
              <a:endParaRPr lang="en-US" sz="1400" b="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5703D61-65F2-45C1-98BB-DB275E355ADB}"/>
                </a:ext>
              </a:extLst>
            </xdr:cNvPr>
            <xdr:cNvSpPr txBox="1"/>
          </xdr:nvSpPr>
          <xdr:spPr>
            <a:xfrm>
              <a:off x="4305300" y="2481262"/>
              <a:ext cx="19335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𝑓(𝑥)=2,091𝑥+1,797</a:t>
              </a:r>
              <a:endParaRPr lang="en-US" sz="14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438150</xdr:colOff>
      <xdr:row>19</xdr:row>
      <xdr:rowOff>176212</xdr:rowOff>
    </xdr:from>
    <xdr:ext cx="3086100" cy="2230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A3CF647-53F1-4A9E-8626-E47C9081BB09}"/>
                </a:ext>
              </a:extLst>
            </xdr:cNvPr>
            <xdr:cNvSpPr txBox="1"/>
          </xdr:nvSpPr>
          <xdr:spPr>
            <a:xfrm>
              <a:off x="5676900" y="3824287"/>
              <a:ext cx="3086100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=−1,371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+5,177+0,311</m:t>
                    </m:r>
                  </m:oMath>
                </m:oMathPara>
              </a14:m>
              <a:endParaRPr lang="en-US" sz="1400" b="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A3CF647-53F1-4A9E-8626-E47C9081BB09}"/>
                </a:ext>
              </a:extLst>
            </xdr:cNvPr>
            <xdr:cNvSpPr txBox="1"/>
          </xdr:nvSpPr>
          <xdr:spPr>
            <a:xfrm>
              <a:off x="5676900" y="3824287"/>
              <a:ext cx="3086100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𝑓(𝑥)=−1,371𝑥^2+5,177+0,311</a:t>
              </a:r>
              <a:endParaRPr lang="en-US" sz="14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571500</xdr:colOff>
      <xdr:row>14</xdr:row>
      <xdr:rowOff>176212</xdr:rowOff>
    </xdr:from>
    <xdr:ext cx="2343150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03EA3E5-1269-451B-BA39-16C2483DFD1B}"/>
                </a:ext>
              </a:extLst>
            </xdr:cNvPr>
            <xdr:cNvSpPr txBox="1"/>
          </xdr:nvSpPr>
          <xdr:spPr>
            <a:xfrm>
              <a:off x="4591050" y="2881312"/>
              <a:ext cx="2343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=2,161∗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𝑙𝑛𝑥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+4,075</m:t>
                    </m:r>
                  </m:oMath>
                </m:oMathPara>
              </a14:m>
              <a:endParaRPr lang="en-US" sz="14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03EA3E5-1269-451B-BA39-16C2483DFD1B}"/>
                </a:ext>
              </a:extLst>
            </xdr:cNvPr>
            <xdr:cNvSpPr txBox="1"/>
          </xdr:nvSpPr>
          <xdr:spPr>
            <a:xfrm>
              <a:off x="4591050" y="2881312"/>
              <a:ext cx="2343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𝑓(𝑥)=2,161∗𝑙𝑛𝑥+4,075</a:t>
              </a:r>
              <a:endParaRPr lang="en-US" sz="1400" b="0"/>
            </a:p>
          </xdr:txBody>
        </xdr:sp>
      </mc:Fallback>
    </mc:AlternateContent>
    <xdr:clientData/>
  </xdr:oneCellAnchor>
  <xdr:twoCellAnchor>
    <xdr:from>
      <xdr:col>13</xdr:col>
      <xdr:colOff>9525</xdr:colOff>
      <xdr:row>13</xdr:row>
      <xdr:rowOff>14287</xdr:rowOff>
    </xdr:from>
    <xdr:to>
      <xdr:col>16</xdr:col>
      <xdr:colOff>561975</xdr:colOff>
      <xdr:row>27</xdr:row>
      <xdr:rowOff>166687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A574CB-739F-4515-93D5-B389089C1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5518-8F3D-4AB7-9360-247117EE77F8}">
  <dimension ref="B1:I19"/>
  <sheetViews>
    <sheetView tabSelected="1" workbookViewId="0">
      <selection activeCell="F11" sqref="F11"/>
    </sheetView>
  </sheetViews>
  <sheetFormatPr defaultRowHeight="14.25" x14ac:dyDescent="0.25"/>
  <cols>
    <col min="1" max="1" width="9.140625" style="1"/>
    <col min="2" max="2" width="14.5703125" style="1" bestFit="1" customWidth="1"/>
    <col min="3" max="8" width="9.140625" style="1"/>
    <col min="9" max="9" width="10.7109375" style="1" bestFit="1" customWidth="1"/>
    <col min="10" max="16384" width="9.140625" style="1"/>
  </cols>
  <sheetData>
    <row r="1" spans="2:9" ht="15" thickBot="1" x14ac:dyDescent="0.3"/>
    <row r="2" spans="2:9" ht="15.75" thickBot="1" x14ac:dyDescent="0.3">
      <c r="B2" s="2" t="s">
        <v>0</v>
      </c>
      <c r="C2" s="5">
        <v>0.5</v>
      </c>
      <c r="D2" s="6">
        <v>0.75</v>
      </c>
      <c r="E2" s="6">
        <v>1</v>
      </c>
      <c r="F2" s="6">
        <v>1.25</v>
      </c>
      <c r="G2" s="6">
        <v>1.5</v>
      </c>
      <c r="H2" s="7">
        <v>1.75</v>
      </c>
      <c r="I2" s="4"/>
    </row>
    <row r="3" spans="2:9" ht="15.75" thickBot="1" x14ac:dyDescent="0.3">
      <c r="B3" s="3" t="s">
        <v>1</v>
      </c>
      <c r="C3" s="8">
        <v>2.5</v>
      </c>
      <c r="D3" s="9">
        <v>3.5</v>
      </c>
      <c r="E3" s="9">
        <v>4.2</v>
      </c>
      <c r="F3" s="9">
        <v>4.5</v>
      </c>
      <c r="G3" s="9">
        <v>5</v>
      </c>
      <c r="H3" s="10">
        <v>5.2</v>
      </c>
      <c r="I3" s="13" t="s">
        <v>6</v>
      </c>
    </row>
    <row r="4" spans="2:9" ht="15" x14ac:dyDescent="0.25">
      <c r="B4" s="11" t="s">
        <v>2</v>
      </c>
      <c r="C4" s="19">
        <f>C2</f>
        <v>0.5</v>
      </c>
      <c r="D4" s="20">
        <f t="shared" ref="D4:H4" si="0">D2</f>
        <v>0.75</v>
      </c>
      <c r="E4" s="20">
        <f t="shared" si="0"/>
        <v>1</v>
      </c>
      <c r="F4" s="20">
        <f t="shared" si="0"/>
        <v>1.25</v>
      </c>
      <c r="G4" s="20">
        <f t="shared" si="0"/>
        <v>1.5</v>
      </c>
      <c r="H4" s="21">
        <f t="shared" si="0"/>
        <v>1.75</v>
      </c>
      <c r="I4" s="26">
        <f>SUM(C4:H4)</f>
        <v>6.75</v>
      </c>
    </row>
    <row r="5" spans="2:9" ht="15" x14ac:dyDescent="0.25">
      <c r="B5" s="12" t="s">
        <v>3</v>
      </c>
      <c r="C5" s="22">
        <f>C2^2</f>
        <v>0.25</v>
      </c>
      <c r="D5" s="23">
        <f t="shared" ref="D5:H5" si="1">D2^2</f>
        <v>0.5625</v>
      </c>
      <c r="E5" s="23">
        <f t="shared" si="1"/>
        <v>1</v>
      </c>
      <c r="F5" s="23">
        <f t="shared" si="1"/>
        <v>1.5625</v>
      </c>
      <c r="G5" s="23">
        <f t="shared" si="1"/>
        <v>2.25</v>
      </c>
      <c r="H5" s="24">
        <f t="shared" si="1"/>
        <v>3.0625</v>
      </c>
      <c r="I5" s="27">
        <f>SUM(C5:H5)</f>
        <v>8.6875</v>
      </c>
    </row>
    <row r="6" spans="2:9" ht="15" x14ac:dyDescent="0.25">
      <c r="B6" s="12" t="s">
        <v>4</v>
      </c>
      <c r="C6" s="22">
        <f>C3</f>
        <v>2.5</v>
      </c>
      <c r="D6" s="23">
        <f t="shared" ref="D6:H6" si="2">D3</f>
        <v>3.5</v>
      </c>
      <c r="E6" s="23">
        <f t="shared" si="2"/>
        <v>4.2</v>
      </c>
      <c r="F6" s="23">
        <f t="shared" si="2"/>
        <v>4.5</v>
      </c>
      <c r="G6" s="23">
        <f t="shared" si="2"/>
        <v>5</v>
      </c>
      <c r="H6" s="24">
        <f t="shared" si="2"/>
        <v>5.2</v>
      </c>
      <c r="I6" s="27">
        <f>SUM(C6:H6)</f>
        <v>24.9</v>
      </c>
    </row>
    <row r="7" spans="2:9" ht="15.75" thickBot="1" x14ac:dyDescent="0.3">
      <c r="B7" s="34" t="s">
        <v>5</v>
      </c>
      <c r="C7" s="35">
        <f>C4*C6</f>
        <v>1.25</v>
      </c>
      <c r="D7" s="36">
        <f t="shared" ref="D7:H7" si="3">D4*D6</f>
        <v>2.625</v>
      </c>
      <c r="E7" s="36">
        <f t="shared" si="3"/>
        <v>4.2</v>
      </c>
      <c r="F7" s="36">
        <f t="shared" si="3"/>
        <v>5.625</v>
      </c>
      <c r="G7" s="36">
        <f t="shared" si="3"/>
        <v>7.5</v>
      </c>
      <c r="H7" s="37">
        <f t="shared" si="3"/>
        <v>9.1</v>
      </c>
      <c r="I7" s="38">
        <f>SUM(C7:H7)</f>
        <v>30.299999999999997</v>
      </c>
    </row>
    <row r="8" spans="2:9" ht="15" x14ac:dyDescent="0.25">
      <c r="B8" s="2" t="s">
        <v>12</v>
      </c>
      <c r="C8" s="5">
        <f>$I$13*C4+$I$14</f>
        <v>2.8428571428571434</v>
      </c>
      <c r="D8" s="5">
        <f t="shared" ref="D8:H8" si="4">$I$13*D4+$I$14</f>
        <v>3.3657142857142861</v>
      </c>
      <c r="E8" s="5">
        <f t="shared" si="4"/>
        <v>3.8885714285714288</v>
      </c>
      <c r="F8" s="5">
        <f t="shared" si="4"/>
        <v>4.411428571428571</v>
      </c>
      <c r="G8" s="5">
        <f t="shared" si="4"/>
        <v>4.9342857142857142</v>
      </c>
      <c r="H8" s="5">
        <f t="shared" si="4"/>
        <v>5.4571428571428573</v>
      </c>
      <c r="I8" s="39"/>
    </row>
    <row r="9" spans="2:9" ht="15.75" thickBot="1" x14ac:dyDescent="0.3">
      <c r="B9" s="3" t="s">
        <v>13</v>
      </c>
      <c r="C9" s="8">
        <f>(C6-C8)^2</f>
        <v>0.11755102040816365</v>
      </c>
      <c r="D9" s="9">
        <f t="shared" ref="D9:H9" si="5">(D6-D8)^2</f>
        <v>1.8032653061224386E-2</v>
      </c>
      <c r="E9" s="9">
        <f t="shared" si="5"/>
        <v>9.6987755102040787E-2</v>
      </c>
      <c r="F9" s="9">
        <f t="shared" si="5"/>
        <v>7.8448979591837428E-3</v>
      </c>
      <c r="G9" s="9">
        <f t="shared" si="5"/>
        <v>4.3183673469387911E-3</v>
      </c>
      <c r="H9" s="25">
        <f t="shared" si="5"/>
        <v>6.6122448979591825E-2</v>
      </c>
      <c r="I9" s="28">
        <f>SUM(C9:H9)</f>
        <v>0.31085714285714316</v>
      </c>
    </row>
    <row r="11" spans="2:9" ht="15" thickBot="1" x14ac:dyDescent="0.3"/>
    <row r="12" spans="2:9" ht="15" thickBot="1" x14ac:dyDescent="0.3">
      <c r="C12" s="30">
        <f>$I$5</f>
        <v>8.6875</v>
      </c>
      <c r="D12" s="31">
        <f>$I$4</f>
        <v>6.75</v>
      </c>
    </row>
    <row r="13" spans="2:9" ht="15.75" thickBot="1" x14ac:dyDescent="0.3">
      <c r="C13" s="32">
        <f>$I$4</f>
        <v>6.75</v>
      </c>
      <c r="D13" s="33">
        <f>COUNT($C$2:$H$2)</f>
        <v>6</v>
      </c>
      <c r="E13" s="14" t="s">
        <v>7</v>
      </c>
      <c r="F13" s="29">
        <f>MDETERM(C12:D13)</f>
        <v>6.5624999999999982</v>
      </c>
      <c r="H13" s="17" t="s">
        <v>10</v>
      </c>
      <c r="I13" s="15">
        <f>F16/F13</f>
        <v>2.0914285714285707</v>
      </c>
    </row>
    <row r="14" spans="2:9" ht="15" thickBot="1" x14ac:dyDescent="0.3">
      <c r="H14" s="18" t="s">
        <v>11</v>
      </c>
      <c r="I14" s="16">
        <f>F19/F13</f>
        <v>1.797142857142858</v>
      </c>
    </row>
    <row r="15" spans="2:9" x14ac:dyDescent="0.25">
      <c r="C15" s="30">
        <f>$I$7</f>
        <v>30.299999999999997</v>
      </c>
      <c r="D15" s="31">
        <f>$I$4</f>
        <v>6.75</v>
      </c>
    </row>
    <row r="16" spans="2:9" ht="15.75" thickBot="1" x14ac:dyDescent="0.3">
      <c r="C16" s="32">
        <f>$I$6</f>
        <v>24.9</v>
      </c>
      <c r="D16" s="33">
        <f>COUNT($C$2:$H$2)</f>
        <v>6</v>
      </c>
      <c r="E16" s="14" t="s">
        <v>8</v>
      </c>
      <c r="F16" s="29">
        <f>MDETERM(C15:D16)</f>
        <v>13.724999999999991</v>
      </c>
    </row>
    <row r="17" spans="3:6" ht="15" thickBot="1" x14ac:dyDescent="0.3"/>
    <row r="18" spans="3:6" x14ac:dyDescent="0.25">
      <c r="C18" s="30">
        <f>$I$5</f>
        <v>8.6875</v>
      </c>
      <c r="D18" s="31">
        <f>$I$7</f>
        <v>30.299999999999997</v>
      </c>
    </row>
    <row r="19" spans="3:6" ht="15.75" thickBot="1" x14ac:dyDescent="0.3">
      <c r="C19" s="32">
        <f>$I$4</f>
        <v>6.75</v>
      </c>
      <c r="D19" s="33">
        <f>$I$6</f>
        <v>24.9</v>
      </c>
      <c r="E19" s="14" t="s">
        <v>9</v>
      </c>
      <c r="F19" s="29">
        <f>MDETERM(C18:D19)</f>
        <v>11.793750000000003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50C7-7D8B-450C-A626-07DC62DD28B4}">
  <dimension ref="B1:K29"/>
  <sheetViews>
    <sheetView workbookViewId="0">
      <selection activeCell="A38" sqref="A38"/>
    </sheetView>
  </sheetViews>
  <sheetFormatPr defaultRowHeight="14.25" x14ac:dyDescent="0.25"/>
  <cols>
    <col min="1" max="1" width="9.140625" style="1"/>
    <col min="2" max="2" width="14.5703125" style="1" bestFit="1" customWidth="1"/>
    <col min="3" max="16384" width="9.140625" style="1"/>
  </cols>
  <sheetData>
    <row r="1" spans="2:9" ht="15" thickBot="1" x14ac:dyDescent="0.3"/>
    <row r="2" spans="2:9" ht="15.75" thickBot="1" x14ac:dyDescent="0.3">
      <c r="B2" s="2" t="s">
        <v>0</v>
      </c>
      <c r="C2" s="5">
        <v>0.5</v>
      </c>
      <c r="D2" s="6">
        <v>0.75</v>
      </c>
      <c r="E2" s="6">
        <v>1</v>
      </c>
      <c r="F2" s="6">
        <v>1.25</v>
      </c>
      <c r="G2" s="6">
        <v>1.5</v>
      </c>
      <c r="H2" s="7">
        <v>1.75</v>
      </c>
      <c r="I2" s="4"/>
    </row>
    <row r="3" spans="2:9" ht="15.75" thickBot="1" x14ac:dyDescent="0.3">
      <c r="B3" s="3" t="s">
        <v>1</v>
      </c>
      <c r="C3" s="8">
        <v>2.5</v>
      </c>
      <c r="D3" s="9">
        <v>3.5</v>
      </c>
      <c r="E3" s="9">
        <v>4.2</v>
      </c>
      <c r="F3" s="9">
        <v>4.5</v>
      </c>
      <c r="G3" s="9">
        <v>5</v>
      </c>
      <c r="H3" s="10">
        <v>5.2</v>
      </c>
      <c r="I3" s="13" t="s">
        <v>6</v>
      </c>
    </row>
    <row r="4" spans="2:9" ht="15" x14ac:dyDescent="0.25">
      <c r="B4" s="11" t="s">
        <v>2</v>
      </c>
      <c r="C4" s="19">
        <f>C2</f>
        <v>0.5</v>
      </c>
      <c r="D4" s="20">
        <f t="shared" ref="D4:H4" si="0">D2</f>
        <v>0.75</v>
      </c>
      <c r="E4" s="20">
        <f t="shared" si="0"/>
        <v>1</v>
      </c>
      <c r="F4" s="20">
        <f t="shared" si="0"/>
        <v>1.25</v>
      </c>
      <c r="G4" s="20">
        <f t="shared" si="0"/>
        <v>1.5</v>
      </c>
      <c r="H4" s="21">
        <f t="shared" si="0"/>
        <v>1.75</v>
      </c>
      <c r="I4" s="26">
        <f>SUM(C4:H4)</f>
        <v>6.75</v>
      </c>
    </row>
    <row r="5" spans="2:9" ht="15" x14ac:dyDescent="0.25">
      <c r="B5" s="12" t="s">
        <v>3</v>
      </c>
      <c r="C5" s="22">
        <f>C2^2</f>
        <v>0.25</v>
      </c>
      <c r="D5" s="23">
        <f t="shared" ref="D5:H5" si="1">D2^2</f>
        <v>0.5625</v>
      </c>
      <c r="E5" s="23">
        <f t="shared" si="1"/>
        <v>1</v>
      </c>
      <c r="F5" s="23">
        <f t="shared" si="1"/>
        <v>1.5625</v>
      </c>
      <c r="G5" s="23">
        <f t="shared" si="1"/>
        <v>2.25</v>
      </c>
      <c r="H5" s="24">
        <f t="shared" si="1"/>
        <v>3.0625</v>
      </c>
      <c r="I5" s="27">
        <f>SUM(C5:H5)</f>
        <v>8.6875</v>
      </c>
    </row>
    <row r="6" spans="2:9" ht="15" x14ac:dyDescent="0.25">
      <c r="B6" s="12" t="s">
        <v>14</v>
      </c>
      <c r="C6" s="22">
        <f>C4^3</f>
        <v>0.125</v>
      </c>
      <c r="D6" s="22">
        <f t="shared" ref="D6:H6" si="2">D4^3</f>
        <v>0.421875</v>
      </c>
      <c r="E6" s="22">
        <f t="shared" si="2"/>
        <v>1</v>
      </c>
      <c r="F6" s="22">
        <f t="shared" si="2"/>
        <v>1.953125</v>
      </c>
      <c r="G6" s="22">
        <f t="shared" si="2"/>
        <v>3.375</v>
      </c>
      <c r="H6" s="22">
        <f t="shared" si="2"/>
        <v>5.359375</v>
      </c>
      <c r="I6" s="27">
        <f t="shared" ref="I6:I7" si="3">SUM(C6:H6)</f>
        <v>12.234375</v>
      </c>
    </row>
    <row r="7" spans="2:9" ht="15" x14ac:dyDescent="0.25">
      <c r="B7" s="12" t="s">
        <v>15</v>
      </c>
      <c r="C7" s="22">
        <f>C4^4</f>
        <v>6.25E-2</v>
      </c>
      <c r="D7" s="22">
        <f t="shared" ref="D7:H7" si="4">D4^4</f>
        <v>0.31640625</v>
      </c>
      <c r="E7" s="22">
        <f t="shared" si="4"/>
        <v>1</v>
      </c>
      <c r="F7" s="22">
        <f t="shared" si="4"/>
        <v>2.44140625</v>
      </c>
      <c r="G7" s="22">
        <f t="shared" si="4"/>
        <v>5.0625</v>
      </c>
      <c r="H7" s="22">
        <f t="shared" si="4"/>
        <v>9.37890625</v>
      </c>
      <c r="I7" s="27">
        <f t="shared" si="3"/>
        <v>18.26171875</v>
      </c>
    </row>
    <row r="8" spans="2:9" ht="15" x14ac:dyDescent="0.25">
      <c r="B8" s="12" t="s">
        <v>4</v>
      </c>
      <c r="C8" s="22">
        <f>C3</f>
        <v>2.5</v>
      </c>
      <c r="D8" s="23">
        <f t="shared" ref="D8:H8" si="5">D3</f>
        <v>3.5</v>
      </c>
      <c r="E8" s="23">
        <f t="shared" si="5"/>
        <v>4.2</v>
      </c>
      <c r="F8" s="23">
        <f t="shared" si="5"/>
        <v>4.5</v>
      </c>
      <c r="G8" s="23">
        <f t="shared" si="5"/>
        <v>5</v>
      </c>
      <c r="H8" s="24">
        <f t="shared" si="5"/>
        <v>5.2</v>
      </c>
      <c r="I8" s="27">
        <f>SUM(C8:H8)</f>
        <v>24.9</v>
      </c>
    </row>
    <row r="9" spans="2:9" ht="15" x14ac:dyDescent="0.25">
      <c r="B9" s="34" t="s">
        <v>16</v>
      </c>
      <c r="C9" s="35">
        <f>C4*C8</f>
        <v>1.25</v>
      </c>
      <c r="D9" s="36">
        <f>D4*D8</f>
        <v>2.625</v>
      </c>
      <c r="E9" s="36">
        <f>E4*E8</f>
        <v>4.2</v>
      </c>
      <c r="F9" s="36">
        <f>F4*F8</f>
        <v>5.625</v>
      </c>
      <c r="G9" s="36">
        <f>G4*G8</f>
        <v>7.5</v>
      </c>
      <c r="H9" s="37">
        <f>H4*H8</f>
        <v>9.1</v>
      </c>
      <c r="I9" s="38">
        <f>SUM(C9:H9)</f>
        <v>30.299999999999997</v>
      </c>
    </row>
    <row r="10" spans="2:9" ht="15.75" thickBot="1" x14ac:dyDescent="0.3">
      <c r="B10" s="34" t="s">
        <v>17</v>
      </c>
      <c r="C10" s="40">
        <f>C8*C5</f>
        <v>0.625</v>
      </c>
      <c r="D10" s="40">
        <f t="shared" ref="D10:H10" si="6">D8*D5</f>
        <v>1.96875</v>
      </c>
      <c r="E10" s="40">
        <f t="shared" si="6"/>
        <v>4.2</v>
      </c>
      <c r="F10" s="40">
        <f t="shared" si="6"/>
        <v>7.03125</v>
      </c>
      <c r="G10" s="40">
        <f t="shared" si="6"/>
        <v>11.25</v>
      </c>
      <c r="H10" s="40">
        <f t="shared" si="6"/>
        <v>15.925000000000001</v>
      </c>
      <c r="I10" s="38">
        <f>SUM(C10:H10)</f>
        <v>41</v>
      </c>
    </row>
    <row r="11" spans="2:9" ht="15" x14ac:dyDescent="0.25">
      <c r="B11" s="2" t="s">
        <v>12</v>
      </c>
      <c r="C11" s="5">
        <f>$K$17*C4^2+$K$18*C4+$K$19</f>
        <v>2.5571428571428951</v>
      </c>
      <c r="D11" s="5">
        <f t="shared" ref="D11:H11" si="7">$K$17*D4^2+$K$18*D4+$K$19</f>
        <v>3.4228571428571533</v>
      </c>
      <c r="E11" s="5">
        <f t="shared" si="7"/>
        <v>4.1171428571428592</v>
      </c>
      <c r="F11" s="5">
        <f t="shared" si="7"/>
        <v>4.6400000000000139</v>
      </c>
      <c r="G11" s="5">
        <f t="shared" si="7"/>
        <v>4.9914285714286164</v>
      </c>
      <c r="H11" s="5">
        <f t="shared" si="7"/>
        <v>5.1714285714286676</v>
      </c>
      <c r="I11" s="39"/>
    </row>
    <row r="12" spans="2:9" ht="15.75" thickBot="1" x14ac:dyDescent="0.3">
      <c r="B12" s="3" t="s">
        <v>13</v>
      </c>
      <c r="C12" s="8">
        <f>(C3-C11)^2</f>
        <v>3.2653061224533213E-3</v>
      </c>
      <c r="D12" s="8">
        <f t="shared" ref="D12:H12" si="8">(D3-D11)^2</f>
        <v>5.9510204081616612E-3</v>
      </c>
      <c r="E12" s="8">
        <f t="shared" si="8"/>
        <v>6.8653061224486656E-3</v>
      </c>
      <c r="F12" s="8">
        <f t="shared" si="8"/>
        <v>1.9600000000003889E-2</v>
      </c>
      <c r="G12" s="8">
        <f t="shared" si="8"/>
        <v>7.3469387754331083E-5</v>
      </c>
      <c r="H12" s="8">
        <f t="shared" si="8"/>
        <v>8.1632653060675778E-4</v>
      </c>
      <c r="I12" s="28">
        <f>SUM(C12:H12)</f>
        <v>3.6571428571428623E-2</v>
      </c>
    </row>
    <row r="14" spans="2:9" ht="15" thickBot="1" x14ac:dyDescent="0.3"/>
    <row r="15" spans="2:9" x14ac:dyDescent="0.25">
      <c r="C15" s="30">
        <f>$I$7</f>
        <v>18.26171875</v>
      </c>
      <c r="D15" s="41">
        <f>$I$6</f>
        <v>12.234375</v>
      </c>
      <c r="E15" s="31">
        <f>$I$5</f>
        <v>8.6875</v>
      </c>
    </row>
    <row r="16" spans="2:9" ht="15" thickBot="1" x14ac:dyDescent="0.3">
      <c r="C16" s="42">
        <f>$I$6</f>
        <v>12.234375</v>
      </c>
      <c r="D16" s="43">
        <f>$I$5</f>
        <v>8.6875</v>
      </c>
      <c r="E16" s="44">
        <f>$I$4</f>
        <v>6.75</v>
      </c>
    </row>
    <row r="17" spans="3:11" ht="15.75" thickBot="1" x14ac:dyDescent="0.3">
      <c r="C17" s="32">
        <f>$I$5</f>
        <v>8.6875</v>
      </c>
      <c r="D17" s="45">
        <f>$I$4</f>
        <v>6.75</v>
      </c>
      <c r="E17" s="33">
        <f>COUNT($C$2:$H$2)</f>
        <v>6</v>
      </c>
      <c r="G17" s="14" t="s">
        <v>7</v>
      </c>
      <c r="H17" s="29">
        <f>MDETERM(C15:E17)</f>
        <v>0.95703125000003797</v>
      </c>
      <c r="J17" s="46" t="s">
        <v>10</v>
      </c>
      <c r="K17" s="47">
        <f>H21/H17</f>
        <v>-1.3714285714284138</v>
      </c>
    </row>
    <row r="18" spans="3:11" ht="15" thickBot="1" x14ac:dyDescent="0.3">
      <c r="J18" s="48" t="s">
        <v>11</v>
      </c>
      <c r="K18" s="49">
        <f>H25/H17</f>
        <v>5.1771428571425488</v>
      </c>
    </row>
    <row r="19" spans="3:11" ht="15" thickBot="1" x14ac:dyDescent="0.3">
      <c r="C19" s="30">
        <f>$I$10</f>
        <v>41</v>
      </c>
      <c r="D19" s="41">
        <f>$I$6</f>
        <v>12.234375</v>
      </c>
      <c r="E19" s="31">
        <f>$I$5</f>
        <v>8.6875</v>
      </c>
      <c r="J19" s="50" t="s">
        <v>20</v>
      </c>
      <c r="K19" s="51">
        <f>H29/H17</f>
        <v>0.31142857142872427</v>
      </c>
    </row>
    <row r="20" spans="3:11" x14ac:dyDescent="0.25">
      <c r="C20" s="42">
        <f>$I$9</f>
        <v>30.299999999999997</v>
      </c>
      <c r="D20" s="43">
        <f>$I$5</f>
        <v>8.6875</v>
      </c>
      <c r="E20" s="44">
        <f>$I$4</f>
        <v>6.75</v>
      </c>
    </row>
    <row r="21" spans="3:11" ht="15.75" thickBot="1" x14ac:dyDescent="0.3">
      <c r="C21" s="32">
        <f>$I$8</f>
        <v>24.9</v>
      </c>
      <c r="D21" s="45">
        <f>$I$4</f>
        <v>6.75</v>
      </c>
      <c r="E21" s="33">
        <f>COUNT($C$2:$H$2)</f>
        <v>6</v>
      </c>
      <c r="G21" s="14" t="s">
        <v>18</v>
      </c>
      <c r="H21" s="29">
        <f>MDETERM(C19:E21)</f>
        <v>-1.3124999999999012</v>
      </c>
    </row>
    <row r="22" spans="3:11" ht="15" thickBot="1" x14ac:dyDescent="0.3"/>
    <row r="23" spans="3:11" x14ac:dyDescent="0.25">
      <c r="C23" s="30">
        <f>$I$7</f>
        <v>18.26171875</v>
      </c>
      <c r="D23" s="41">
        <f>$I$10</f>
        <v>41</v>
      </c>
      <c r="E23" s="31">
        <f>$I$5</f>
        <v>8.6875</v>
      </c>
    </row>
    <row r="24" spans="3:11" x14ac:dyDescent="0.25">
      <c r="C24" s="42">
        <f>$I$6</f>
        <v>12.234375</v>
      </c>
      <c r="D24" s="43">
        <f>$I$9</f>
        <v>30.299999999999997</v>
      </c>
      <c r="E24" s="44">
        <f>$I$4</f>
        <v>6.75</v>
      </c>
    </row>
    <row r="25" spans="3:11" ht="15.75" thickBot="1" x14ac:dyDescent="0.3">
      <c r="C25" s="32">
        <f>$I$5</f>
        <v>8.6875</v>
      </c>
      <c r="D25" s="45">
        <f>$I$8</f>
        <v>24.9</v>
      </c>
      <c r="E25" s="33">
        <f>COUNT($C$2:$H$2)</f>
        <v>6</v>
      </c>
      <c r="G25" s="14" t="s">
        <v>9</v>
      </c>
      <c r="H25" s="29">
        <f>MDETERM(C23:E25)</f>
        <v>4.9546874999999018</v>
      </c>
    </row>
    <row r="26" spans="3:11" ht="15" thickBot="1" x14ac:dyDescent="0.3"/>
    <row r="27" spans="3:11" x14ac:dyDescent="0.25">
      <c r="C27" s="30">
        <f>$I$7</f>
        <v>18.26171875</v>
      </c>
      <c r="D27" s="41">
        <f>$I$6</f>
        <v>12.234375</v>
      </c>
      <c r="E27" s="31">
        <f>$I$10</f>
        <v>41</v>
      </c>
    </row>
    <row r="28" spans="3:11" x14ac:dyDescent="0.25">
      <c r="C28" s="42">
        <f>$I$6</f>
        <v>12.234375</v>
      </c>
      <c r="D28" s="43">
        <f>$I$5</f>
        <v>8.6875</v>
      </c>
      <c r="E28" s="44">
        <f>$I$9</f>
        <v>30.299999999999997</v>
      </c>
    </row>
    <row r="29" spans="3:11" ht="15.75" thickBot="1" x14ac:dyDescent="0.3">
      <c r="C29" s="32">
        <f>$I$5</f>
        <v>8.6875</v>
      </c>
      <c r="D29" s="45">
        <f>$I$4</f>
        <v>6.75</v>
      </c>
      <c r="E29" s="33">
        <f>$I$8</f>
        <v>24.9</v>
      </c>
      <c r="G29" s="14" t="s">
        <v>19</v>
      </c>
      <c r="H29" s="29">
        <f>MDETERM(C27:E29)</f>
        <v>0.29804687500015808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4516-6B84-4257-826A-B4CFDC047D92}">
  <dimension ref="B1:O19"/>
  <sheetViews>
    <sheetView workbookViewId="0">
      <selection activeCell="M18" sqref="M18"/>
    </sheetView>
  </sheetViews>
  <sheetFormatPr defaultRowHeight="14.25" x14ac:dyDescent="0.25"/>
  <cols>
    <col min="1" max="1" width="9.140625" style="1"/>
    <col min="2" max="2" width="14.5703125" style="1" bestFit="1" customWidth="1"/>
    <col min="3" max="3" width="10.42578125" style="1" bestFit="1" customWidth="1"/>
    <col min="4" max="9" width="9.140625" style="1" customWidth="1"/>
    <col min="10" max="13" width="9.140625" style="1"/>
    <col min="14" max="14" width="21" style="1" bestFit="1" customWidth="1"/>
    <col min="15" max="15" width="30.140625" style="1" bestFit="1" customWidth="1"/>
    <col min="16" max="16384" width="9.140625" style="1"/>
  </cols>
  <sheetData>
    <row r="1" spans="2:15" ht="15" thickBot="1" x14ac:dyDescent="0.3"/>
    <row r="2" spans="2:15" ht="15.75" thickBot="1" x14ac:dyDescent="0.3">
      <c r="B2" s="2" t="s">
        <v>0</v>
      </c>
      <c r="C2" s="5">
        <v>0.5</v>
      </c>
      <c r="D2" s="6">
        <v>0.75</v>
      </c>
      <c r="E2" s="6">
        <v>1</v>
      </c>
      <c r="F2" s="6">
        <v>1.25</v>
      </c>
      <c r="G2" s="6">
        <v>1.5</v>
      </c>
      <c r="H2" s="7">
        <v>1.75</v>
      </c>
      <c r="I2" s="4"/>
    </row>
    <row r="3" spans="2:15" ht="15.75" thickBot="1" x14ac:dyDescent="0.3">
      <c r="B3" s="3" t="s">
        <v>1</v>
      </c>
      <c r="C3" s="8">
        <v>2.5</v>
      </c>
      <c r="D3" s="9">
        <v>3.5</v>
      </c>
      <c r="E3" s="9">
        <v>4.2</v>
      </c>
      <c r="F3" s="9">
        <v>4.5</v>
      </c>
      <c r="G3" s="9">
        <v>5</v>
      </c>
      <c r="H3" s="10">
        <v>5.2</v>
      </c>
      <c r="I3" s="13" t="s">
        <v>6</v>
      </c>
    </row>
    <row r="4" spans="2:15" ht="15" x14ac:dyDescent="0.25">
      <c r="B4" s="11" t="s">
        <v>21</v>
      </c>
      <c r="C4" s="19">
        <f>LN(C2)</f>
        <v>-0.69314718055994529</v>
      </c>
      <c r="D4" s="19">
        <f t="shared" ref="D4:H4" si="0">LN(D2)</f>
        <v>-0.2876820724517809</v>
      </c>
      <c r="E4" s="19">
        <f t="shared" si="0"/>
        <v>0</v>
      </c>
      <c r="F4" s="19">
        <f t="shared" si="0"/>
        <v>0.22314355131420976</v>
      </c>
      <c r="G4" s="19">
        <f t="shared" si="0"/>
        <v>0.40546510810816438</v>
      </c>
      <c r="H4" s="19">
        <f t="shared" si="0"/>
        <v>0.55961578793542266</v>
      </c>
      <c r="I4" s="26">
        <f>SUM(C4:H4)</f>
        <v>0.20739519434607057</v>
      </c>
    </row>
    <row r="5" spans="2:15" ht="15" x14ac:dyDescent="0.25">
      <c r="B5" s="12" t="s">
        <v>22</v>
      </c>
      <c r="C5" s="22">
        <f>C4^2</f>
        <v>0.48045301391820139</v>
      </c>
      <c r="D5" s="22">
        <f t="shared" ref="D5:H5" si="1">D4^2</f>
        <v>8.2760974810151711E-2</v>
      </c>
      <c r="E5" s="22">
        <f t="shared" si="1"/>
        <v>0</v>
      </c>
      <c r="F5" s="22">
        <f t="shared" si="1"/>
        <v>4.9793044493117368E-2</v>
      </c>
      <c r="G5" s="22">
        <f t="shared" si="1"/>
        <v>0.16440195389316542</v>
      </c>
      <c r="H5" s="22">
        <f t="shared" si="1"/>
        <v>0.31316983010658395</v>
      </c>
      <c r="I5" s="27">
        <f>SUM(C5:H5)</f>
        <v>1.0905788172212199</v>
      </c>
    </row>
    <row r="6" spans="2:15" ht="15" x14ac:dyDescent="0.25">
      <c r="B6" s="12" t="s">
        <v>4</v>
      </c>
      <c r="C6" s="22">
        <f>C3</f>
        <v>2.5</v>
      </c>
      <c r="D6" s="23">
        <f t="shared" ref="D6:H6" si="2">D3</f>
        <v>3.5</v>
      </c>
      <c r="E6" s="23">
        <f t="shared" si="2"/>
        <v>4.2</v>
      </c>
      <c r="F6" s="23">
        <f t="shared" si="2"/>
        <v>4.5</v>
      </c>
      <c r="G6" s="23">
        <f t="shared" si="2"/>
        <v>5</v>
      </c>
      <c r="H6" s="24">
        <f t="shared" si="2"/>
        <v>5.2</v>
      </c>
      <c r="I6" s="27">
        <f>SUM(C6:H6)</f>
        <v>24.9</v>
      </c>
    </row>
    <row r="7" spans="2:15" ht="15.75" thickBot="1" x14ac:dyDescent="0.3">
      <c r="B7" s="34" t="s">
        <v>23</v>
      </c>
      <c r="C7" s="35">
        <f>C6*C4</f>
        <v>-1.7328679513998633</v>
      </c>
      <c r="D7" s="35">
        <f t="shared" ref="D7:H7" si="3">D6*D4</f>
        <v>-1.0068872535812332</v>
      </c>
      <c r="E7" s="35">
        <f t="shared" si="3"/>
        <v>0</v>
      </c>
      <c r="F7" s="35">
        <f t="shared" si="3"/>
        <v>1.0041459809139439</v>
      </c>
      <c r="G7" s="35">
        <f t="shared" si="3"/>
        <v>2.0273255405408221</v>
      </c>
      <c r="H7" s="35">
        <f t="shared" si="3"/>
        <v>2.910002097264198</v>
      </c>
      <c r="I7" s="38">
        <f>SUM(C7:H7)</f>
        <v>3.2017184137378676</v>
      </c>
    </row>
    <row r="8" spans="2:15" ht="15.75" thickBot="1" x14ac:dyDescent="0.3">
      <c r="B8" s="2" t="s">
        <v>12</v>
      </c>
      <c r="C8" s="5">
        <f>$I$13*LN(C2)+$I$14</f>
        <v>2.5775603497895712</v>
      </c>
      <c r="D8" s="5">
        <f t="shared" ref="D8:H8" si="4">$I$13*LN(D2)+$I$14</f>
        <v>3.453687850899481</v>
      </c>
      <c r="E8" s="5">
        <f t="shared" si="4"/>
        <v>4.0753102056004966</v>
      </c>
      <c r="F8" s="5">
        <f t="shared" si="4"/>
        <v>4.5574779632995295</v>
      </c>
      <c r="G8" s="5">
        <f t="shared" si="4"/>
        <v>4.9514377067104069</v>
      </c>
      <c r="H8" s="5">
        <f t="shared" si="4"/>
        <v>5.2845259237005138</v>
      </c>
      <c r="I8" s="39"/>
    </row>
    <row r="9" spans="2:15" ht="15.75" thickBot="1" x14ac:dyDescent="0.3">
      <c r="B9" s="3" t="s">
        <v>13</v>
      </c>
      <c r="C9" s="8">
        <f>(C3-C8)^2</f>
        <v>6.0156078594806308E-3</v>
      </c>
      <c r="D9" s="8">
        <f t="shared" ref="D9:H9" si="5">(D3-D8)^2</f>
        <v>2.1448151543086982E-3</v>
      </c>
      <c r="E9" s="8">
        <f t="shared" si="5"/>
        <v>1.554754482739047E-2</v>
      </c>
      <c r="F9" s="8">
        <f t="shared" si="5"/>
        <v>3.3037162650620578E-3</v>
      </c>
      <c r="G9" s="8">
        <f t="shared" si="5"/>
        <v>2.3582963295444544E-3</v>
      </c>
      <c r="H9" s="8">
        <f t="shared" si="5"/>
        <v>7.1446317774250456E-3</v>
      </c>
      <c r="I9" s="28">
        <f>SUM(C9:H9)</f>
        <v>3.6514612213211353E-2</v>
      </c>
      <c r="N9" s="58" t="s">
        <v>25</v>
      </c>
      <c r="O9" s="59" t="s">
        <v>24</v>
      </c>
    </row>
    <row r="10" spans="2:15" x14ac:dyDescent="0.25">
      <c r="N10" s="56" t="s">
        <v>26</v>
      </c>
      <c r="O10" s="57">
        <f>Линейная!I9</f>
        <v>0.31085714285714316</v>
      </c>
    </row>
    <row r="11" spans="2:15" ht="15" thickBot="1" x14ac:dyDescent="0.3">
      <c r="N11" s="52" t="s">
        <v>27</v>
      </c>
      <c r="O11" s="53">
        <f>Параболическая!I12</f>
        <v>3.6571428571428623E-2</v>
      </c>
    </row>
    <row r="12" spans="2:15" ht="15.75" thickBot="1" x14ac:dyDescent="0.3">
      <c r="C12" s="30">
        <f>$I$5</f>
        <v>1.0905788172212199</v>
      </c>
      <c r="D12" s="31">
        <f>$I$4</f>
        <v>0.20739519434607057</v>
      </c>
      <c r="N12" s="55" t="s">
        <v>28</v>
      </c>
      <c r="O12" s="54">
        <f>I9</f>
        <v>3.6514612213211353E-2</v>
      </c>
    </row>
    <row r="13" spans="2:15" ht="15.75" thickBot="1" x14ac:dyDescent="0.3">
      <c r="C13" s="32">
        <f>$I$4</f>
        <v>0.20739519434607057</v>
      </c>
      <c r="D13" s="33">
        <f>COUNT($C$2:$H$2)</f>
        <v>6</v>
      </c>
      <c r="E13" s="14" t="s">
        <v>7</v>
      </c>
      <c r="F13" s="29">
        <f>MDETERM(C12:D13)</f>
        <v>6.5004601366894743</v>
      </c>
      <c r="H13" s="17" t="s">
        <v>10</v>
      </c>
      <c r="I13" s="15">
        <f>F16/F13</f>
        <v>2.1607962894705821</v>
      </c>
    </row>
    <row r="14" spans="2:15" ht="15" thickBot="1" x14ac:dyDescent="0.3">
      <c r="H14" s="18" t="s">
        <v>11</v>
      </c>
      <c r="I14" s="16">
        <f>F19/F13</f>
        <v>4.0753102056004966</v>
      </c>
    </row>
    <row r="15" spans="2:15" x14ac:dyDescent="0.25">
      <c r="C15" s="30">
        <f>$I$7</f>
        <v>3.2017184137378676</v>
      </c>
      <c r="D15" s="31">
        <f>$I$4</f>
        <v>0.20739519434607057</v>
      </c>
    </row>
    <row r="16" spans="2:15" ht="15.75" thickBot="1" x14ac:dyDescent="0.3">
      <c r="C16" s="32">
        <f>$I$6</f>
        <v>24.9</v>
      </c>
      <c r="D16" s="33">
        <f>COUNT($C$2:$H$2)</f>
        <v>6</v>
      </c>
      <c r="E16" s="14" t="s">
        <v>8</v>
      </c>
      <c r="F16" s="29">
        <f>MDETERM(C15:D16)</f>
        <v>14.046170143210048</v>
      </c>
    </row>
    <row r="17" spans="3:6" ht="15" thickBot="1" x14ac:dyDescent="0.3"/>
    <row r="18" spans="3:6" x14ac:dyDescent="0.25">
      <c r="C18" s="30">
        <f>$I$5</f>
        <v>1.0905788172212199</v>
      </c>
      <c r="D18" s="31">
        <f>$I$7</f>
        <v>3.2017184137378676</v>
      </c>
    </row>
    <row r="19" spans="3:6" ht="15.75" thickBot="1" x14ac:dyDescent="0.3">
      <c r="C19" s="32">
        <f>$I$4</f>
        <v>0.20739519434607057</v>
      </c>
      <c r="D19" s="33">
        <f>$I$6</f>
        <v>24.9</v>
      </c>
      <c r="E19" s="14" t="s">
        <v>9</v>
      </c>
      <c r="F19" s="29">
        <f>MDETERM(C18:D19)</f>
        <v>26.491391536149816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Линейная</vt:lpstr>
      <vt:lpstr>Параболическая</vt:lpstr>
      <vt:lpstr>Логарифмическая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2024-11-27T08:38:27Z</dcterms:created>
  <dcterms:modified xsi:type="dcterms:W3CDTF">2024-11-27T10:10:32Z</dcterms:modified>
</cp:coreProperties>
</file>