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une\2021-2022\1 семестр\ЧМ ПМИб-3\"/>
    </mc:Choice>
  </mc:AlternateContent>
  <bookViews>
    <workbookView xWindow="0" yWindow="0" windowWidth="28800" windowHeight="12300"/>
  </bookViews>
  <sheets>
    <sheet name="М-д простой итерации" sheetId="1" r:id="rId1"/>
    <sheet name="М-д Гаусса-Зейделя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2" l="1"/>
  <c r="J12" i="2"/>
  <c r="J6" i="2"/>
  <c r="I6" i="2"/>
  <c r="H6" i="2"/>
  <c r="H17" i="1"/>
  <c r="I15" i="1"/>
  <c r="J12" i="1"/>
  <c r="J9" i="1"/>
  <c r="H7" i="1"/>
  <c r="I7" i="1"/>
  <c r="J7" i="1"/>
  <c r="I8" i="1" s="1"/>
  <c r="H9" i="1" s="1"/>
  <c r="H8" i="1"/>
  <c r="J8" i="1"/>
  <c r="J6" i="1"/>
  <c r="I6" i="1"/>
  <c r="H6" i="1"/>
  <c r="H7" i="2"/>
  <c r="I7" i="2" s="1"/>
  <c r="E16" i="2"/>
  <c r="C16" i="2"/>
  <c r="B16" i="2"/>
  <c r="E15" i="2"/>
  <c r="D15" i="2"/>
  <c r="B15" i="2"/>
  <c r="E14" i="2"/>
  <c r="D14" i="2"/>
  <c r="C14" i="2"/>
  <c r="M6" i="2"/>
  <c r="I10" i="1" l="1"/>
  <c r="I9" i="1"/>
  <c r="H10" i="1" s="1"/>
  <c r="J7" i="2"/>
  <c r="H8" i="2" s="1"/>
  <c r="K7" i="2"/>
  <c r="K6" i="2"/>
  <c r="N6" i="2" s="1"/>
  <c r="O6" i="2" s="1"/>
  <c r="L6" i="2"/>
  <c r="M6" i="1"/>
  <c r="C16" i="1"/>
  <c r="B16" i="1"/>
  <c r="D15" i="1"/>
  <c r="B15" i="1"/>
  <c r="D14" i="1"/>
  <c r="C14" i="1"/>
  <c r="E16" i="1"/>
  <c r="E15" i="1"/>
  <c r="E14" i="1"/>
  <c r="J11" i="1" l="1"/>
  <c r="J10" i="1"/>
  <c r="H11" i="1" s="1"/>
  <c r="I8" i="2"/>
  <c r="J8" i="2"/>
  <c r="M8" i="2" s="1"/>
  <c r="M7" i="2"/>
  <c r="L7" i="2"/>
  <c r="N7" i="2" s="1"/>
  <c r="O7" i="2" s="1"/>
  <c r="K6" i="1"/>
  <c r="M7" i="1"/>
  <c r="I12" i="1" l="1"/>
  <c r="I11" i="1"/>
  <c r="H12" i="1" s="1"/>
  <c r="H9" i="2"/>
  <c r="L8" i="2"/>
  <c r="K8" i="2"/>
  <c r="L7" i="1"/>
  <c r="L6" i="1"/>
  <c r="N6" i="1" s="1"/>
  <c r="O6" i="1" s="1"/>
  <c r="J13" i="1" l="1"/>
  <c r="I13" i="1"/>
  <c r="H14" i="1" s="1"/>
  <c r="H13" i="1"/>
  <c r="I9" i="2"/>
  <c r="K9" i="2"/>
  <c r="N8" i="2"/>
  <c r="O8" i="2" s="1"/>
  <c r="K8" i="1"/>
  <c r="K7" i="1"/>
  <c r="N7" i="1" s="1"/>
  <c r="O7" i="1" s="1"/>
  <c r="M8" i="1"/>
  <c r="I14" i="1" l="1"/>
  <c r="J14" i="1"/>
  <c r="J15" i="1"/>
  <c r="L9" i="2"/>
  <c r="J9" i="2"/>
  <c r="M9" i="2" s="1"/>
  <c r="N9" i="2"/>
  <c r="O9" i="2" s="1"/>
  <c r="M9" i="1"/>
  <c r="L8" i="1"/>
  <c r="N8" i="1" s="1"/>
  <c r="O8" i="1" s="1"/>
  <c r="H16" i="1" l="1"/>
  <c r="H15" i="1"/>
  <c r="H10" i="2"/>
  <c r="K9" i="1"/>
  <c r="L9" i="1"/>
  <c r="I16" i="1" l="1"/>
  <c r="J16" i="1"/>
  <c r="J17" i="1"/>
  <c r="I17" i="1"/>
  <c r="H18" i="1" s="1"/>
  <c r="I10" i="2"/>
  <c r="K10" i="2"/>
  <c r="N9" i="1"/>
  <c r="O9" i="1" s="1"/>
  <c r="L10" i="1"/>
  <c r="M10" i="1"/>
  <c r="K10" i="1"/>
  <c r="M11" i="1"/>
  <c r="I18" i="1" l="1"/>
  <c r="J18" i="1"/>
  <c r="I19" i="1" s="1"/>
  <c r="L10" i="2"/>
  <c r="N10" i="2" s="1"/>
  <c r="O10" i="2" s="1"/>
  <c r="J10" i="2"/>
  <c r="M10" i="2" s="1"/>
  <c r="N10" i="1"/>
  <c r="O10" i="1" s="1"/>
  <c r="K11" i="1"/>
  <c r="L11" i="1"/>
  <c r="H19" i="1" l="1"/>
  <c r="J19" i="1"/>
  <c r="H20" i="1" s="1"/>
  <c r="H11" i="2"/>
  <c r="M12" i="1"/>
  <c r="L12" i="1"/>
  <c r="N11" i="1"/>
  <c r="O11" i="1" s="1"/>
  <c r="K12" i="1"/>
  <c r="M13" i="1"/>
  <c r="I20" i="1" l="1"/>
  <c r="J20" i="1"/>
  <c r="I11" i="2"/>
  <c r="J11" i="2"/>
  <c r="M11" i="2" s="1"/>
  <c r="K11" i="2"/>
  <c r="K13" i="1"/>
  <c r="N12" i="1"/>
  <c r="O12" i="1" s="1"/>
  <c r="L13" i="1"/>
  <c r="H12" i="2" l="1"/>
  <c r="L11" i="2"/>
  <c r="N11" i="2" s="1"/>
  <c r="O11" i="2" s="1"/>
  <c r="M14" i="1"/>
  <c r="L14" i="1"/>
  <c r="K14" i="1"/>
  <c r="M15" i="1"/>
  <c r="N13" i="1"/>
  <c r="O13" i="1" s="1"/>
  <c r="I12" i="2" l="1"/>
  <c r="M12" i="2"/>
  <c r="K12" i="2"/>
  <c r="N14" i="1"/>
  <c r="O14" i="1" s="1"/>
  <c r="K15" i="1"/>
  <c r="L15" i="1"/>
  <c r="H13" i="2" l="1"/>
  <c r="L12" i="2"/>
  <c r="N12" i="2" s="1"/>
  <c r="O12" i="2" s="1"/>
  <c r="N15" i="1"/>
  <c r="O15" i="1" s="1"/>
  <c r="L16" i="1"/>
  <c r="M16" i="1"/>
  <c r="K16" i="1"/>
  <c r="M17" i="1"/>
  <c r="I13" i="2" l="1"/>
  <c r="K13" i="2"/>
  <c r="L17" i="1"/>
  <c r="M18" i="1"/>
  <c r="K17" i="1"/>
  <c r="N16" i="1"/>
  <c r="O16" i="1" s="1"/>
  <c r="N17" i="1" l="1"/>
  <c r="O17" i="1" s="1"/>
  <c r="L13" i="2"/>
  <c r="N13" i="2" s="1"/>
  <c r="O13" i="2" s="1"/>
  <c r="J13" i="2"/>
  <c r="M13" i="2" s="1"/>
  <c r="L18" i="1"/>
  <c r="K18" i="1"/>
  <c r="M19" i="1"/>
  <c r="N18" i="1" l="1"/>
  <c r="O18" i="1" s="1"/>
  <c r="H14" i="2"/>
  <c r="K19" i="1"/>
  <c r="L20" i="1"/>
  <c r="M20" i="1"/>
  <c r="L19" i="1"/>
  <c r="K20" i="1"/>
  <c r="I14" i="2" l="1"/>
  <c r="J14" i="2"/>
  <c r="M14" i="2" s="1"/>
  <c r="K14" i="2"/>
  <c r="N19" i="1"/>
  <c r="O19" i="1" s="1"/>
  <c r="N20" i="1"/>
  <c r="O20" i="1" s="1"/>
  <c r="H15" i="2" l="1"/>
  <c r="L14" i="2"/>
  <c r="N14" i="2" s="1"/>
  <c r="O14" i="2" s="1"/>
  <c r="J15" i="2" l="1"/>
  <c r="M15" i="2" s="1"/>
  <c r="K15" i="2"/>
  <c r="N15" i="2" l="1"/>
  <c r="O15" i="2" s="1"/>
  <c r="H16" i="2"/>
  <c r="L15" i="2"/>
  <c r="I16" i="2" l="1"/>
  <c r="J16" i="2"/>
  <c r="M16" i="2" s="1"/>
  <c r="K16" i="2"/>
  <c r="L16" i="2" l="1"/>
  <c r="N16" i="2" s="1"/>
  <c r="O16" i="2" s="1"/>
</calcChain>
</file>

<file path=xl/sharedStrings.xml><?xml version="1.0" encoding="utf-8"?>
<sst xmlns="http://schemas.openxmlformats.org/spreadsheetml/2006/main" count="20" uniqueCount="10">
  <si>
    <r>
      <rPr>
        <i/>
        <sz val="11"/>
        <color theme="1"/>
        <rFont val="Calibri"/>
        <family val="2"/>
        <charset val="204"/>
        <scheme val="minor"/>
      </rPr>
      <t>а</t>
    </r>
    <r>
      <rPr>
        <i/>
        <vertAlign val="subscript"/>
        <sz val="11"/>
        <color theme="1"/>
        <rFont val="Times New Roman"/>
        <family val="1"/>
        <charset val="204"/>
      </rPr>
      <t>ij</t>
    </r>
  </si>
  <si>
    <r>
      <t>b</t>
    </r>
    <r>
      <rPr>
        <i/>
        <vertAlign val="subscript"/>
        <sz val="11"/>
        <color theme="1"/>
        <rFont val="Times New Roman"/>
        <family val="1"/>
        <charset val="204"/>
      </rPr>
      <t>i</t>
    </r>
  </si>
  <si>
    <t>№ итерации</t>
  </si>
  <si>
    <t>Исходная система уравнений</t>
  </si>
  <si>
    <t>1. Преобразование системы к виду для метода простой итерации</t>
  </si>
  <si>
    <r>
      <t>x</t>
    </r>
    <r>
      <rPr>
        <i/>
        <vertAlign val="subscript"/>
        <sz val="11"/>
        <color theme="1"/>
        <rFont val="Calibri"/>
        <family val="2"/>
        <charset val="204"/>
        <scheme val="minor"/>
      </rPr>
      <t>1</t>
    </r>
    <r>
      <rPr>
        <i/>
        <sz val="11"/>
        <color theme="1"/>
        <rFont val="Calibri"/>
        <family val="2"/>
        <charset val="204"/>
        <scheme val="minor"/>
      </rPr>
      <t>=</t>
    </r>
  </si>
  <si>
    <r>
      <t>x</t>
    </r>
    <r>
      <rPr>
        <i/>
        <vertAlign val="subscript"/>
        <sz val="11"/>
        <color theme="1"/>
        <rFont val="Calibri"/>
        <family val="2"/>
        <charset val="204"/>
        <scheme val="minor"/>
      </rPr>
      <t>2</t>
    </r>
    <r>
      <rPr>
        <i/>
        <sz val="11"/>
        <color theme="1"/>
        <rFont val="Calibri"/>
        <family val="2"/>
        <charset val="204"/>
        <scheme val="minor"/>
      </rPr>
      <t>=</t>
    </r>
  </si>
  <si>
    <r>
      <t>x</t>
    </r>
    <r>
      <rPr>
        <i/>
        <vertAlign val="subscript"/>
        <sz val="11"/>
        <color theme="1"/>
        <rFont val="Calibri"/>
        <family val="2"/>
        <charset val="204"/>
        <scheme val="minor"/>
      </rPr>
      <t>3</t>
    </r>
    <r>
      <rPr>
        <i/>
        <sz val="11"/>
        <color theme="1"/>
        <rFont val="Calibri"/>
        <family val="2"/>
        <charset val="204"/>
        <scheme val="minor"/>
      </rPr>
      <t>=</t>
    </r>
  </si>
  <si>
    <r>
      <rPr>
        <sz val="11"/>
        <color theme="1"/>
        <rFont val="Symbol"/>
        <family val="1"/>
        <charset val="2"/>
      </rPr>
      <t>e</t>
    </r>
    <r>
      <rPr>
        <sz val="11"/>
        <color theme="1"/>
        <rFont val="Calibri"/>
        <family val="2"/>
        <charset val="204"/>
      </rPr>
      <t>=</t>
    </r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</si>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</sst>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i/>
      <vertAlign val="subscript"/>
      <sz val="11"/>
      <color theme="1"/>
      <name val="Calibri"/>
      <family val="2"/>
      <charset val="204"/>
      <scheme val="minor"/>
    </font>
    <font>
      <i/>
      <vertAlign val="subscript"/>
      <sz val="11"/>
      <color theme="1"/>
      <name val="Times New Roman"/>
      <family val="1"/>
      <charset val="204"/>
    </font>
    <font>
      <sz val="11"/>
      <color theme="0" tint="-0.34998626667073579"/>
      <name val="Calibri"/>
      <family val="2"/>
      <charset val="204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2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7" xfId="0" applyFont="1" applyBorder="1" applyAlignment="1">
      <alignment horizontal="justify" vertical="center" wrapText="1"/>
    </xf>
    <xf numFmtId="0" fontId="7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0" fontId="9" fillId="0" borderId="7" xfId="0" applyFont="1" applyBorder="1" applyAlignment="1">
      <alignment horizontal="center" wrapText="1"/>
    </xf>
    <xf numFmtId="0" fontId="8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2" fillId="0" borderId="7" xfId="0" applyFont="1" applyBorder="1" applyAlignment="1">
      <alignment horizontal="center"/>
    </xf>
    <xf numFmtId="0" fontId="1" fillId="0" borderId="7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7" xfId="0" applyFont="1" applyFill="1" applyBorder="1" applyAlignment="1">
      <alignment horizontal="justify" vertical="center" wrapText="1"/>
    </xf>
    <xf numFmtId="0" fontId="0" fillId="3" borderId="7" xfId="0" applyFill="1" applyBorder="1"/>
    <xf numFmtId="0" fontId="10" fillId="0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8" fillId="0" borderId="8" xfId="0" applyFont="1" applyBorder="1" applyAlignment="1">
      <alignment horizontal="center"/>
    </xf>
    <xf numFmtId="0" fontId="10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8" fillId="0" borderId="0" xfId="0" applyFont="1" applyBorder="1" applyAlignment="1">
      <alignment horizontal="center"/>
    </xf>
    <xf numFmtId="0" fontId="10" fillId="0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8" fillId="0" borderId="10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457200</xdr:colOff>
      <xdr:row>2</xdr:row>
      <xdr:rowOff>36255</xdr:rowOff>
    </xdr:from>
    <xdr:to>
      <xdr:col>12</xdr:col>
      <xdr:colOff>200025</xdr:colOff>
      <xdr:row>2</xdr:row>
      <xdr:rowOff>404598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417255"/>
          <a:ext cx="962025" cy="368343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2</xdr:row>
      <xdr:rowOff>51855</xdr:rowOff>
    </xdr:from>
    <xdr:to>
      <xdr:col>8</xdr:col>
      <xdr:colOff>600075</xdr:colOff>
      <xdr:row>2</xdr:row>
      <xdr:rowOff>428562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05450" y="432855"/>
          <a:ext cx="514350" cy="376707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38101</xdr:colOff>
      <xdr:row>2</xdr:row>
      <xdr:rowOff>247649</xdr:rowOff>
    </xdr:from>
    <xdr:to>
      <xdr:col>14</xdr:col>
      <xdr:colOff>1500975</xdr:colOff>
      <xdr:row>3</xdr:row>
      <xdr:rowOff>171339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15426" y="628649"/>
          <a:ext cx="1462874" cy="3523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457200</xdr:colOff>
      <xdr:row>2</xdr:row>
      <xdr:rowOff>36256</xdr:rowOff>
    </xdr:from>
    <xdr:to>
      <xdr:col>12</xdr:col>
      <xdr:colOff>200025</xdr:colOff>
      <xdr:row>2</xdr:row>
      <xdr:rowOff>390526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417256"/>
          <a:ext cx="962025" cy="35427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2</xdr:row>
      <xdr:rowOff>51855</xdr:rowOff>
    </xdr:from>
    <xdr:to>
      <xdr:col>8</xdr:col>
      <xdr:colOff>600075</xdr:colOff>
      <xdr:row>2</xdr:row>
      <xdr:rowOff>400050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05450" y="432855"/>
          <a:ext cx="514350" cy="348195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38101</xdr:colOff>
      <xdr:row>2</xdr:row>
      <xdr:rowOff>247649</xdr:rowOff>
    </xdr:from>
    <xdr:to>
      <xdr:col>14</xdr:col>
      <xdr:colOff>1500975</xdr:colOff>
      <xdr:row>3</xdr:row>
      <xdr:rowOff>161925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15426" y="628649"/>
          <a:ext cx="1462874" cy="342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0"/>
  <sheetViews>
    <sheetView tabSelected="1" workbookViewId="0">
      <selection activeCell="L9" sqref="L9"/>
    </sheetView>
  </sheetViews>
  <sheetFormatPr defaultRowHeight="15" x14ac:dyDescent="0.25"/>
  <cols>
    <col min="1" max="1" width="4.28515625" customWidth="1"/>
    <col min="6" max="6" width="21.5703125" customWidth="1"/>
    <col min="7" max="7" width="9.7109375" customWidth="1"/>
    <col min="15" max="15" width="22.85546875" customWidth="1"/>
  </cols>
  <sheetData>
    <row r="2" spans="1:15" x14ac:dyDescent="0.25">
      <c r="B2" t="s">
        <v>3</v>
      </c>
      <c r="I2" s="13" t="s">
        <v>8</v>
      </c>
      <c r="J2">
        <v>1E-3</v>
      </c>
    </row>
    <row r="3" spans="1:15" ht="33.75" customHeight="1" x14ac:dyDescent="0.25">
      <c r="G3" s="15" t="s">
        <v>2</v>
      </c>
      <c r="H3" s="16"/>
      <c r="I3" s="16"/>
      <c r="J3" s="16"/>
      <c r="K3" s="17"/>
      <c r="L3" s="17"/>
      <c r="M3" s="17"/>
      <c r="N3" s="23" t="s">
        <v>9</v>
      </c>
      <c r="O3" s="23"/>
    </row>
    <row r="4" spans="1:15" ht="15.75" customHeight="1" thickBot="1" x14ac:dyDescent="0.35">
      <c r="A4" s="7" t="s">
        <v>0</v>
      </c>
      <c r="B4" s="9">
        <v>1</v>
      </c>
      <c r="C4" s="9">
        <v>2</v>
      </c>
      <c r="D4" s="9">
        <v>3</v>
      </c>
      <c r="E4" s="11" t="s">
        <v>1</v>
      </c>
      <c r="G4" s="15"/>
      <c r="H4" s="19">
        <v>1</v>
      </c>
      <c r="I4" s="19">
        <v>2</v>
      </c>
      <c r="J4" s="19">
        <v>3</v>
      </c>
      <c r="K4" s="19">
        <v>1</v>
      </c>
      <c r="L4" s="19">
        <v>2</v>
      </c>
      <c r="M4" s="19">
        <v>3</v>
      </c>
      <c r="N4" s="24"/>
      <c r="O4" s="24"/>
    </row>
    <row r="5" spans="1:15" x14ac:dyDescent="0.25">
      <c r="A5" s="10">
        <v>1</v>
      </c>
      <c r="B5" s="1">
        <v>0.15</v>
      </c>
      <c r="C5" s="2">
        <v>-0.45</v>
      </c>
      <c r="D5" s="2">
        <v>-0.2</v>
      </c>
      <c r="E5" s="2">
        <v>1.91</v>
      </c>
      <c r="G5" s="21">
        <v>0</v>
      </c>
      <c r="H5" s="20">
        <v>0</v>
      </c>
      <c r="I5" s="20">
        <v>0</v>
      </c>
      <c r="J5" s="20">
        <v>0</v>
      </c>
      <c r="K5" s="26"/>
      <c r="L5" s="26"/>
      <c r="M5" s="26"/>
      <c r="N5" s="26"/>
      <c r="O5" s="18"/>
    </row>
    <row r="6" spans="1:15" x14ac:dyDescent="0.25">
      <c r="A6" s="10">
        <v>2</v>
      </c>
      <c r="B6" s="3">
        <v>0.3</v>
      </c>
      <c r="C6" s="4">
        <v>0.25</v>
      </c>
      <c r="D6" s="4">
        <v>0.43</v>
      </c>
      <c r="E6" s="4">
        <v>0.32</v>
      </c>
      <c r="G6" s="21">
        <v>1</v>
      </c>
      <c r="H6" s="18">
        <f>$C$14*I5+$D$14*J5+$E$14</f>
        <v>2.541666666666667</v>
      </c>
      <c r="I6" s="18">
        <f>$B$15*H5+$D$15*J5+$E$15</f>
        <v>-4.2444444444444445</v>
      </c>
      <c r="J6" s="18">
        <f>$B$16*H5+$C$16*I5+$E$16</f>
        <v>0.7441860465116279</v>
      </c>
      <c r="K6" s="18">
        <f>ABS(H6-H5)</f>
        <v>2.541666666666667</v>
      </c>
      <c r="L6" s="18">
        <f t="shared" ref="L6:M6" si="0">ABS(I6-I5)</f>
        <v>4.2444444444444445</v>
      </c>
      <c r="M6" s="18">
        <f t="shared" si="0"/>
        <v>0.7441860465116279</v>
      </c>
      <c r="N6" s="18">
        <f>MAX(K6:M6)</f>
        <v>4.2444444444444445</v>
      </c>
      <c r="O6" s="22" t="str">
        <f>IF(N6&lt;$J$2,"Точность достигнута","-")</f>
        <v>-</v>
      </c>
    </row>
    <row r="7" spans="1:15" ht="15.75" thickBot="1" x14ac:dyDescent="0.3">
      <c r="A7" s="10">
        <v>3</v>
      </c>
      <c r="B7" s="5">
        <v>0.72</v>
      </c>
      <c r="C7" s="6">
        <v>-0.35</v>
      </c>
      <c r="D7" s="6">
        <v>-0.25</v>
      </c>
      <c r="E7" s="6">
        <v>1.83</v>
      </c>
      <c r="G7" s="21">
        <v>2</v>
      </c>
      <c r="H7" s="18">
        <f t="shared" ref="H7:H20" si="1">$C$14*I6+$D$14*J6+$E$14</f>
        <v>0.73679299454493252</v>
      </c>
      <c r="I7" s="18">
        <f t="shared" ref="I7:I20" si="2">$B$15*H6+$D$15*J6+$E$15</f>
        <v>-3.7279715762273904</v>
      </c>
      <c r="J7" s="18">
        <f t="shared" ref="J7:J20" si="3">$B$16*H6+$C$16*I6+$E$16</f>
        <v>1.4386304909560723</v>
      </c>
      <c r="K7" s="18">
        <f t="shared" ref="K7:K12" si="4">ABS(H7-H6)</f>
        <v>1.8048736721217344</v>
      </c>
      <c r="L7" s="18">
        <f t="shared" ref="L7:L13" si="5">ABS(I7-I6)</f>
        <v>0.51647286821705407</v>
      </c>
      <c r="M7" s="18">
        <f t="shared" ref="M7:M13" si="6">ABS(J7-J6)</f>
        <v>0.69444444444444442</v>
      </c>
      <c r="N7" s="18">
        <f t="shared" ref="N7:N12" si="7">MAX(K7:M7)</f>
        <v>1.8048736721217344</v>
      </c>
      <c r="O7" s="22" t="str">
        <f t="shared" ref="O7:O20" si="8">IF(N7&lt;$J$2,"Точность достигнута","-")</f>
        <v>-</v>
      </c>
    </row>
    <row r="8" spans="1:15" x14ac:dyDescent="0.25">
      <c r="G8" s="21">
        <v>3</v>
      </c>
      <c r="H8" s="18">
        <f t="shared" si="1"/>
        <v>1.2289827375825439</v>
      </c>
      <c r="I8" s="18">
        <f t="shared" si="2"/>
        <v>-4.6382381089099436</v>
      </c>
      <c r="J8" s="18">
        <f t="shared" si="3"/>
        <v>2.397569757426437</v>
      </c>
      <c r="K8" s="18">
        <f t="shared" si="4"/>
        <v>0.49218974303761143</v>
      </c>
      <c r="L8" s="18">
        <f t="shared" si="5"/>
        <v>0.9102665326825532</v>
      </c>
      <c r="M8" s="18">
        <f t="shared" si="6"/>
        <v>0.95893926647036465</v>
      </c>
      <c r="N8" s="18">
        <f t="shared" si="7"/>
        <v>0.95893926647036465</v>
      </c>
      <c r="O8" s="22" t="str">
        <f t="shared" si="8"/>
        <v>-</v>
      </c>
    </row>
    <row r="9" spans="1:15" x14ac:dyDescent="0.25">
      <c r="A9" t="s">
        <v>4</v>
      </c>
      <c r="G9" s="21">
        <v>4</v>
      </c>
      <c r="H9" s="18">
        <f t="shared" si="1"/>
        <v>1.1194570850529573</v>
      </c>
      <c r="I9" s="18">
        <f t="shared" si="2"/>
        <v>-4.9003700907731247</v>
      </c>
      <c r="J9" s="18">
        <f>$B$16*H8+$C$16*I8+$E$16</f>
        <v>2.5834062929133088</v>
      </c>
      <c r="K9" s="18">
        <f t="shared" si="4"/>
        <v>0.10952565252958668</v>
      </c>
      <c r="L9" s="18">
        <f t="shared" si="5"/>
        <v>0.2621319818631811</v>
      </c>
      <c r="M9" s="18">
        <f t="shared" si="6"/>
        <v>0.18583653548687185</v>
      </c>
      <c r="N9" s="18">
        <f t="shared" si="7"/>
        <v>0.2621319818631811</v>
      </c>
      <c r="O9" s="22" t="str">
        <f t="shared" si="8"/>
        <v>-</v>
      </c>
    </row>
    <row r="10" spans="1:15" x14ac:dyDescent="0.25">
      <c r="B10" s="25">
        <v>0.72</v>
      </c>
      <c r="C10" s="12">
        <v>-0.35</v>
      </c>
      <c r="D10" s="12">
        <v>-0.25</v>
      </c>
      <c r="E10" s="12">
        <v>1.83</v>
      </c>
      <c r="G10" s="21">
        <v>5</v>
      </c>
      <c r="H10" s="18">
        <f t="shared" si="1"/>
        <v>1.0565583909135192</v>
      </c>
      <c r="I10" s="18">
        <f t="shared" si="2"/>
        <v>-5.0194726573882624</v>
      </c>
      <c r="J10" s="18">
        <f t="shared" si="3"/>
        <v>2.8122218539009163</v>
      </c>
      <c r="K10" s="18">
        <f t="shared" si="4"/>
        <v>6.2898694139438049E-2</v>
      </c>
      <c r="L10" s="18">
        <f t="shared" si="5"/>
        <v>0.11910256661513774</v>
      </c>
      <c r="M10" s="18">
        <f t="shared" si="6"/>
        <v>0.22881556098760747</v>
      </c>
      <c r="N10" s="18">
        <f t="shared" si="7"/>
        <v>0.22881556098760747</v>
      </c>
      <c r="O10" s="22" t="str">
        <f t="shared" si="8"/>
        <v>-</v>
      </c>
    </row>
    <row r="11" spans="1:15" x14ac:dyDescent="0.25">
      <c r="B11" s="12">
        <v>0.15</v>
      </c>
      <c r="C11" s="25">
        <v>-0.45</v>
      </c>
      <c r="D11" s="12">
        <v>-0.2</v>
      </c>
      <c r="E11" s="12">
        <v>1.91</v>
      </c>
      <c r="G11" s="21">
        <v>6</v>
      </c>
      <c r="H11" s="18">
        <f t="shared" si="1"/>
        <v>1.0781111574851909</v>
      </c>
      <c r="I11" s="18">
        <f t="shared" si="2"/>
        <v>-5.1421346936514567</v>
      </c>
      <c r="J11" s="18">
        <f t="shared" si="3"/>
        <v>2.9253503420302556</v>
      </c>
      <c r="K11" s="18">
        <f t="shared" si="4"/>
        <v>2.1552766571671711E-2</v>
      </c>
      <c r="L11" s="18">
        <f t="shared" si="5"/>
        <v>0.12266203626319427</v>
      </c>
      <c r="M11" s="18">
        <f t="shared" si="6"/>
        <v>0.11312848812933929</v>
      </c>
      <c r="N11" s="18">
        <f t="shared" si="7"/>
        <v>0.12266203626319427</v>
      </c>
      <c r="O11" s="22" t="str">
        <f t="shared" si="8"/>
        <v>-</v>
      </c>
    </row>
    <row r="12" spans="1:15" x14ac:dyDescent="0.25">
      <c r="B12" s="12">
        <v>0.3</v>
      </c>
      <c r="C12" s="12">
        <v>0.25</v>
      </c>
      <c r="D12" s="25">
        <v>0.43</v>
      </c>
      <c r="E12" s="12">
        <v>0.32</v>
      </c>
      <c r="G12" s="21">
        <v>7</v>
      </c>
      <c r="H12" s="18">
        <f t="shared" si="1"/>
        <v>1.0577645037910475</v>
      </c>
      <c r="I12" s="18">
        <f t="shared" si="2"/>
        <v>-5.1852297661850502</v>
      </c>
      <c r="J12" s="18">
        <f>$B$16*H11+$C$16*I11+$E$16</f>
        <v>2.9816286655053648</v>
      </c>
      <c r="K12" s="18">
        <f t="shared" si="4"/>
        <v>2.0346653694143457E-2</v>
      </c>
      <c r="L12" s="18">
        <f t="shared" si="5"/>
        <v>4.3095072533593459E-2</v>
      </c>
      <c r="M12" s="18">
        <f t="shared" si="6"/>
        <v>5.6278323475109193E-2</v>
      </c>
      <c r="N12" s="18">
        <f t="shared" si="7"/>
        <v>5.6278323475109193E-2</v>
      </c>
      <c r="O12" s="22" t="str">
        <f t="shared" si="8"/>
        <v>-</v>
      </c>
    </row>
    <row r="13" spans="1:15" x14ac:dyDescent="0.25">
      <c r="G13" s="21">
        <v>8</v>
      </c>
      <c r="H13" s="18">
        <f t="shared" si="1"/>
        <v>1.0563565947382969</v>
      </c>
      <c r="I13" s="18">
        <f t="shared" si="2"/>
        <v>-5.2170245722942576</v>
      </c>
      <c r="J13" s="18">
        <f t="shared" si="3"/>
        <v>3.0208792800208104</v>
      </c>
      <c r="K13" s="18">
        <f>ABS(H13-H12)</f>
        <v>1.4079090527505667E-3</v>
      </c>
      <c r="L13" s="18">
        <f t="shared" si="5"/>
        <v>3.1794806109207485E-2</v>
      </c>
      <c r="M13" s="18">
        <f t="shared" si="6"/>
        <v>3.9250614515445648E-2</v>
      </c>
      <c r="N13" s="18">
        <f>MAX(K13:M13)</f>
        <v>3.9250614515445648E-2</v>
      </c>
      <c r="O13" s="22" t="str">
        <f>IF(N13&lt;$J$2,"Точность достигнута","-")</f>
        <v>-</v>
      </c>
    </row>
    <row r="14" spans="1:15" ht="18" x14ac:dyDescent="0.35">
      <c r="A14" s="11" t="s">
        <v>5</v>
      </c>
      <c r="B14" s="8">
        <v>0</v>
      </c>
      <c r="C14" s="8">
        <f>-C10/$B$10</f>
        <v>0.4861111111111111</v>
      </c>
      <c r="D14">
        <f>-D10/$B$10</f>
        <v>0.34722222222222221</v>
      </c>
      <c r="E14">
        <f t="shared" ref="E14" si="9">E10/$B$10</f>
        <v>2.541666666666667</v>
      </c>
      <c r="G14" s="21">
        <v>9</v>
      </c>
      <c r="H14" s="18">
        <f t="shared" si="1"/>
        <v>1.0545294718086287</v>
      </c>
      <c r="I14" s="18">
        <f t="shared" si="2"/>
        <v>-5.2349385928742613</v>
      </c>
      <c r="J14" s="18">
        <f t="shared" si="3"/>
        <v>3.0403468945397103</v>
      </c>
      <c r="K14" s="18">
        <f t="shared" ref="K14:K16" si="10">ABS(H14-H13)</f>
        <v>1.8271229296682456E-3</v>
      </c>
      <c r="L14" s="18">
        <f t="shared" ref="L14:L20" si="11">ABS(I14-I13)</f>
        <v>1.7914020580003687E-2</v>
      </c>
      <c r="M14" s="18">
        <f t="shared" ref="M14:M20" si="12">ABS(J14-J13)</f>
        <v>1.9467614518899889E-2</v>
      </c>
      <c r="N14" s="18">
        <f t="shared" ref="N14:N16" si="13">MAX(K14:M14)</f>
        <v>1.9467614518899889E-2</v>
      </c>
      <c r="O14" s="22" t="str">
        <f t="shared" si="8"/>
        <v>-</v>
      </c>
    </row>
    <row r="15" spans="1:15" ht="18" x14ac:dyDescent="0.35">
      <c r="A15" s="11" t="s">
        <v>6</v>
      </c>
      <c r="B15" s="8">
        <f>-B11/$C$11</f>
        <v>0.33333333333333331</v>
      </c>
      <c r="C15" s="8">
        <v>0</v>
      </c>
      <c r="D15">
        <f>-D11/$C$11</f>
        <v>-0.44444444444444448</v>
      </c>
      <c r="E15">
        <f>E11/$C$11</f>
        <v>-4.2444444444444445</v>
      </c>
      <c r="G15" s="21">
        <v>10</v>
      </c>
      <c r="H15" s="18">
        <f t="shared" si="1"/>
        <v>1.0525808557346337</v>
      </c>
      <c r="I15" s="18">
        <f>$B$15*H14+$D$15*J14+$E$15</f>
        <v>-5.2441999069703282</v>
      </c>
      <c r="J15" s="18">
        <f t="shared" si="3"/>
        <v>3.0520367597115738</v>
      </c>
      <c r="K15" s="18">
        <f t="shared" si="10"/>
        <v>1.9486160739949909E-3</v>
      </c>
      <c r="L15" s="18">
        <f t="shared" si="11"/>
        <v>9.2613140960668972E-3</v>
      </c>
      <c r="M15" s="18">
        <f t="shared" si="12"/>
        <v>1.1689865171863545E-2</v>
      </c>
      <c r="N15" s="18">
        <f t="shared" si="13"/>
        <v>1.1689865171863545E-2</v>
      </c>
      <c r="O15" s="22" t="str">
        <f t="shared" si="8"/>
        <v>-</v>
      </c>
    </row>
    <row r="16" spans="1:15" ht="18" x14ac:dyDescent="0.35">
      <c r="A16" s="11" t="s">
        <v>7</v>
      </c>
      <c r="B16">
        <f>-B12/$D$12</f>
        <v>-0.69767441860465118</v>
      </c>
      <c r="C16">
        <f>-C12/$D$12</f>
        <v>-0.58139534883720934</v>
      </c>
      <c r="D16" s="8">
        <v>0</v>
      </c>
      <c r="E16">
        <f t="shared" ref="E16" si="14">E12/$D$12</f>
        <v>0.7441860465116279</v>
      </c>
      <c r="G16" s="21">
        <v>11</v>
      </c>
      <c r="H16" s="18">
        <f t="shared" si="1"/>
        <v>1.0521378090114981</v>
      </c>
      <c r="I16" s="18">
        <f t="shared" si="2"/>
        <v>-5.2500449412935994</v>
      </c>
      <c r="J16" s="18">
        <f t="shared" si="3"/>
        <v>3.0587807442376556</v>
      </c>
      <c r="K16" s="18">
        <f t="shared" si="10"/>
        <v>4.4304672313555393E-4</v>
      </c>
      <c r="L16" s="18">
        <f t="shared" si="11"/>
        <v>5.8450343232712143E-3</v>
      </c>
      <c r="M16" s="18">
        <f t="shared" si="12"/>
        <v>6.7439845260817144E-3</v>
      </c>
      <c r="N16" s="18">
        <f t="shared" si="13"/>
        <v>6.7439845260817144E-3</v>
      </c>
      <c r="O16" s="22" t="str">
        <f t="shared" si="8"/>
        <v>-</v>
      </c>
    </row>
    <row r="17" spans="1:15" x14ac:dyDescent="0.25">
      <c r="G17" s="21">
        <v>12</v>
      </c>
      <c r="H17" s="18">
        <f>$C$14*I16+$D$14*J16+$E$14</f>
        <v>1.0516381341759085</v>
      </c>
      <c r="I17" s="18">
        <f t="shared" si="2"/>
        <v>-5.2531899499906807</v>
      </c>
      <c r="J17" s="18">
        <f t="shared" si="3"/>
        <v>3.062488122371978</v>
      </c>
      <c r="K17" s="18">
        <f>ABS(H17-H16)</f>
        <v>4.9967483558965853E-4</v>
      </c>
      <c r="L17" s="18">
        <f t="shared" si="11"/>
        <v>3.1450086970812308E-3</v>
      </c>
      <c r="M17" s="18">
        <f t="shared" si="12"/>
        <v>3.7073781343224255E-3</v>
      </c>
      <c r="N17" s="18">
        <f>MAX(K17:M17)</f>
        <v>3.7073781343224255E-3</v>
      </c>
      <c r="O17" s="22" t="str">
        <f>IF(N17&lt;$J$2,"Точность достигнута","-")</f>
        <v>-</v>
      </c>
    </row>
    <row r="18" spans="1:15" x14ac:dyDescent="0.25">
      <c r="A18" s="14"/>
      <c r="G18" s="21">
        <v>13</v>
      </c>
      <c r="H18" s="18">
        <f t="shared" si="1"/>
        <v>1.0513965945781338</v>
      </c>
      <c r="I18" s="18">
        <f t="shared" si="2"/>
        <v>-5.255004231884465</v>
      </c>
      <c r="J18" s="18">
        <f t="shared" si="3"/>
        <v>3.0646652261509248</v>
      </c>
      <c r="K18" s="18">
        <f t="shared" ref="K18:K20" si="15">ABS(H18-H17)</f>
        <v>2.4153959777462042E-4</v>
      </c>
      <c r="L18" s="18">
        <f t="shared" si="11"/>
        <v>1.8142818937842975E-3</v>
      </c>
      <c r="M18" s="18">
        <f t="shared" si="12"/>
        <v>2.177103778946865E-3</v>
      </c>
      <c r="N18" s="18">
        <f t="shared" ref="N18:N20" si="16">MAX(K18:M18)</f>
        <v>2.177103778946865E-3</v>
      </c>
      <c r="O18" s="22" t="str">
        <f t="shared" si="8"/>
        <v>-</v>
      </c>
    </row>
    <row r="19" spans="1:15" x14ac:dyDescent="0.25">
      <c r="G19" s="21">
        <v>14</v>
      </c>
      <c r="H19" s="18">
        <f t="shared" si="1"/>
        <v>1.0512705908030122</v>
      </c>
      <c r="I19" s="18">
        <f t="shared" si="2"/>
        <v>-5.2560523467632558</v>
      </c>
      <c r="J19" s="18">
        <f t="shared" si="3"/>
        <v>3.0658885572038979</v>
      </c>
      <c r="K19" s="18">
        <f t="shared" si="15"/>
        <v>1.260037751216192E-4</v>
      </c>
      <c r="L19" s="18">
        <f t="shared" si="11"/>
        <v>1.0481148787908623E-3</v>
      </c>
      <c r="M19" s="18">
        <f t="shared" si="12"/>
        <v>1.223331052973009E-3</v>
      </c>
      <c r="N19" s="18">
        <f t="shared" si="16"/>
        <v>1.223331052973009E-3</v>
      </c>
      <c r="O19" s="22" t="str">
        <f t="shared" si="8"/>
        <v>-</v>
      </c>
    </row>
    <row r="20" spans="1:15" x14ac:dyDescent="0.25">
      <c r="G20" s="21">
        <v>15</v>
      </c>
      <c r="H20" s="18">
        <f t="shared" si="1"/>
        <v>1.051185858241438</v>
      </c>
      <c r="I20" s="18">
        <f t="shared" si="2"/>
        <v>-5.2566380507118398</v>
      </c>
      <c r="J20" s="18">
        <f t="shared" si="3"/>
        <v>3.0665858359300242</v>
      </c>
      <c r="K20" s="18">
        <f t="shared" si="15"/>
        <v>8.4732561574263343E-5</v>
      </c>
      <c r="L20" s="18">
        <f t="shared" si="11"/>
        <v>5.857039485839266E-4</v>
      </c>
      <c r="M20" s="18">
        <f t="shared" si="12"/>
        <v>6.9727872612634911E-4</v>
      </c>
      <c r="N20" s="18">
        <f t="shared" si="16"/>
        <v>6.9727872612634911E-4</v>
      </c>
      <c r="O20" s="22" t="str">
        <f t="shared" si="8"/>
        <v>Точность достигнута</v>
      </c>
    </row>
  </sheetData>
  <mergeCells count="5">
    <mergeCell ref="H3:J3"/>
    <mergeCell ref="G3:G4"/>
    <mergeCell ref="K3:M3"/>
    <mergeCell ref="N3:N4"/>
    <mergeCell ref="O3:O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0"/>
  <sheetViews>
    <sheetView workbookViewId="0">
      <selection activeCell="N20" sqref="N20"/>
    </sheetView>
  </sheetViews>
  <sheetFormatPr defaultRowHeight="15" x14ac:dyDescent="0.25"/>
  <cols>
    <col min="1" max="1" width="4.28515625" customWidth="1"/>
    <col min="6" max="6" width="21.5703125" customWidth="1"/>
    <col min="7" max="7" width="9.7109375" customWidth="1"/>
    <col min="15" max="15" width="22.85546875" customWidth="1"/>
  </cols>
  <sheetData>
    <row r="2" spans="1:15" x14ac:dyDescent="0.25">
      <c r="B2" t="s">
        <v>3</v>
      </c>
      <c r="I2" s="13" t="s">
        <v>8</v>
      </c>
      <c r="J2">
        <v>1E-3</v>
      </c>
    </row>
    <row r="3" spans="1:15" ht="33.75" customHeight="1" x14ac:dyDescent="0.25">
      <c r="G3" s="15" t="s">
        <v>2</v>
      </c>
      <c r="H3" s="16"/>
      <c r="I3" s="16"/>
      <c r="J3" s="16"/>
      <c r="K3" s="17"/>
      <c r="L3" s="17"/>
      <c r="M3" s="17"/>
      <c r="N3" s="23" t="s">
        <v>9</v>
      </c>
      <c r="O3" s="23"/>
    </row>
    <row r="4" spans="1:15" ht="15.75" customHeight="1" thickBot="1" x14ac:dyDescent="0.35">
      <c r="A4" s="7" t="s">
        <v>0</v>
      </c>
      <c r="B4" s="9">
        <v>1</v>
      </c>
      <c r="C4" s="9">
        <v>2</v>
      </c>
      <c r="D4" s="9">
        <v>3</v>
      </c>
      <c r="E4" s="11" t="s">
        <v>1</v>
      </c>
      <c r="G4" s="15"/>
      <c r="H4" s="19">
        <v>1</v>
      </c>
      <c r="I4" s="19">
        <v>2</v>
      </c>
      <c r="J4" s="19">
        <v>3</v>
      </c>
      <c r="K4" s="19">
        <v>1</v>
      </c>
      <c r="L4" s="19">
        <v>2</v>
      </c>
      <c r="M4" s="19">
        <v>3</v>
      </c>
      <c r="N4" s="24"/>
      <c r="O4" s="24"/>
    </row>
    <row r="5" spans="1:15" x14ac:dyDescent="0.25">
      <c r="A5" s="10">
        <v>1</v>
      </c>
      <c r="B5" s="1">
        <v>0.15</v>
      </c>
      <c r="C5" s="2">
        <v>-0.45</v>
      </c>
      <c r="D5" s="2">
        <v>-0.2</v>
      </c>
      <c r="E5" s="2">
        <v>1.91</v>
      </c>
      <c r="G5" s="21">
        <v>0</v>
      </c>
      <c r="H5" s="20">
        <v>0</v>
      </c>
      <c r="I5" s="20">
        <v>0</v>
      </c>
      <c r="J5" s="20">
        <v>0</v>
      </c>
      <c r="K5" s="26"/>
      <c r="L5" s="26"/>
      <c r="M5" s="26"/>
      <c r="N5" s="26"/>
      <c r="O5" s="18"/>
    </row>
    <row r="6" spans="1:15" x14ac:dyDescent="0.25">
      <c r="A6" s="10">
        <v>2</v>
      </c>
      <c r="B6" s="3">
        <v>0.3</v>
      </c>
      <c r="C6" s="4">
        <v>0.25</v>
      </c>
      <c r="D6" s="4">
        <v>0.43</v>
      </c>
      <c r="E6" s="4">
        <v>0.32</v>
      </c>
      <c r="G6" s="21">
        <v>1</v>
      </c>
      <c r="H6" s="18">
        <f>$C$14*I5+$D$14*J5+$E$14</f>
        <v>2.541666666666667</v>
      </c>
      <c r="I6" s="18">
        <f>$B$15*H6+$D$15*J5+$E$15</f>
        <v>-3.3972222222222221</v>
      </c>
      <c r="J6" s="18">
        <f>$B$16*H6+$C$16*I6+$E$16</f>
        <v>0.94605943152454763</v>
      </c>
      <c r="K6" s="18">
        <f>ABS(H6-H5)</f>
        <v>2.541666666666667</v>
      </c>
      <c r="L6" s="18">
        <f t="shared" ref="L6:M20" si="0">ABS(I6-I5)</f>
        <v>3.3972222222222221</v>
      </c>
      <c r="M6" s="18">
        <f t="shared" si="0"/>
        <v>0.94605943152454763</v>
      </c>
      <c r="N6" s="18">
        <f>MAX(K6:M6)</f>
        <v>3.3972222222222221</v>
      </c>
      <c r="O6" s="22" t="str">
        <f>IF(N6&lt;$J$2,"Точность достигнута","-")</f>
        <v>-</v>
      </c>
    </row>
    <row r="7" spans="1:15" ht="15.75" thickBot="1" x14ac:dyDescent="0.3">
      <c r="A7" s="10">
        <v>3</v>
      </c>
      <c r="B7" s="5">
        <v>0.72</v>
      </c>
      <c r="C7" s="6">
        <v>-0.35</v>
      </c>
      <c r="D7" s="6">
        <v>-0.25</v>
      </c>
      <c r="E7" s="6">
        <v>1.83</v>
      </c>
      <c r="G7" s="21">
        <v>2</v>
      </c>
      <c r="H7" s="18">
        <f t="shared" ref="H7:H20" si="1">$C$14*I6+$D$14*J6+$E$14</f>
        <v>1.2187320556991104</v>
      </c>
      <c r="I7" s="18">
        <f t="shared" ref="I7:I20" si="2">$B$15*H7+$D$15*J6+$E$15</f>
        <v>-4.2586712843334293</v>
      </c>
      <c r="J7" s="18">
        <f t="shared" ref="J7:J20" si="3">$B$16*H7+$C$16*I7+$E$16</f>
        <v>2.3698795450549404</v>
      </c>
      <c r="K7" s="18">
        <f t="shared" ref="K7:K12" si="4">ABS(H7-H6)</f>
        <v>1.3229346109675566</v>
      </c>
      <c r="L7" s="18">
        <f t="shared" si="0"/>
        <v>0.8614490621112072</v>
      </c>
      <c r="M7" s="18">
        <f t="shared" si="0"/>
        <v>1.4238201135303927</v>
      </c>
      <c r="N7" s="18">
        <f t="shared" ref="N7:N12" si="5">MAX(K7:M7)</f>
        <v>1.4238201135303927</v>
      </c>
      <c r="O7" s="22" t="str">
        <f t="shared" ref="O7:O20" si="6">IF(N7&lt;$J$2,"Точность достигнута","-")</f>
        <v>-</v>
      </c>
    </row>
    <row r="8" spans="1:15" x14ac:dyDescent="0.25">
      <c r="G8" s="21">
        <v>3</v>
      </c>
      <c r="H8" s="18">
        <f t="shared" si="1"/>
        <v>1.2943540788153265</v>
      </c>
      <c r="I8" s="18">
        <f t="shared" si="2"/>
        <v>-4.8662728826415318</v>
      </c>
      <c r="J8" s="18">
        <f t="shared" si="3"/>
        <v>2.6703767372460119</v>
      </c>
      <c r="K8" s="18">
        <f t="shared" si="4"/>
        <v>7.562202311621613E-2</v>
      </c>
      <c r="L8" s="18">
        <f t="shared" si="0"/>
        <v>0.60760159830810245</v>
      </c>
      <c r="M8" s="18">
        <f t="shared" si="0"/>
        <v>0.30049719219107152</v>
      </c>
      <c r="N8" s="18">
        <f t="shared" si="5"/>
        <v>0.60760159830810245</v>
      </c>
      <c r="O8" s="22" t="str">
        <f t="shared" si="6"/>
        <v>-</v>
      </c>
    </row>
    <row r="9" spans="1:15" x14ac:dyDescent="0.25">
      <c r="A9" t="s">
        <v>4</v>
      </c>
      <c r="G9" s="21">
        <v>4</v>
      </c>
      <c r="H9" s="18">
        <f t="shared" si="1"/>
        <v>1.1033314935930099</v>
      </c>
      <c r="I9" s="18">
        <f t="shared" si="2"/>
        <v>-5.0635013853561137</v>
      </c>
      <c r="J9" s="18">
        <f t="shared" si="3"/>
        <v>2.9183160424677337</v>
      </c>
      <c r="K9" s="18">
        <f t="shared" si="4"/>
        <v>0.19102258522231663</v>
      </c>
      <c r="L9" s="18">
        <f t="shared" si="0"/>
        <v>0.19722850271458192</v>
      </c>
      <c r="M9" s="18">
        <f t="shared" si="0"/>
        <v>0.24793930522172181</v>
      </c>
      <c r="N9" s="18">
        <f t="shared" si="5"/>
        <v>0.24793930522172181</v>
      </c>
      <c r="O9" s="22" t="str">
        <f t="shared" si="6"/>
        <v>-</v>
      </c>
    </row>
    <row r="10" spans="1:15" x14ac:dyDescent="0.25">
      <c r="B10" s="25">
        <v>0.72</v>
      </c>
      <c r="C10" s="12">
        <v>-0.35</v>
      </c>
      <c r="D10" s="12">
        <v>-0.25</v>
      </c>
      <c r="E10" s="12">
        <v>1.83</v>
      </c>
      <c r="G10" s="21">
        <v>5</v>
      </c>
      <c r="H10" s="18">
        <f t="shared" si="1"/>
        <v>1.0935465635309636</v>
      </c>
      <c r="I10" s="18">
        <f t="shared" si="2"/>
        <v>-5.1769582754753385</v>
      </c>
      <c r="J10" s="18">
        <f t="shared" si="3"/>
        <v>2.9911060460687109</v>
      </c>
      <c r="K10" s="18">
        <f t="shared" si="4"/>
        <v>9.784930062046282E-3</v>
      </c>
      <c r="L10" s="18">
        <f t="shared" si="0"/>
        <v>0.11345689011922477</v>
      </c>
      <c r="M10" s="18">
        <f t="shared" si="0"/>
        <v>7.2790003600977204E-2</v>
      </c>
      <c r="N10" s="18">
        <f t="shared" si="5"/>
        <v>0.11345689011922477</v>
      </c>
      <c r="O10" s="22" t="str">
        <f t="shared" si="6"/>
        <v>-</v>
      </c>
    </row>
    <row r="11" spans="1:15" x14ac:dyDescent="0.25">
      <c r="B11" s="12">
        <v>0.15</v>
      </c>
      <c r="C11" s="25">
        <v>-0.45</v>
      </c>
      <c r="D11" s="12">
        <v>-0.2</v>
      </c>
      <c r="E11" s="12">
        <v>1.91</v>
      </c>
      <c r="G11" s="21">
        <v>6</v>
      </c>
      <c r="H11" s="18">
        <f t="shared" si="1"/>
        <v>1.063668215417791</v>
      </c>
      <c r="I11" s="18">
        <f t="shared" si="2"/>
        <v>-5.2192688375579417</v>
      </c>
      <c r="J11" s="18">
        <f t="shared" si="3"/>
        <v>3.0365505692189494</v>
      </c>
      <c r="K11" s="18">
        <f t="shared" si="4"/>
        <v>2.9878348113172581E-2</v>
      </c>
      <c r="L11" s="18">
        <f t="shared" si="0"/>
        <v>4.2310562082603198E-2</v>
      </c>
      <c r="M11" s="18">
        <f t="shared" si="0"/>
        <v>4.5444523150238503E-2</v>
      </c>
      <c r="N11" s="18">
        <f t="shared" si="5"/>
        <v>4.5444523150238503E-2</v>
      </c>
      <c r="O11" s="22" t="str">
        <f t="shared" si="6"/>
        <v>-</v>
      </c>
    </row>
    <row r="12" spans="1:15" x14ac:dyDescent="0.25">
      <c r="B12" s="12">
        <v>0.3</v>
      </c>
      <c r="C12" s="12">
        <v>0.25</v>
      </c>
      <c r="D12" s="25">
        <v>0.43</v>
      </c>
      <c r="E12" s="12">
        <v>0.32</v>
      </c>
      <c r="G12" s="21">
        <v>7</v>
      </c>
      <c r="H12" s="18">
        <f t="shared" si="1"/>
        <v>1.0588799293881359</v>
      </c>
      <c r="I12" s="18">
        <f t="shared" si="2"/>
        <v>-5.24106249874571</v>
      </c>
      <c r="J12" s="18">
        <f>$B$16*H12+$C$16*I12+$E$16</f>
        <v>3.0525619671395039</v>
      </c>
      <c r="K12" s="18">
        <f t="shared" si="4"/>
        <v>4.7882860296550867E-3</v>
      </c>
      <c r="L12" s="18">
        <f t="shared" si="0"/>
        <v>2.1793661187768265E-2</v>
      </c>
      <c r="M12" s="18">
        <f t="shared" si="0"/>
        <v>1.6011397920554504E-2</v>
      </c>
      <c r="N12" s="18">
        <f t="shared" si="5"/>
        <v>2.1793661187768265E-2</v>
      </c>
      <c r="O12" s="22" t="str">
        <f t="shared" si="6"/>
        <v>-</v>
      </c>
    </row>
    <row r="13" spans="1:15" x14ac:dyDescent="0.25">
      <c r="G13" s="21">
        <v>8</v>
      </c>
      <c r="H13" s="18">
        <f t="shared" si="1"/>
        <v>1.0538453016998302</v>
      </c>
      <c r="I13" s="18">
        <f t="shared" si="2"/>
        <v>-5.2498568848287253</v>
      </c>
      <c r="J13" s="18">
        <f t="shared" si="3"/>
        <v>3.0611875132493775</v>
      </c>
      <c r="K13" s="18">
        <f>ABS(H13-H12)</f>
        <v>5.0346276883057595E-3</v>
      </c>
      <c r="L13" s="18">
        <f t="shared" si="0"/>
        <v>8.7943860830153042E-3</v>
      </c>
      <c r="M13" s="18">
        <f t="shared" si="0"/>
        <v>8.6255461098736497E-3</v>
      </c>
      <c r="N13" s="18">
        <f>MAX(K13:M13)</f>
        <v>8.7943860830153042E-3</v>
      </c>
      <c r="O13" s="22" t="str">
        <f>IF(N13&lt;$J$2,"Точность достигнута","-")</f>
        <v>-</v>
      </c>
    </row>
    <row r="14" spans="1:15" ht="18" x14ac:dyDescent="0.35">
      <c r="A14" s="11" t="s">
        <v>5</v>
      </c>
      <c r="B14" s="8">
        <v>0</v>
      </c>
      <c r="C14" s="8">
        <f>-C10/$B$10</f>
        <v>0.4861111111111111</v>
      </c>
      <c r="D14">
        <f>-D10/$B$10</f>
        <v>0.34722222222222221</v>
      </c>
      <c r="E14">
        <f t="shared" ref="E14" si="7">E10/$B$10</f>
        <v>2.541666666666667</v>
      </c>
      <c r="G14" s="21">
        <v>9</v>
      </c>
      <c r="H14" s="18">
        <f t="shared" si="1"/>
        <v>1.0525652341976259</v>
      </c>
      <c r="I14" s="18">
        <f t="shared" si="2"/>
        <v>-5.2541171500449595</v>
      </c>
      <c r="J14" s="18">
        <f t="shared" si="3"/>
        <v>3.0645574819812844</v>
      </c>
      <c r="K14" s="18">
        <f t="shared" ref="K14:K16" si="8">ABS(H14-H13)</f>
        <v>1.2800675022042185E-3</v>
      </c>
      <c r="L14" s="18">
        <f t="shared" si="0"/>
        <v>4.260265216234238E-3</v>
      </c>
      <c r="M14" s="18">
        <f t="shared" si="0"/>
        <v>3.3699687319068694E-3</v>
      </c>
      <c r="N14" s="18">
        <f t="shared" ref="N14:N16" si="9">MAX(K14:M14)</f>
        <v>4.260265216234238E-3</v>
      </c>
      <c r="O14" s="22" t="str">
        <f t="shared" si="6"/>
        <v>-</v>
      </c>
    </row>
    <row r="15" spans="1:15" ht="18" x14ac:dyDescent="0.35">
      <c r="A15" s="11" t="s">
        <v>6</v>
      </c>
      <c r="B15" s="8">
        <f>-B11/$C$11</f>
        <v>0.33333333333333331</v>
      </c>
      <c r="C15" s="8">
        <v>0</v>
      </c>
      <c r="D15">
        <f>-D11/$C$11</f>
        <v>-0.44444444444444448</v>
      </c>
      <c r="E15">
        <f>E11/$C$11</f>
        <v>-4.2444444444444445</v>
      </c>
      <c r="G15" s="21">
        <v>10</v>
      </c>
      <c r="H15" s="18">
        <f t="shared" si="1"/>
        <v>1.0516643999716466</v>
      </c>
      <c r="I15" s="18">
        <f>$B$15*H15+$D$15*J14+$E$15</f>
        <v>-5.2559151920011331</v>
      </c>
      <c r="J15" s="18">
        <f t="shared" si="3"/>
        <v>3.066231344206487</v>
      </c>
      <c r="K15" s="18">
        <f t="shared" si="8"/>
        <v>9.0083422597930785E-4</v>
      </c>
      <c r="L15" s="18">
        <f t="shared" si="0"/>
        <v>1.7980419561736127E-3</v>
      </c>
      <c r="M15" s="18">
        <f t="shared" si="0"/>
        <v>1.6738622252026047E-3</v>
      </c>
      <c r="N15" s="18">
        <f t="shared" si="9"/>
        <v>1.7980419561736127E-3</v>
      </c>
      <c r="O15" s="22" t="str">
        <f t="shared" si="6"/>
        <v>-</v>
      </c>
    </row>
    <row r="16" spans="1:15" ht="18" x14ac:dyDescent="0.35">
      <c r="A16" s="11" t="s">
        <v>7</v>
      </c>
      <c r="B16">
        <f>-B12/$D$12</f>
        <v>-0.69767441860465118</v>
      </c>
      <c r="C16">
        <f>-C12/$D$12</f>
        <v>-0.58139534883720934</v>
      </c>
      <c r="D16" s="8">
        <v>0</v>
      </c>
      <c r="E16">
        <f t="shared" ref="E16" si="10">E12/$D$12</f>
        <v>0.7441860465116279</v>
      </c>
      <c r="G16" s="27">
        <v>11</v>
      </c>
      <c r="H16" s="28">
        <f t="shared" si="1"/>
        <v>1.0513715539600352</v>
      </c>
      <c r="I16" s="28">
        <f t="shared" si="2"/>
        <v>-5.2567567461050935</v>
      </c>
      <c r="J16" s="28">
        <f t="shared" si="3"/>
        <v>3.0669249310192161</v>
      </c>
      <c r="K16" s="28">
        <f t="shared" si="8"/>
        <v>2.9284601161139179E-4</v>
      </c>
      <c r="L16" s="28">
        <f t="shared" si="0"/>
        <v>8.4155410396036245E-4</v>
      </c>
      <c r="M16" s="28">
        <f t="shared" si="0"/>
        <v>6.9358681272913003E-4</v>
      </c>
      <c r="N16" s="28">
        <f t="shared" si="9"/>
        <v>8.4155410396036245E-4</v>
      </c>
      <c r="O16" s="29" t="str">
        <f t="shared" si="6"/>
        <v>Точность достигнута</v>
      </c>
    </row>
    <row r="17" spans="1:15" x14ac:dyDescent="0.25">
      <c r="G17" s="33"/>
      <c r="H17" s="34"/>
      <c r="I17" s="34"/>
      <c r="J17" s="34"/>
      <c r="K17" s="34"/>
      <c r="L17" s="34"/>
      <c r="M17" s="34"/>
      <c r="N17" s="34"/>
      <c r="O17" s="35"/>
    </row>
    <row r="18" spans="1:15" x14ac:dyDescent="0.25">
      <c r="A18" s="14"/>
      <c r="G18" s="30"/>
      <c r="H18" s="31"/>
      <c r="I18" s="31"/>
      <c r="J18" s="31"/>
      <c r="K18" s="31"/>
      <c r="L18" s="31"/>
      <c r="M18" s="31"/>
      <c r="N18" s="31"/>
      <c r="O18" s="32"/>
    </row>
    <row r="19" spans="1:15" x14ac:dyDescent="0.25">
      <c r="G19" s="30"/>
      <c r="H19" s="31"/>
      <c r="I19" s="31"/>
      <c r="J19" s="31"/>
      <c r="K19" s="31"/>
      <c r="L19" s="31"/>
      <c r="M19" s="31"/>
      <c r="N19" s="31"/>
      <c r="O19" s="32"/>
    </row>
    <row r="20" spans="1:15" x14ac:dyDescent="0.25">
      <c r="G20" s="30"/>
      <c r="H20" s="31"/>
      <c r="I20" s="31"/>
      <c r="J20" s="31"/>
      <c r="K20" s="31"/>
      <c r="L20" s="31"/>
      <c r="M20" s="31"/>
      <c r="N20" s="31"/>
      <c r="O20" s="32"/>
    </row>
  </sheetData>
  <mergeCells count="5">
    <mergeCell ref="G3:G4"/>
    <mergeCell ref="H3:J3"/>
    <mergeCell ref="K3:M3"/>
    <mergeCell ref="N3:N4"/>
    <mergeCell ref="O3:O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М-д простой итерации</vt:lpstr>
      <vt:lpstr>М-д Гаусса-Зейделя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2021-10-19T12:17:59Z</dcterms:created>
  <dcterms:modified xsi:type="dcterms:W3CDTF">2021-10-20T20:29:52Z</dcterms:modified>
</cp:coreProperties>
</file>