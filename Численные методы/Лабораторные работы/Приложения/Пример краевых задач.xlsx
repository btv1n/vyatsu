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990" yWindow="0" windowWidth="19170" windowHeight="9420" activeTab="2"/>
  </bookViews>
  <sheets>
    <sheet name="сетки" sheetId="1" r:id="rId1"/>
    <sheet name="стрельба 1" sheetId="2" r:id="rId2"/>
    <sheet name="стрельба 2" sheetId="3" r:id="rId3"/>
  </sheets>
  <definedNames>
    <definedName name="solver_adj" localSheetId="0" hidden="1">сетки!$B$15:$L$15</definedName>
    <definedName name="solver_adj" localSheetId="1" hidden="1">'стрельба 1'!$B$9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сетки!$M$2:$M$12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1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сетки!$B$27</definedName>
    <definedName name="solver_opt" localSheetId="1" hidden="1">'стрельба 1'!$L$8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2</definedName>
    <definedName name="solver_rhs1" localSheetId="0" hidden="1">сетки!$B$16:$B$26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3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3" l="1"/>
  <c r="B26" i="1"/>
  <c r="B27" i="1"/>
  <c r="B19" i="1"/>
  <c r="M3" i="1"/>
  <c r="D3" i="1"/>
  <c r="D5" i="1"/>
  <c r="C4" i="1"/>
  <c r="B3" i="1"/>
  <c r="J24" i="3" l="1"/>
  <c r="J23" i="3"/>
  <c r="J21" i="3"/>
  <c r="J19" i="3"/>
  <c r="J17" i="3"/>
  <c r="J15" i="3"/>
  <c r="J13" i="3"/>
  <c r="J11" i="3"/>
  <c r="J9" i="3"/>
  <c r="J7" i="3"/>
  <c r="G23" i="3"/>
  <c r="I23" i="3" s="1"/>
  <c r="F23" i="3"/>
  <c r="G21" i="3"/>
  <c r="I21" i="3" s="1"/>
  <c r="F21" i="3"/>
  <c r="G19" i="3"/>
  <c r="I19" i="3" s="1"/>
  <c r="F19" i="3"/>
  <c r="G17" i="3"/>
  <c r="I17" i="3" s="1"/>
  <c r="F17" i="3"/>
  <c r="G15" i="3"/>
  <c r="I15" i="3" s="1"/>
  <c r="F15" i="3"/>
  <c r="A21" i="3"/>
  <c r="B21" i="3"/>
  <c r="C21" i="3"/>
  <c r="E21" i="3" s="1"/>
  <c r="C22" i="3" s="1"/>
  <c r="D21" i="3"/>
  <c r="B22" i="3" s="1"/>
  <c r="A22" i="3"/>
  <c r="A23" i="3"/>
  <c r="A14" i="3"/>
  <c r="B14" i="3"/>
  <c r="B15" i="3" s="1"/>
  <c r="C14" i="3"/>
  <c r="E14" i="3" s="1"/>
  <c r="C15" i="3" s="1"/>
  <c r="D14" i="3"/>
  <c r="A15" i="3"/>
  <c r="A16" i="3" s="1"/>
  <c r="A17" i="3" s="1"/>
  <c r="A18" i="3" s="1"/>
  <c r="A19" i="3" s="1"/>
  <c r="A20" i="3" s="1"/>
  <c r="G5" i="3"/>
  <c r="H5" i="3"/>
  <c r="F5" i="3"/>
  <c r="F7" i="3" s="1"/>
  <c r="I3" i="3"/>
  <c r="E3" i="3"/>
  <c r="H3" i="3"/>
  <c r="C4" i="3"/>
  <c r="D3" i="3"/>
  <c r="B4" i="3"/>
  <c r="A5" i="3"/>
  <c r="A6" i="3" s="1"/>
  <c r="A7" i="3" s="1"/>
  <c r="A8" i="3" s="1"/>
  <c r="A9" i="3" s="1"/>
  <c r="A10" i="3" s="1"/>
  <c r="A11" i="3" s="1"/>
  <c r="A12" i="3" s="1"/>
  <c r="A13" i="3" s="1"/>
  <c r="A4" i="3"/>
  <c r="C4" i="2"/>
  <c r="C3" i="2"/>
  <c r="B17" i="1"/>
  <c r="H23" i="3" l="1"/>
  <c r="H21" i="3"/>
  <c r="H19" i="3"/>
  <c r="H17" i="3"/>
  <c r="H15" i="3"/>
  <c r="D22" i="3"/>
  <c r="B23" i="3" s="1"/>
  <c r="E22" i="3"/>
  <c r="C23" i="3" s="1"/>
  <c r="D15" i="3"/>
  <c r="E15" i="3"/>
  <c r="C16" i="3" s="1"/>
  <c r="B16" i="3"/>
  <c r="E4" i="3"/>
  <c r="C5" i="3" s="1"/>
  <c r="D4" i="3"/>
  <c r="B5" i="3" s="1"/>
  <c r="I5" i="3"/>
  <c r="G7" i="3" s="1"/>
  <c r="B33" i="2"/>
  <c r="B2" i="2"/>
  <c r="C2" i="2" s="1"/>
  <c r="D2" i="2" s="1"/>
  <c r="E2" i="2" s="1"/>
  <c r="F2" i="2" s="1"/>
  <c r="G2" i="2" s="1"/>
  <c r="C15" i="2"/>
  <c r="B14" i="2"/>
  <c r="C16" i="2" s="1"/>
  <c r="D15" i="2" l="1"/>
  <c r="D23" i="3"/>
  <c r="E23" i="3"/>
  <c r="D16" i="3"/>
  <c r="E16" i="3"/>
  <c r="C17" i="3" s="1"/>
  <c r="B17" i="3"/>
  <c r="D5" i="3"/>
  <c r="B6" i="3" s="1"/>
  <c r="E5" i="3"/>
  <c r="C6" i="3" s="1"/>
  <c r="I7" i="3"/>
  <c r="G9" i="3" s="1"/>
  <c r="H7" i="3"/>
  <c r="F9" i="3" s="1"/>
  <c r="D6" i="3"/>
  <c r="B7" i="3" s="1"/>
  <c r="E6" i="3"/>
  <c r="C7" i="3" s="1"/>
  <c r="C14" i="2"/>
  <c r="D14" i="2" s="1"/>
  <c r="E14" i="2" s="1"/>
  <c r="F14" i="2" s="1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D3" i="2"/>
  <c r="D4" i="2"/>
  <c r="D16" i="2"/>
  <c r="D17" i="3" l="1"/>
  <c r="E17" i="3"/>
  <c r="C18" i="3" s="1"/>
  <c r="B18" i="3"/>
  <c r="I9" i="3"/>
  <c r="G11" i="3"/>
  <c r="H9" i="3"/>
  <c r="F11" i="3" s="1"/>
  <c r="D7" i="3"/>
  <c r="E7" i="3"/>
  <c r="C8" i="3" s="1"/>
  <c r="B8" i="3"/>
  <c r="E4" i="2"/>
  <c r="E16" i="2"/>
  <c r="E3" i="2"/>
  <c r="E18" i="3" l="1"/>
  <c r="D18" i="3"/>
  <c r="C19" i="3"/>
  <c r="B19" i="3"/>
  <c r="I11" i="3"/>
  <c r="G13" i="3"/>
  <c r="H11" i="3"/>
  <c r="F13" i="3" s="1"/>
  <c r="D8" i="3"/>
  <c r="B9" i="3" s="1"/>
  <c r="E8" i="3"/>
  <c r="C9" i="3" s="1"/>
  <c r="F3" i="2"/>
  <c r="F4" i="2"/>
  <c r="G4" i="2" s="1"/>
  <c r="E15" i="2"/>
  <c r="F16" i="2" s="1"/>
  <c r="D19" i="3" l="1"/>
  <c r="B20" i="3" s="1"/>
  <c r="E19" i="3"/>
  <c r="C20" i="3" s="1"/>
  <c r="I13" i="3"/>
  <c r="H13" i="3"/>
  <c r="D9" i="3"/>
  <c r="B10" i="3" s="1"/>
  <c r="E9" i="3"/>
  <c r="C10" i="3" s="1"/>
  <c r="G3" i="2"/>
  <c r="F15" i="2"/>
  <c r="G16" i="2" s="1"/>
  <c r="D20" i="3" l="1"/>
  <c r="E20" i="3"/>
  <c r="D10" i="3"/>
  <c r="E10" i="3"/>
  <c r="C11" i="3" s="1"/>
  <c r="B11" i="3"/>
  <c r="G15" i="2"/>
  <c r="H15" i="2" s="1"/>
  <c r="D11" i="3" l="1"/>
  <c r="E11" i="3"/>
  <c r="C12" i="3" s="1"/>
  <c r="B12" i="3"/>
  <c r="H16" i="2"/>
  <c r="I16" i="2" s="1"/>
  <c r="D12" i="3" l="1"/>
  <c r="E12" i="3"/>
  <c r="C13" i="3" s="1"/>
  <c r="B13" i="3"/>
  <c r="I15" i="2"/>
  <c r="J15" i="2" s="1"/>
  <c r="C8" i="2"/>
  <c r="B7" i="2"/>
  <c r="C9" i="2" s="1"/>
  <c r="D9" i="2" s="1"/>
  <c r="B18" i="1"/>
  <c r="B20" i="1"/>
  <c r="B21" i="1"/>
  <c r="B22" i="1"/>
  <c r="B23" i="1"/>
  <c r="B24" i="1"/>
  <c r="B25" i="1"/>
  <c r="B16" i="1"/>
  <c r="M4" i="1"/>
  <c r="M5" i="1"/>
  <c r="M6" i="1"/>
  <c r="M7" i="1"/>
  <c r="M8" i="1"/>
  <c r="M9" i="1"/>
  <c r="M10" i="1"/>
  <c r="M11" i="1"/>
  <c r="L11" i="1"/>
  <c r="K10" i="1"/>
  <c r="J9" i="1"/>
  <c r="I8" i="1"/>
  <c r="H7" i="1"/>
  <c r="G6" i="1"/>
  <c r="F5" i="1"/>
  <c r="E4" i="1"/>
  <c r="J11" i="1"/>
  <c r="I10" i="1"/>
  <c r="H9" i="1"/>
  <c r="G8" i="1"/>
  <c r="F7" i="1"/>
  <c r="E6" i="1"/>
  <c r="D13" i="3" l="1"/>
  <c r="E13" i="3"/>
  <c r="C7" i="2"/>
  <c r="D7" i="2" s="1"/>
  <c r="E7" i="2" s="1"/>
  <c r="F7" i="2" s="1"/>
  <c r="G7" i="2" s="1"/>
  <c r="H7" i="2" s="1"/>
  <c r="I7" i="2" s="1"/>
  <c r="J7" i="2" s="1"/>
  <c r="K7" i="2" s="1"/>
  <c r="L7" i="2" s="1"/>
  <c r="J16" i="2"/>
  <c r="K16" i="2" s="1"/>
  <c r="D8" i="2"/>
  <c r="K15" i="2" l="1"/>
  <c r="L15" i="2" s="1"/>
  <c r="E9" i="2"/>
  <c r="E8" i="2"/>
  <c r="L16" i="2" l="1"/>
  <c r="M16" i="2" s="1"/>
  <c r="F8" i="2"/>
  <c r="F9" i="2"/>
  <c r="G9" i="2" l="1"/>
  <c r="M15" i="2"/>
  <c r="N15" i="2" s="1"/>
  <c r="G8" i="2"/>
  <c r="H9" i="2" l="1"/>
  <c r="H8" i="2"/>
  <c r="N16" i="2"/>
  <c r="O16" i="2" s="1"/>
  <c r="I8" i="2" l="1"/>
  <c r="I9" i="2"/>
  <c r="J8" i="2" s="1"/>
  <c r="O15" i="2"/>
  <c r="P15" i="2" s="1"/>
  <c r="J9" i="2" l="1"/>
  <c r="K9" i="2" s="1"/>
  <c r="P16" i="2"/>
  <c r="Q16" i="2" s="1"/>
  <c r="K8" i="2" l="1"/>
  <c r="L8" i="2" s="1"/>
  <c r="B11" i="2" s="1"/>
  <c r="Q15" i="2"/>
  <c r="R15" i="2" s="1"/>
  <c r="L9" i="2" l="1"/>
  <c r="R16" i="2"/>
  <c r="S16" i="2" s="1"/>
  <c r="S15" i="2" l="1"/>
  <c r="T15" i="2" s="1"/>
  <c r="T16" i="2" l="1"/>
  <c r="U16" i="2" s="1"/>
  <c r="U15" i="2" l="1"/>
  <c r="V15" i="2" s="1"/>
  <c r="B19" i="2" s="1"/>
  <c r="V16" i="2" l="1"/>
</calcChain>
</file>

<file path=xl/sharedStrings.xml><?xml version="1.0" encoding="utf-8"?>
<sst xmlns="http://schemas.openxmlformats.org/spreadsheetml/2006/main" count="49" uniqueCount="26">
  <si>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</si>
  <si>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</si>
  <si>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</si>
  <si>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</si>
  <si>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</si>
  <si>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</si>
  <si>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</si>
  <si>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</si>
  <si>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</si>
  <si>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</si>
  <si>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</si>
  <si>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своб чл</t>
  </si>
  <si>
    <t>i</t>
  </si>
  <si>
    <t>y</t>
  </si>
  <si>
    <t>x</t>
  </si>
  <si>
    <t>h</t>
  </si>
  <si>
    <t>z</t>
  </si>
  <si>
    <t>Погрешность</t>
  </si>
  <si>
    <t>Е=</t>
  </si>
  <si>
    <t>&lt;0,1</t>
  </si>
  <si>
    <t xml:space="preserve">выполняется, поэтому будем расчеты проводить по последней таблице </t>
  </si>
  <si>
    <t xml:space="preserve">не выполняется, поэтому будем уменьшать шаг </t>
  </si>
  <si>
    <t>середина</t>
  </si>
  <si>
    <t>K</t>
  </si>
  <si>
    <t>L</t>
  </si>
  <si>
    <t>h=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</si>
</sst>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/>
    </xf>
    <xf numFmtId="0" fontId="0" fillId="0" borderId="0" xfId="0" applyFill="1"/>
    <xf numFmtId="0" fontId="0" fillId="0" borderId="1" xfId="0" applyBorder="1"/>
    <xf numFmtId="0" fontId="0" fillId="0" borderId="1" xfId="0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1" xfId="0" applyFont="1" applyBorder="1"/>
    <xf numFmtId="0" fontId="1" fillId="0" borderId="0" xfId="0" applyFont="1" applyAlignment="1">
      <alignment horizontal="left"/>
    </xf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6</xdr:col>
      <xdr:colOff>285750</xdr:colOff>
      <xdr:row>0</xdr:row>
      <xdr:rowOff>330848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3876675" cy="330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opLeftCell="A2" workbookViewId="0">
      <selection activeCell="B16" sqref="B16:B25"/>
    </sheetView>
  </sheetViews>
  <sheetFormatPr defaultRowHeight="15" x14ac:dyDescent="0.25"/>
  <sheetData>
    <row r="1" spans="1:13" x14ac:dyDescent="0.25">
      <c r="A1" s="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</row>
    <row r="2" spans="1:13" x14ac:dyDescent="0.25">
      <c r="A2" s="1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1</v>
      </c>
    </row>
    <row r="3" spans="1:13" x14ac:dyDescent="0.25">
      <c r="A3" s="1">
        <v>1</v>
      </c>
      <c r="B3">
        <f>1-0.01*A3</f>
        <v>0.99</v>
      </c>
      <c r="C3">
        <v>-2.02</v>
      </c>
      <c r="D3">
        <f>1+0.01*A3</f>
        <v>1.01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f>0.0002*A3*A3</f>
        <v>2.0000000000000001E-4</v>
      </c>
    </row>
    <row r="4" spans="1:13" x14ac:dyDescent="0.25">
      <c r="A4" s="1">
        <v>2</v>
      </c>
      <c r="B4">
        <v>0</v>
      </c>
      <c r="C4">
        <f>1-0.01*A4</f>
        <v>0.98</v>
      </c>
      <c r="D4">
        <v>-2.02</v>
      </c>
      <c r="E4">
        <f>1+0.01*A4</f>
        <v>1.02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f t="shared" ref="M4:M11" si="0">0.0002*A4*A4</f>
        <v>8.0000000000000004E-4</v>
      </c>
    </row>
    <row r="5" spans="1:13" x14ac:dyDescent="0.25">
      <c r="A5" s="1">
        <v>3</v>
      </c>
      <c r="B5">
        <v>0</v>
      </c>
      <c r="C5">
        <v>0</v>
      </c>
      <c r="D5">
        <f>1-0.01*A5</f>
        <v>0.97</v>
      </c>
      <c r="E5">
        <v>-2.02</v>
      </c>
      <c r="F5">
        <f>1+0.01*A5</f>
        <v>1.03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f t="shared" si="0"/>
        <v>1.8000000000000002E-3</v>
      </c>
    </row>
    <row r="6" spans="1:13" x14ac:dyDescent="0.25">
      <c r="A6" s="1">
        <v>4</v>
      </c>
      <c r="B6">
        <v>0</v>
      </c>
      <c r="C6">
        <v>0</v>
      </c>
      <c r="D6">
        <v>0</v>
      </c>
      <c r="E6">
        <f>1-0.01*A6</f>
        <v>0.96</v>
      </c>
      <c r="F6">
        <v>-2.02</v>
      </c>
      <c r="G6">
        <f>1+0.01*A6</f>
        <v>1.04</v>
      </c>
      <c r="H6">
        <v>0</v>
      </c>
      <c r="I6">
        <v>0</v>
      </c>
      <c r="J6">
        <v>0</v>
      </c>
      <c r="K6">
        <v>0</v>
      </c>
      <c r="L6">
        <v>0</v>
      </c>
      <c r="M6" s="1">
        <f t="shared" si="0"/>
        <v>3.2000000000000002E-3</v>
      </c>
    </row>
    <row r="7" spans="1:13" x14ac:dyDescent="0.25">
      <c r="A7" s="1">
        <v>5</v>
      </c>
      <c r="B7">
        <v>0</v>
      </c>
      <c r="C7">
        <v>0</v>
      </c>
      <c r="D7">
        <v>0</v>
      </c>
      <c r="E7">
        <v>0</v>
      </c>
      <c r="F7">
        <f>1-0.01*A7</f>
        <v>0.95</v>
      </c>
      <c r="G7">
        <v>-2.02</v>
      </c>
      <c r="H7">
        <f>1+0.01*A7</f>
        <v>1.05</v>
      </c>
      <c r="I7">
        <v>0</v>
      </c>
      <c r="J7">
        <v>0</v>
      </c>
      <c r="K7">
        <v>0</v>
      </c>
      <c r="L7">
        <v>0</v>
      </c>
      <c r="M7" s="1">
        <f t="shared" si="0"/>
        <v>5.0000000000000001E-3</v>
      </c>
    </row>
    <row r="8" spans="1:13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f>1-0.01*A8</f>
        <v>0.94</v>
      </c>
      <c r="H8">
        <v>-2.02</v>
      </c>
      <c r="I8">
        <f>1+0.01*A8</f>
        <v>1.06</v>
      </c>
      <c r="J8">
        <v>0</v>
      </c>
      <c r="K8">
        <v>0</v>
      </c>
      <c r="L8">
        <v>0</v>
      </c>
      <c r="M8" s="1">
        <f t="shared" si="0"/>
        <v>7.2000000000000007E-3</v>
      </c>
    </row>
    <row r="9" spans="1:13" x14ac:dyDescent="0.25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f>1-0.01*A9</f>
        <v>0.92999999999999994</v>
      </c>
      <c r="I9">
        <v>-2.02</v>
      </c>
      <c r="J9">
        <f>1+0.01*A9</f>
        <v>1.07</v>
      </c>
      <c r="K9">
        <v>0</v>
      </c>
      <c r="L9">
        <v>0</v>
      </c>
      <c r="M9" s="1">
        <f t="shared" si="0"/>
        <v>9.7999999999999997E-3</v>
      </c>
    </row>
    <row r="10" spans="1:13" x14ac:dyDescent="0.25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1-0.01*A10</f>
        <v>0.92</v>
      </c>
      <c r="J10">
        <v>-2.02</v>
      </c>
      <c r="K10">
        <f>1+0.01*A10</f>
        <v>1.08</v>
      </c>
      <c r="L10">
        <v>0</v>
      </c>
      <c r="M10" s="1">
        <f t="shared" si="0"/>
        <v>1.2800000000000001E-2</v>
      </c>
    </row>
    <row r="11" spans="1:13" x14ac:dyDescent="0.25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>1-0.01*A11</f>
        <v>0.91</v>
      </c>
      <c r="K11">
        <v>-2.02</v>
      </c>
      <c r="L11">
        <f>1+0.01*A11</f>
        <v>1.0900000000000001</v>
      </c>
      <c r="M11" s="1">
        <f t="shared" si="0"/>
        <v>1.6200000000000003E-2</v>
      </c>
    </row>
    <row r="12" spans="1:13" x14ac:dyDescent="0.25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0</v>
      </c>
    </row>
    <row r="14" spans="1:13" x14ac:dyDescent="0.25">
      <c r="A14" s="2" t="s">
        <v>14</v>
      </c>
      <c r="B14" s="2">
        <v>0</v>
      </c>
      <c r="C14" s="2">
        <v>0.1</v>
      </c>
      <c r="D14" s="2">
        <v>0.2</v>
      </c>
      <c r="E14" s="2">
        <v>0.3</v>
      </c>
      <c r="F14" s="2">
        <v>0.4</v>
      </c>
      <c r="G14" s="2">
        <v>0.5</v>
      </c>
      <c r="H14" s="2">
        <v>0.6</v>
      </c>
      <c r="I14" s="2">
        <v>0.7</v>
      </c>
      <c r="J14" s="2">
        <v>0.8</v>
      </c>
      <c r="K14" s="2">
        <v>0.9</v>
      </c>
      <c r="L14" s="2">
        <v>1</v>
      </c>
    </row>
    <row r="15" spans="1:13" x14ac:dyDescent="0.25">
      <c r="A15" s="2" t="s">
        <v>13</v>
      </c>
      <c r="B15" s="2">
        <v>1</v>
      </c>
      <c r="C15" s="2">
        <v>0.80999999999994099</v>
      </c>
      <c r="D15" s="2">
        <v>0.639999999999881</v>
      </c>
      <c r="E15" s="2">
        <v>0.48999999999982208</v>
      </c>
      <c r="F15" s="2">
        <v>0.3599999999998495</v>
      </c>
      <c r="G15" s="2">
        <v>0.24999999999987196</v>
      </c>
      <c r="H15" s="2">
        <v>0.15999999999988992</v>
      </c>
      <c r="I15" s="2">
        <v>8.9999999999934771E-2</v>
      </c>
      <c r="J15" s="2">
        <v>3.9999999999961122E-2</v>
      </c>
      <c r="K15" s="2">
        <v>9.9999999999828386E-3</v>
      </c>
      <c r="L15" s="2">
        <v>0</v>
      </c>
    </row>
    <row r="16" spans="1:13" x14ac:dyDescent="0.25">
      <c r="B16">
        <f>SUMPRODUCT(B2:L2,$B$15:$L$15)</f>
        <v>1</v>
      </c>
    </row>
    <row r="17" spans="2:2" x14ac:dyDescent="0.25">
      <c r="B17">
        <f>SUMPRODUCT(B3:L3,$B$15:$L$15)</f>
        <v>1.9999999999897877E-4</v>
      </c>
    </row>
    <row r="18" spans="2:2" x14ac:dyDescent="0.25">
      <c r="B18">
        <f t="shared" ref="B18:B25" si="1">SUMPRODUCT(B4:L4,$B$15:$L$15)</f>
        <v>8.0000000000091109E-4</v>
      </c>
    </row>
    <row r="19" spans="2:2" x14ac:dyDescent="0.25">
      <c r="B19">
        <f>SUMPRODUCT(B5:L5,$B$15:$L$15)</f>
        <v>1.8000000000888972E-3</v>
      </c>
    </row>
    <row r="20" spans="2:2" x14ac:dyDescent="0.25">
      <c r="B20">
        <f t="shared" si="1"/>
        <v>3.2000000000000361E-3</v>
      </c>
    </row>
    <row r="21" spans="2:2" x14ac:dyDescent="0.25">
      <c r="B21">
        <f t="shared" si="1"/>
        <v>5.0000000000001432E-3</v>
      </c>
    </row>
    <row r="22" spans="2:2" x14ac:dyDescent="0.25">
      <c r="B22">
        <f t="shared" si="1"/>
        <v>7.2000000000328329E-3</v>
      </c>
    </row>
    <row r="23" spans="2:2" x14ac:dyDescent="0.25">
      <c r="B23">
        <f t="shared" si="1"/>
        <v>9.7999999999877976E-3</v>
      </c>
    </row>
    <row r="24" spans="2:2" x14ac:dyDescent="0.25">
      <c r="B24">
        <f t="shared" si="1"/>
        <v>1.2799999999999995E-2</v>
      </c>
    </row>
    <row r="25" spans="2:2" x14ac:dyDescent="0.25">
      <c r="B25">
        <f t="shared" si="1"/>
        <v>1.6199999999999288E-2</v>
      </c>
    </row>
    <row r="26" spans="2:2" x14ac:dyDescent="0.25">
      <c r="B26">
        <f>SUMPRODUCT(B12:L12,$B$15:$L$15)</f>
        <v>0</v>
      </c>
    </row>
    <row r="27" spans="2:2" x14ac:dyDescent="0.25">
      <c r="B27" s="2">
        <f>SUM(B16:B26)</f>
        <v>1.0570000000001087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opLeftCell="A3" zoomScale="85" zoomScaleNormal="85" workbookViewId="0">
      <selection activeCell="V15" sqref="V15"/>
    </sheetView>
  </sheetViews>
  <sheetFormatPr defaultRowHeight="15" x14ac:dyDescent="0.25"/>
  <sheetData>
    <row r="1" spans="1:22" x14ac:dyDescent="0.25">
      <c r="A1" t="s">
        <v>15</v>
      </c>
      <c r="B1">
        <v>0.2</v>
      </c>
    </row>
    <row r="2" spans="1:22" x14ac:dyDescent="0.25">
      <c r="A2" s="5" t="s">
        <v>14</v>
      </c>
      <c r="B2" s="5">
        <f>0</f>
        <v>0</v>
      </c>
      <c r="C2" s="5">
        <f>B2+$B$1</f>
        <v>0.2</v>
      </c>
      <c r="D2" s="5">
        <f t="shared" ref="D2:G2" si="0">C2+$B$1</f>
        <v>0.4</v>
      </c>
      <c r="E2" s="5">
        <f t="shared" si="0"/>
        <v>0.60000000000000009</v>
      </c>
      <c r="F2" s="5">
        <f t="shared" si="0"/>
        <v>0.8</v>
      </c>
      <c r="G2" s="5">
        <f t="shared" si="0"/>
        <v>1</v>
      </c>
    </row>
    <row r="3" spans="1:22" x14ac:dyDescent="0.25">
      <c r="A3" s="5" t="s">
        <v>13</v>
      </c>
      <c r="B3" s="5">
        <v>1</v>
      </c>
      <c r="C3" s="5">
        <f>B3+$B$1*B4</f>
        <v>1.6</v>
      </c>
      <c r="D3" s="5">
        <f t="shared" ref="D3:G3" si="1">C3+$B$1*C4</f>
        <v>2.2800000000000002</v>
      </c>
      <c r="E3" s="5">
        <f t="shared" si="1"/>
        <v>3.0368000000000004</v>
      </c>
      <c r="F3" s="5">
        <f t="shared" si="1"/>
        <v>3.8677120000000005</v>
      </c>
      <c r="G3" s="5">
        <f t="shared" si="1"/>
        <v>4.7709491200000009</v>
      </c>
    </row>
    <row r="4" spans="1:22" x14ac:dyDescent="0.25">
      <c r="A4" s="5" t="s">
        <v>16</v>
      </c>
      <c r="B4" s="6">
        <v>3</v>
      </c>
      <c r="C4" s="5">
        <f>B4+$B$1*(-2*B2*B4+2*B3+2*B2*B2)</f>
        <v>3.4</v>
      </c>
      <c r="D4" s="5">
        <f t="shared" ref="D4:G4" si="2">C4+$B$1*(-2*C2*C4+2*C3+2*C2*C2)</f>
        <v>3.7839999999999998</v>
      </c>
      <c r="E4" s="5">
        <f t="shared" si="2"/>
        <v>4.15456</v>
      </c>
      <c r="F4" s="5">
        <f t="shared" si="2"/>
        <v>4.5161856</v>
      </c>
      <c r="G4" s="5">
        <f t="shared" si="2"/>
        <v>4.8740910080000006</v>
      </c>
    </row>
    <row r="5" spans="1:22" x14ac:dyDescent="0.25">
      <c r="B5" s="4"/>
    </row>
    <row r="6" spans="1:22" x14ac:dyDescent="0.25">
      <c r="A6" t="s">
        <v>15</v>
      </c>
      <c r="B6">
        <v>0.1</v>
      </c>
    </row>
    <row r="7" spans="1:22" x14ac:dyDescent="0.25">
      <c r="A7" s="5" t="s">
        <v>14</v>
      </c>
      <c r="B7" s="5">
        <f>0</f>
        <v>0</v>
      </c>
      <c r="C7" s="5">
        <f>B7+$B$6</f>
        <v>0.1</v>
      </c>
      <c r="D7" s="5">
        <f t="shared" ref="D7:L7" si="3">C7+$B$6</f>
        <v>0.2</v>
      </c>
      <c r="E7" s="5">
        <f t="shared" si="3"/>
        <v>0.30000000000000004</v>
      </c>
      <c r="F7" s="5">
        <f t="shared" si="3"/>
        <v>0.4</v>
      </c>
      <c r="G7" s="5">
        <f t="shared" si="3"/>
        <v>0.5</v>
      </c>
      <c r="H7" s="5">
        <f t="shared" si="3"/>
        <v>0.6</v>
      </c>
      <c r="I7" s="5">
        <f>H7+$B$6</f>
        <v>0.7</v>
      </c>
      <c r="J7" s="5">
        <f t="shared" si="3"/>
        <v>0.79999999999999993</v>
      </c>
      <c r="K7" s="5">
        <f>J7+$B$6</f>
        <v>0.89999999999999991</v>
      </c>
      <c r="L7" s="5">
        <f t="shared" si="3"/>
        <v>0.99999999999999989</v>
      </c>
    </row>
    <row r="8" spans="1:22" x14ac:dyDescent="0.25">
      <c r="A8" s="5" t="s">
        <v>13</v>
      </c>
      <c r="B8" s="5">
        <v>1</v>
      </c>
      <c r="C8" s="5">
        <f>B8+$B$6*B9</f>
        <v>0.77500000000000002</v>
      </c>
      <c r="D8" s="5">
        <f t="shared" ref="D8:L8" si="4">C8+$B$6*C9</f>
        <v>0.57000000000000006</v>
      </c>
      <c r="E8" s="5">
        <f t="shared" si="4"/>
        <v>0.38480000000000003</v>
      </c>
      <c r="F8" s="5">
        <f t="shared" si="4"/>
        <v>0.21920800000000004</v>
      </c>
      <c r="G8" s="5">
        <f t="shared" si="4"/>
        <v>7.304752000000006E-2</v>
      </c>
      <c r="H8" s="5">
        <f t="shared" si="4"/>
        <v>-5.3835961599999899E-2</v>
      </c>
      <c r="I8" s="5">
        <f t="shared" si="4"/>
        <v>-0.16157014463999986</v>
      </c>
      <c r="J8" s="5">
        <f t="shared" si="4"/>
        <v>-0.25025294494719985</v>
      </c>
      <c r="K8" s="5">
        <f t="shared" si="4"/>
        <v>-0.31995155610419179</v>
      </c>
      <c r="L8" s="5">
        <f t="shared" si="4"/>
        <v>-0.37070344837500901</v>
      </c>
    </row>
    <row r="9" spans="1:22" x14ac:dyDescent="0.25">
      <c r="A9" s="5" t="s">
        <v>16</v>
      </c>
      <c r="B9" s="6">
        <v>-2.25</v>
      </c>
      <c r="C9" s="5">
        <f>B9+$B$6*(-2*B7*B9+2*B8+2*B7*B7)</f>
        <v>-2.0499999999999998</v>
      </c>
      <c r="D9" s="5">
        <f>C9+$B$6*(-2*C7*C9+2*C8+2*C7*C7)</f>
        <v>-1.8519999999999999</v>
      </c>
      <c r="E9" s="5">
        <f t="shared" ref="E9:L9" si="5">D9+$B$6*(-2*D7*D9+2*D8+2*D7*D7)</f>
        <v>-1.6559199999999998</v>
      </c>
      <c r="F9" s="5">
        <f t="shared" si="5"/>
        <v>-1.4616047999999997</v>
      </c>
      <c r="G9" s="5">
        <f t="shared" si="5"/>
        <v>-1.2688348159999996</v>
      </c>
      <c r="H9" s="5">
        <f t="shared" si="5"/>
        <v>-1.0773418303999995</v>
      </c>
      <c r="I9" s="5">
        <f t="shared" si="5"/>
        <v>-0.8868280030719996</v>
      </c>
      <c r="J9" s="5">
        <f t="shared" si="5"/>
        <v>-0.69698611156991963</v>
      </c>
      <c r="K9" s="5">
        <f t="shared" si="5"/>
        <v>-0.50751892270817245</v>
      </c>
      <c r="L9" s="5">
        <f t="shared" si="5"/>
        <v>-0.31815582784153984</v>
      </c>
    </row>
    <row r="10" spans="1:22" x14ac:dyDescent="0.25">
      <c r="A10" t="s">
        <v>17</v>
      </c>
    </row>
    <row r="11" spans="1:22" x14ac:dyDescent="0.25">
      <c r="A11" s="3" t="s">
        <v>18</v>
      </c>
      <c r="B11">
        <f>ABS(G3-L8)</f>
        <v>5.1416525683750098</v>
      </c>
      <c r="C11" t="s">
        <v>19</v>
      </c>
      <c r="D11" t="s">
        <v>21</v>
      </c>
    </row>
    <row r="12" spans="1:22" x14ac:dyDescent="0.25">
      <c r="A12" s="3"/>
    </row>
    <row r="13" spans="1:22" x14ac:dyDescent="0.25">
      <c r="A13" t="s">
        <v>15</v>
      </c>
      <c r="B13">
        <v>0.05</v>
      </c>
    </row>
    <row r="14" spans="1:22" x14ac:dyDescent="0.25">
      <c r="A14" t="s">
        <v>14</v>
      </c>
      <c r="B14">
        <f>0</f>
        <v>0</v>
      </c>
      <c r="C14">
        <f>B14+$B$13</f>
        <v>0.05</v>
      </c>
      <c r="D14">
        <f t="shared" ref="D14:F14" si="6">C14+$B$13</f>
        <v>0.1</v>
      </c>
      <c r="E14">
        <f t="shared" si="6"/>
        <v>0.15000000000000002</v>
      </c>
      <c r="F14">
        <f t="shared" si="6"/>
        <v>0.2</v>
      </c>
      <c r="G14">
        <f>F14+$B$13</f>
        <v>0.25</v>
      </c>
      <c r="H14">
        <f t="shared" ref="H14:U14" si="7">G14+$B$13</f>
        <v>0.3</v>
      </c>
      <c r="I14">
        <f t="shared" si="7"/>
        <v>0.35</v>
      </c>
      <c r="J14">
        <f t="shared" si="7"/>
        <v>0.39999999999999997</v>
      </c>
      <c r="K14">
        <f t="shared" si="7"/>
        <v>0.44999999999999996</v>
      </c>
      <c r="L14">
        <f t="shared" si="7"/>
        <v>0.49999999999999994</v>
      </c>
      <c r="M14">
        <f t="shared" si="7"/>
        <v>0.54999999999999993</v>
      </c>
      <c r="N14">
        <f t="shared" si="7"/>
        <v>0.6</v>
      </c>
      <c r="O14">
        <f t="shared" si="7"/>
        <v>0.65</v>
      </c>
      <c r="P14">
        <f t="shared" si="7"/>
        <v>0.70000000000000007</v>
      </c>
      <c r="Q14">
        <f t="shared" si="7"/>
        <v>0.75000000000000011</v>
      </c>
      <c r="R14">
        <f t="shared" si="7"/>
        <v>0.80000000000000016</v>
      </c>
      <c r="S14">
        <f>R14+$B$13</f>
        <v>0.8500000000000002</v>
      </c>
      <c r="T14">
        <f t="shared" si="7"/>
        <v>0.90000000000000024</v>
      </c>
      <c r="U14">
        <f t="shared" si="7"/>
        <v>0.95000000000000029</v>
      </c>
      <c r="V14">
        <f>U14+$B$13</f>
        <v>1.0000000000000002</v>
      </c>
    </row>
    <row r="15" spans="1:22" x14ac:dyDescent="0.25">
      <c r="A15" t="s">
        <v>13</v>
      </c>
      <c r="B15">
        <v>1</v>
      </c>
      <c r="C15">
        <f>B15+$B$13*B16</f>
        <v>0.90625</v>
      </c>
      <c r="D15">
        <f>C15+$B$13*C16</f>
        <v>0.8175</v>
      </c>
      <c r="E15">
        <f t="shared" ref="E15:V15" si="8">D15+$B$13*D16</f>
        <v>0.73373750000000004</v>
      </c>
      <c r="F15">
        <f t="shared" si="8"/>
        <v>0.65495012500000005</v>
      </c>
      <c r="G15">
        <f t="shared" si="8"/>
        <v>0.58112574812500006</v>
      </c>
      <c r="H15">
        <f t="shared" si="8"/>
        <v>0.51225260941250006</v>
      </c>
      <c r="I15">
        <f t="shared" si="8"/>
        <v>0.44831942790843754</v>
      </c>
      <c r="J15">
        <f t="shared" si="8"/>
        <v>0.38931550489655942</v>
      </c>
      <c r="K15">
        <f t="shared" si="8"/>
        <v>0.33523081632963919</v>
      </c>
      <c r="L15">
        <f t="shared" si="8"/>
        <v>0.28605609282987859</v>
      </c>
      <c r="M15">
        <f t="shared" si="8"/>
        <v>0.2417828859692554</v>
      </c>
      <c r="N15">
        <f t="shared" si="8"/>
        <v>0.20240361991581277</v>
      </c>
      <c r="O15">
        <f t="shared" si="8"/>
        <v>0.16791162792515577</v>
      </c>
      <c r="P15">
        <f t="shared" si="8"/>
        <v>0.13830117355351723</v>
      </c>
      <c r="Q15">
        <f t="shared" si="8"/>
        <v>0.113567456855661</v>
      </c>
      <c r="R15">
        <f t="shared" si="8"/>
        <v>9.3706606194422282E-2</v>
      </c>
      <c r="S15">
        <f t="shared" si="8"/>
        <v>7.8715656617054777E-2</v>
      </c>
      <c r="T15">
        <f t="shared" si="8"/>
        <v>6.8592516036848794E-2</v>
      </c>
      <c r="U15">
        <f t="shared" si="8"/>
        <v>6.3335920689045588E-2</v>
      </c>
      <c r="V15">
        <f t="shared" si="8"/>
        <v>6.2945381502728923E-2</v>
      </c>
    </row>
    <row r="16" spans="1:22" x14ac:dyDescent="0.25">
      <c r="A16" t="s">
        <v>16</v>
      </c>
      <c r="B16" s="2">
        <v>-1.875</v>
      </c>
      <c r="C16">
        <f>B16+$B$13*(-2*B14*B16+2*B15+2*B14*B14)</f>
        <v>-1.7749999999999999</v>
      </c>
      <c r="D16">
        <f t="shared" ref="D16:V16" si="9">C16+$B$13*(-2*C14*C16+2*C15+2*C14*C14)</f>
        <v>-1.6752499999999999</v>
      </c>
      <c r="E16">
        <f t="shared" si="9"/>
        <v>-1.5757474999999999</v>
      </c>
      <c r="F16">
        <f t="shared" si="9"/>
        <v>-1.4764875374999999</v>
      </c>
      <c r="G16">
        <f t="shared" si="9"/>
        <v>-1.3774627742499999</v>
      </c>
      <c r="H16">
        <f t="shared" si="9"/>
        <v>-1.2786636300812499</v>
      </c>
      <c r="I16">
        <f t="shared" si="9"/>
        <v>-1.1800784602375625</v>
      </c>
      <c r="J16">
        <f t="shared" si="9"/>
        <v>-1.0816937713384041</v>
      </c>
      <c r="K16">
        <f t="shared" si="9"/>
        <v>-0.98349446999521195</v>
      </c>
      <c r="L16">
        <f t="shared" si="9"/>
        <v>-0.88546413721246353</v>
      </c>
      <c r="M16">
        <f t="shared" si="9"/>
        <v>-0.78758532106885248</v>
      </c>
      <c r="N16">
        <f t="shared" si="9"/>
        <v>-0.68983983981314001</v>
      </c>
      <c r="O16">
        <f t="shared" si="9"/>
        <v>-0.59220908743277034</v>
      </c>
      <c r="P16">
        <f t="shared" si="9"/>
        <v>-0.49467433395712468</v>
      </c>
      <c r="Q16">
        <f t="shared" si="9"/>
        <v>-0.39721701322477421</v>
      </c>
      <c r="R16">
        <f t="shared" si="9"/>
        <v>-0.29981899154735003</v>
      </c>
      <c r="S16">
        <f t="shared" si="9"/>
        <v>-0.20246281160411977</v>
      </c>
      <c r="T16">
        <f t="shared" si="9"/>
        <v>-0.10513190695606407</v>
      </c>
      <c r="U16">
        <f t="shared" si="9"/>
        <v>-7.810783726333384E-3</v>
      </c>
      <c r="V16">
        <f t="shared" si="9"/>
        <v>8.9514832796572893E-2</v>
      </c>
    </row>
    <row r="18" spans="1:4" x14ac:dyDescent="0.25">
      <c r="A18" t="s">
        <v>17</v>
      </c>
    </row>
    <row r="19" spans="1:4" x14ac:dyDescent="0.25">
      <c r="A19" s="3" t="s">
        <v>18</v>
      </c>
      <c r="B19">
        <f>ABS(L8-V15)</f>
        <v>0.43364882987773795</v>
      </c>
      <c r="C19" t="s">
        <v>19</v>
      </c>
      <c r="D19" t="s">
        <v>20</v>
      </c>
    </row>
    <row r="22" spans="1:4" x14ac:dyDescent="0.25">
      <c r="A22" s="3"/>
    </row>
    <row r="23" spans="1:4" x14ac:dyDescent="0.25">
      <c r="B23">
        <v>3</v>
      </c>
      <c r="C23">
        <v>4.9379453815027299</v>
      </c>
    </row>
    <row r="24" spans="1:4" x14ac:dyDescent="0.25">
      <c r="B24">
        <v>-3</v>
      </c>
      <c r="C24">
        <v>-1.0620546184972699</v>
      </c>
    </row>
    <row r="25" spans="1:4" x14ac:dyDescent="0.25">
      <c r="A25" t="s">
        <v>22</v>
      </c>
      <c r="B25">
        <v>0</v>
      </c>
      <c r="C25">
        <v>1.9379500000000001</v>
      </c>
    </row>
    <row r="27" spans="1:4" x14ac:dyDescent="0.25">
      <c r="B27">
        <v>-3</v>
      </c>
      <c r="C27">
        <v>-1.0620546184972712</v>
      </c>
    </row>
    <row r="28" spans="1:4" x14ac:dyDescent="0.25">
      <c r="B28">
        <v>0</v>
      </c>
      <c r="C28">
        <v>1.9379500000000001</v>
      </c>
    </row>
    <row r="29" spans="1:4" x14ac:dyDescent="0.25">
      <c r="A29" t="s">
        <v>22</v>
      </c>
      <c r="B29">
        <v>-1.5</v>
      </c>
      <c r="C29">
        <v>0.43790000000000001</v>
      </c>
    </row>
    <row r="31" spans="1:4" x14ac:dyDescent="0.25">
      <c r="B31">
        <v>-1.5</v>
      </c>
    </row>
    <row r="32" spans="1:4" x14ac:dyDescent="0.25">
      <c r="B32">
        <v>-2.25</v>
      </c>
    </row>
    <row r="33" spans="1:3" x14ac:dyDescent="0.25">
      <c r="A33" t="s">
        <v>22</v>
      </c>
      <c r="B33">
        <f>(B31+B32)/2</f>
        <v>-1.875</v>
      </c>
      <c r="C33">
        <v>-0.31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topLeftCell="A2" workbookViewId="0">
      <selection activeCell="L12" sqref="L12"/>
    </sheetView>
  </sheetViews>
  <sheetFormatPr defaultRowHeight="15" x14ac:dyDescent="0.25"/>
  <cols>
    <col min="2" max="2" width="8.42578125" customWidth="1"/>
    <col min="10" max="10" width="9.5703125" bestFit="1" customWidth="1"/>
  </cols>
  <sheetData>
    <row r="1" spans="1:10" ht="29.25" customHeight="1" x14ac:dyDescent="0.3">
      <c r="A1" s="7"/>
      <c r="B1" s="7"/>
      <c r="C1" s="7"/>
      <c r="D1" s="7"/>
      <c r="E1" s="7"/>
      <c r="H1" s="8" t="s">
        <v>25</v>
      </c>
      <c r="I1" s="9">
        <v>0.05</v>
      </c>
      <c r="J1" s="9">
        <v>0.1</v>
      </c>
    </row>
    <row r="2" spans="1:10" x14ac:dyDescent="0.25">
      <c r="A2" s="7" t="s">
        <v>14</v>
      </c>
      <c r="B2" s="7" t="s">
        <v>13</v>
      </c>
      <c r="C2" s="7" t="s">
        <v>16</v>
      </c>
      <c r="D2" s="7" t="s">
        <v>23</v>
      </c>
      <c r="E2" s="7" t="s">
        <v>24</v>
      </c>
      <c r="F2" s="7" t="s">
        <v>13</v>
      </c>
      <c r="G2" s="7" t="s">
        <v>16</v>
      </c>
      <c r="H2" s="7" t="s">
        <v>23</v>
      </c>
      <c r="I2" s="7" t="s">
        <v>24</v>
      </c>
      <c r="J2" s="11" t="s">
        <v>17</v>
      </c>
    </row>
    <row r="3" spans="1:10" x14ac:dyDescent="0.25">
      <c r="A3" s="5">
        <v>1</v>
      </c>
      <c r="B3" s="5">
        <v>0.7</v>
      </c>
      <c r="C3" s="5">
        <v>0</v>
      </c>
      <c r="D3" s="5">
        <f>C3</f>
        <v>0</v>
      </c>
      <c r="E3" s="5">
        <f>-C3/A3-B3</f>
        <v>-0.7</v>
      </c>
      <c r="F3" s="5">
        <v>0.7</v>
      </c>
      <c r="G3" s="5">
        <v>0</v>
      </c>
      <c r="H3" s="5">
        <f>G3</f>
        <v>0</v>
      </c>
      <c r="I3" s="5">
        <f>-G3/A3-F3</f>
        <v>-0.7</v>
      </c>
    </row>
    <row r="4" spans="1:10" x14ac:dyDescent="0.25">
      <c r="A4" s="5">
        <f>A3+$I$1</f>
        <v>1.05</v>
      </c>
      <c r="B4" s="5">
        <f>B3+$I$1*D3</f>
        <v>0.7</v>
      </c>
      <c r="C4" s="5">
        <f>C3+$I$1*E3</f>
        <v>-3.4999999999999996E-2</v>
      </c>
      <c r="D4" s="5">
        <f>C4</f>
        <v>-3.4999999999999996E-2</v>
      </c>
      <c r="E4" s="5">
        <f>-C4/A4-B4</f>
        <v>-0.66666666666666663</v>
      </c>
    </row>
    <row r="5" spans="1:10" x14ac:dyDescent="0.25">
      <c r="A5" s="5">
        <f t="shared" ref="A5:A12" si="0">A4+$I$1</f>
        <v>1.1000000000000001</v>
      </c>
      <c r="B5" s="5">
        <f t="shared" ref="B5:B13" si="1">B4+$I$1*D4</f>
        <v>0.69824999999999993</v>
      </c>
      <c r="C5" s="5">
        <f t="shared" ref="C5:C13" si="2">C4+$I$1*E4</f>
        <v>-6.8333333333333329E-2</v>
      </c>
      <c r="D5" s="5">
        <f t="shared" ref="D5:D23" si="3">C5</f>
        <v>-6.8333333333333329E-2</v>
      </c>
      <c r="E5" s="5">
        <f t="shared" ref="E5:E13" si="4">-C5/A5-B5</f>
        <v>-0.63612878787878779</v>
      </c>
      <c r="F5" s="5">
        <f>F3+$J$1*H3</f>
        <v>0.7</v>
      </c>
      <c r="G5" s="5">
        <f>G3+$J$1*I3</f>
        <v>-6.9999999999999993E-2</v>
      </c>
      <c r="H5" s="5">
        <f>G5</f>
        <v>-6.9999999999999993E-2</v>
      </c>
      <c r="I5" s="5">
        <f>-G5/A5-F5</f>
        <v>-0.63636363636363635</v>
      </c>
      <c r="J5">
        <f>ABS(B5-F5)</f>
        <v>1.7500000000000293E-3</v>
      </c>
    </row>
    <row r="6" spans="1:10" x14ac:dyDescent="0.25">
      <c r="A6" s="5">
        <f t="shared" si="0"/>
        <v>1.1500000000000001</v>
      </c>
      <c r="B6" s="5">
        <f t="shared" si="1"/>
        <v>0.6948333333333333</v>
      </c>
      <c r="C6" s="5">
        <f t="shared" si="2"/>
        <v>-0.10013977272727273</v>
      </c>
      <c r="D6" s="5">
        <f t="shared" si="3"/>
        <v>-0.10013977272727273</v>
      </c>
      <c r="E6" s="5">
        <f t="shared" si="4"/>
        <v>-0.60775527009222663</v>
      </c>
    </row>
    <row r="7" spans="1:10" x14ac:dyDescent="0.25">
      <c r="A7" s="5">
        <f t="shared" si="0"/>
        <v>1.2000000000000002</v>
      </c>
      <c r="B7" s="5">
        <f t="shared" si="1"/>
        <v>0.68982634469696968</v>
      </c>
      <c r="C7" s="5">
        <f t="shared" si="2"/>
        <v>-0.13052753623188407</v>
      </c>
      <c r="D7" s="5">
        <f t="shared" si="3"/>
        <v>-0.13052753623188407</v>
      </c>
      <c r="E7" s="5">
        <f t="shared" si="4"/>
        <v>-0.58105339783706633</v>
      </c>
      <c r="F7" s="5">
        <f>F5+$J$1*H5</f>
        <v>0.69299999999999995</v>
      </c>
      <c r="G7" s="5">
        <f>G5+$J$1*I5</f>
        <v>-0.13363636363636364</v>
      </c>
      <c r="H7" s="5">
        <f>G7</f>
        <v>-0.13363636363636364</v>
      </c>
      <c r="I7" s="5">
        <f>-G7/A7-F7</f>
        <v>-0.58163636363636362</v>
      </c>
      <c r="J7">
        <f>ABS(B7-F7)</f>
        <v>3.173655303030265E-3</v>
      </c>
    </row>
    <row r="8" spans="1:10" x14ac:dyDescent="0.25">
      <c r="A8" s="5">
        <f t="shared" si="0"/>
        <v>1.2500000000000002</v>
      </c>
      <c r="B8" s="5">
        <f t="shared" si="1"/>
        <v>0.6832999678853755</v>
      </c>
      <c r="C8" s="5">
        <f t="shared" si="2"/>
        <v>-0.15958020612373738</v>
      </c>
      <c r="D8" s="5">
        <f t="shared" si="3"/>
        <v>-0.15958020612373738</v>
      </c>
      <c r="E8" s="5">
        <f t="shared" si="4"/>
        <v>-0.5556358029863856</v>
      </c>
    </row>
    <row r="9" spans="1:10" x14ac:dyDescent="0.25">
      <c r="A9" s="5">
        <f t="shared" si="0"/>
        <v>1.3000000000000003</v>
      </c>
      <c r="B9" s="5">
        <f t="shared" si="1"/>
        <v>0.67532095757918864</v>
      </c>
      <c r="C9" s="5">
        <f t="shared" si="2"/>
        <v>-0.18736199627305666</v>
      </c>
      <c r="D9" s="5">
        <f t="shared" si="3"/>
        <v>-0.18736199627305666</v>
      </c>
      <c r="E9" s="5">
        <f t="shared" si="4"/>
        <v>-0.53119634506145275</v>
      </c>
      <c r="F9" s="5">
        <f>F7+$J$1*H7</f>
        <v>0.67963636363636359</v>
      </c>
      <c r="G9" s="5">
        <f>G7+$J$1*I7</f>
        <v>-0.1918</v>
      </c>
      <c r="H9" s="5">
        <f>G9</f>
        <v>-0.1918</v>
      </c>
      <c r="I9" s="5">
        <f>-G9/A9-F9</f>
        <v>-0.53209790209790209</v>
      </c>
      <c r="J9">
        <f>ABS(B9-F9)</f>
        <v>4.3154060571749531E-3</v>
      </c>
    </row>
    <row r="10" spans="1:10" x14ac:dyDescent="0.25">
      <c r="A10" s="5">
        <f t="shared" si="0"/>
        <v>1.3500000000000003</v>
      </c>
      <c r="B10" s="5">
        <f t="shared" si="1"/>
        <v>0.66595285776553581</v>
      </c>
      <c r="C10" s="5">
        <f t="shared" si="2"/>
        <v>-0.2139218135261293</v>
      </c>
      <c r="D10" s="5">
        <f t="shared" si="3"/>
        <v>-0.2139218135261293</v>
      </c>
      <c r="E10" s="5">
        <f t="shared" si="4"/>
        <v>-0.5074922551535882</v>
      </c>
    </row>
    <row r="11" spans="1:10" x14ac:dyDescent="0.25">
      <c r="A11" s="5">
        <f t="shared" si="0"/>
        <v>1.4000000000000004</v>
      </c>
      <c r="B11" s="5">
        <f t="shared" si="1"/>
        <v>0.65525676708922931</v>
      </c>
      <c r="C11" s="5">
        <f t="shared" si="2"/>
        <v>-0.23929642628380871</v>
      </c>
      <c r="D11" s="5">
        <f t="shared" si="3"/>
        <v>-0.23929642628380871</v>
      </c>
      <c r="E11" s="5">
        <f t="shared" si="4"/>
        <v>-0.48433074831508027</v>
      </c>
      <c r="F11" s="5">
        <f>F9+$J$1*H9</f>
        <v>0.66045636363636362</v>
      </c>
      <c r="G11" s="5">
        <f>G9+$J$1*I9</f>
        <v>-0.24500979020979022</v>
      </c>
      <c r="H11" s="5">
        <f>G11</f>
        <v>-0.24500979020979022</v>
      </c>
      <c r="I11" s="5">
        <f>-G11/A11-F11</f>
        <v>-0.48544937062937066</v>
      </c>
      <c r="J11">
        <f>ABS(B11-F11)</f>
        <v>5.1995965471343109E-3</v>
      </c>
    </row>
    <row r="12" spans="1:10" x14ac:dyDescent="0.25">
      <c r="A12" s="5">
        <f t="shared" si="0"/>
        <v>1.4500000000000004</v>
      </c>
      <c r="B12" s="5">
        <f t="shared" si="1"/>
        <v>0.6432919457750389</v>
      </c>
      <c r="C12" s="5">
        <f t="shared" si="2"/>
        <v>-0.26351296369956273</v>
      </c>
      <c r="D12" s="5">
        <f t="shared" si="3"/>
        <v>-0.26351296369956273</v>
      </c>
      <c r="E12" s="5">
        <f t="shared" si="4"/>
        <v>-0.46155886736154739</v>
      </c>
    </row>
    <row r="13" spans="1:10" x14ac:dyDescent="0.25">
      <c r="A13" s="5">
        <f>A12+$I$1</f>
        <v>1.5000000000000004</v>
      </c>
      <c r="B13" s="5">
        <f t="shared" si="1"/>
        <v>0.63011629759006071</v>
      </c>
      <c r="C13" s="5">
        <f t="shared" si="2"/>
        <v>-0.28659090706764012</v>
      </c>
      <c r="D13" s="5">
        <f t="shared" si="3"/>
        <v>-0.28659090706764012</v>
      </c>
      <c r="E13" s="5">
        <f t="shared" si="4"/>
        <v>-0.43905569287830071</v>
      </c>
      <c r="F13" s="5">
        <f>F11+$J$1*H11</f>
        <v>0.63595538461538459</v>
      </c>
      <c r="G13" s="5">
        <f>G11+$J$1*I11</f>
        <v>-0.2935547272727273</v>
      </c>
      <c r="H13" s="5">
        <f>G13</f>
        <v>-0.2935547272727273</v>
      </c>
      <c r="I13" s="5">
        <f>-G13/A13-F13</f>
        <v>-0.44025223310023309</v>
      </c>
      <c r="J13">
        <f>ABS(B13-F13)</f>
        <v>5.8390870253238747E-3</v>
      </c>
    </row>
    <row r="14" spans="1:10" x14ac:dyDescent="0.25">
      <c r="A14" s="5">
        <f t="shared" ref="A14:A20" si="5">A13+$I$1</f>
        <v>1.5500000000000005</v>
      </c>
      <c r="B14" s="5">
        <f t="shared" ref="B14:B21" si="6">B13+$I$1*D13</f>
        <v>0.61578675223667867</v>
      </c>
      <c r="C14" s="5">
        <f t="shared" ref="C14:C21" si="7">C13+$I$1*E13</f>
        <v>-0.30854369171155516</v>
      </c>
      <c r="D14" s="5">
        <f t="shared" si="3"/>
        <v>-0.30854369171155516</v>
      </c>
      <c r="E14" s="5">
        <f t="shared" ref="E14:E21" si="8">-C14/A14-B14</f>
        <v>-0.41672630597115928</v>
      </c>
    </row>
    <row r="15" spans="1:10" x14ac:dyDescent="0.25">
      <c r="A15" s="5">
        <f t="shared" si="5"/>
        <v>1.6000000000000005</v>
      </c>
      <c r="B15" s="5">
        <f t="shared" si="6"/>
        <v>0.60035956765110088</v>
      </c>
      <c r="C15" s="5">
        <f t="shared" si="7"/>
        <v>-0.32938000701011311</v>
      </c>
      <c r="D15" s="5">
        <f t="shared" si="3"/>
        <v>-0.32938000701011311</v>
      </c>
      <c r="E15" s="5">
        <f t="shared" si="8"/>
        <v>-0.39449706326978029</v>
      </c>
      <c r="F15" s="5">
        <f>F13+$J$1*H13</f>
        <v>0.60659991188811191</v>
      </c>
      <c r="G15" s="5">
        <f>G13+$J$1*I13</f>
        <v>-0.33757995058275059</v>
      </c>
      <c r="H15" s="5">
        <f>G15</f>
        <v>-0.33757995058275059</v>
      </c>
      <c r="I15" s="5">
        <f>-G15/A15-F15</f>
        <v>-0.39561244277389285</v>
      </c>
      <c r="J15">
        <f>ABS(B15-F15)</f>
        <v>6.2403442370110307E-3</v>
      </c>
    </row>
    <row r="16" spans="1:10" x14ac:dyDescent="0.25">
      <c r="A16" s="5">
        <f t="shared" si="5"/>
        <v>1.6500000000000006</v>
      </c>
      <c r="B16" s="5">
        <f t="shared" si="6"/>
        <v>0.58389056730059519</v>
      </c>
      <c r="C16" s="5">
        <f t="shared" si="7"/>
        <v>-0.34910486017360209</v>
      </c>
      <c r="D16" s="5">
        <f t="shared" si="3"/>
        <v>-0.34910486017360209</v>
      </c>
      <c r="E16" s="5">
        <f t="shared" si="8"/>
        <v>-0.37231186416507883</v>
      </c>
    </row>
    <row r="17" spans="1:10" x14ac:dyDescent="0.25">
      <c r="A17" s="5">
        <f t="shared" si="5"/>
        <v>1.7000000000000006</v>
      </c>
      <c r="B17" s="5">
        <f t="shared" si="6"/>
        <v>0.56643532429191512</v>
      </c>
      <c r="C17" s="5">
        <f t="shared" si="7"/>
        <v>-0.36772045338185605</v>
      </c>
      <c r="D17" s="5">
        <f t="shared" si="3"/>
        <v>-0.36772045338185605</v>
      </c>
      <c r="E17" s="5">
        <f t="shared" si="8"/>
        <v>-0.35012917524376458</v>
      </c>
      <c r="F17" s="5">
        <f>F15+$J$1*H15</f>
        <v>0.57284191682983687</v>
      </c>
      <c r="G17" s="5">
        <f>G15+$J$1*I15</f>
        <v>-0.37714119486013986</v>
      </c>
      <c r="H17" s="5">
        <f>G17</f>
        <v>-0.37714119486013986</v>
      </c>
      <c r="I17" s="5">
        <f>-G17/A17-F17</f>
        <v>-0.35099415514740173</v>
      </c>
      <c r="J17">
        <f>ABS(B17-F17)</f>
        <v>6.4065925379217514E-3</v>
      </c>
    </row>
    <row r="18" spans="1:10" x14ac:dyDescent="0.25">
      <c r="A18" s="5">
        <f t="shared" si="5"/>
        <v>1.7500000000000007</v>
      </c>
      <c r="B18" s="5">
        <f t="shared" si="6"/>
        <v>0.54804930162282228</v>
      </c>
      <c r="C18" s="5">
        <f t="shared" si="7"/>
        <v>-0.38522691214404425</v>
      </c>
      <c r="D18" s="5">
        <f t="shared" si="3"/>
        <v>-0.38522691214404425</v>
      </c>
      <c r="E18" s="5">
        <f t="shared" si="8"/>
        <v>-0.32791963754051134</v>
      </c>
    </row>
    <row r="19" spans="1:10" x14ac:dyDescent="0.25">
      <c r="A19" s="5">
        <f t="shared" si="5"/>
        <v>1.8000000000000007</v>
      </c>
      <c r="B19" s="5">
        <f t="shared" si="6"/>
        <v>0.52878795601562012</v>
      </c>
      <c r="C19" s="5">
        <f t="shared" si="7"/>
        <v>-0.40162289402106982</v>
      </c>
      <c r="D19" s="5">
        <f t="shared" si="3"/>
        <v>-0.40162289402106982</v>
      </c>
      <c r="E19" s="5">
        <f t="shared" si="8"/>
        <v>-0.30566412600391479</v>
      </c>
      <c r="F19" s="5">
        <f>F17+$J$1*H17</f>
        <v>0.53512779734382288</v>
      </c>
      <c r="G19" s="5">
        <f>G17+$J$1*I17</f>
        <v>-0.41224061037488002</v>
      </c>
      <c r="H19" s="5">
        <f>G19</f>
        <v>-0.41224061037488002</v>
      </c>
      <c r="I19" s="5">
        <f>-G19/A19-F19</f>
        <v>-0.30610523602444517</v>
      </c>
      <c r="J19">
        <f>ABS(B19-F19)</f>
        <v>6.3398413282027555E-3</v>
      </c>
    </row>
    <row r="20" spans="1:10" x14ac:dyDescent="0.25">
      <c r="A20" s="5">
        <f t="shared" si="5"/>
        <v>1.8500000000000008</v>
      </c>
      <c r="B20" s="5">
        <f t="shared" si="6"/>
        <v>0.50870681131456663</v>
      </c>
      <c r="C20" s="5">
        <f t="shared" si="7"/>
        <v>-0.41690610032126557</v>
      </c>
      <c r="D20" s="5">
        <f t="shared" si="3"/>
        <v>-0.41690610032126557</v>
      </c>
      <c r="E20" s="5">
        <f t="shared" si="8"/>
        <v>-0.28335216249226103</v>
      </c>
    </row>
    <row r="21" spans="1:10" x14ac:dyDescent="0.25">
      <c r="A21" s="5">
        <f>A20+$I$1</f>
        <v>1.9000000000000008</v>
      </c>
      <c r="B21" s="5">
        <f t="shared" si="6"/>
        <v>0.48786150629850333</v>
      </c>
      <c r="C21" s="5">
        <f t="shared" si="7"/>
        <v>-0.43107370844587861</v>
      </c>
      <c r="D21" s="5">
        <f t="shared" si="3"/>
        <v>-0.43107370844587861</v>
      </c>
      <c r="E21" s="5">
        <f t="shared" si="8"/>
        <v>-0.26098060711646209</v>
      </c>
      <c r="F21" s="5">
        <f>F19+$J$1*H19</f>
        <v>0.49390373630633488</v>
      </c>
      <c r="G21" s="5">
        <f>G19+$J$1*I19</f>
        <v>-0.44285113397732456</v>
      </c>
      <c r="H21" s="5">
        <f>G21</f>
        <v>-0.44285113397732456</v>
      </c>
      <c r="I21" s="5">
        <f>-G21/A21-F21</f>
        <v>-0.2608241921077431</v>
      </c>
      <c r="J21">
        <f>ABS(B21-F21)</f>
        <v>6.0422300078315505E-3</v>
      </c>
    </row>
    <row r="22" spans="1:10" x14ac:dyDescent="0.25">
      <c r="A22" s="5">
        <f t="shared" ref="A22:A23" si="9">A21+$I$1</f>
        <v>1.9500000000000008</v>
      </c>
      <c r="B22" s="5">
        <f t="shared" ref="B22:B23" si="10">B21+$I$1*D21</f>
        <v>0.46630782087620942</v>
      </c>
      <c r="C22" s="5">
        <f t="shared" ref="C22:C23" si="11">C21+$I$1*E21</f>
        <v>-0.44412273880170172</v>
      </c>
      <c r="D22" s="5">
        <f t="shared" si="3"/>
        <v>-0.44412273880170172</v>
      </c>
      <c r="E22" s="5">
        <f t="shared" ref="E22:E23" si="12">-C22/A22-B22</f>
        <v>-0.23855257020867018</v>
      </c>
    </row>
    <row r="23" spans="1:10" x14ac:dyDescent="0.25">
      <c r="A23" s="5">
        <f t="shared" si="9"/>
        <v>2.0000000000000009</v>
      </c>
      <c r="B23" s="5">
        <f t="shared" si="10"/>
        <v>0.44410168393612431</v>
      </c>
      <c r="C23" s="5">
        <f t="shared" si="11"/>
        <v>-0.45605036731213522</v>
      </c>
      <c r="D23" s="5">
        <f t="shared" si="3"/>
        <v>-0.45605036731213522</v>
      </c>
      <c r="E23" s="5">
        <f t="shared" si="12"/>
        <v>-0.21607650028005682</v>
      </c>
      <c r="F23" s="10">
        <f>F21+$J$1*H21</f>
        <v>0.44961862290860244</v>
      </c>
      <c r="G23" s="5">
        <f>G21+$J$1*I21</f>
        <v>-0.46893355318809887</v>
      </c>
      <c r="H23" s="5">
        <f>G23</f>
        <v>-0.46893355318809887</v>
      </c>
      <c r="I23" s="5">
        <f>-G23/A23-F23</f>
        <v>-0.21515184631455311</v>
      </c>
      <c r="J23">
        <f>ABS(B23-F23)</f>
        <v>5.5169389724781248E-3</v>
      </c>
    </row>
    <row r="24" spans="1:10" x14ac:dyDescent="0.25">
      <c r="J24" s="12">
        <f>MAX(J5:J23)</f>
        <v>6.4065925379217514E-3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сетки</vt:lpstr>
      <vt:lpstr>стрельба 1</vt:lpstr>
      <vt:lpstr>стрельба 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2021-03-23T09:55:32Z</dcterms:created>
  <dcterms:modified xsi:type="dcterms:W3CDTF">2022-05-03T13:45:01Z</dcterms:modified>
</cp:coreProperties>
</file>