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-2022\2 семестр\ЧМ ФИб\"/>
    </mc:Choice>
  </mc:AlternateContent>
  <xr:revisionPtr revIDLastSave="0" documentId="13_ncr:1_{3D06A4A3-0834-4B82-A6F7-ABDAF62B27BD}" xr6:coauthVersionLast="36" xr6:coauthVersionMax="36" xr10:uidLastSave="{00000000-0000-0000-0000-000000000000}"/>
  <bookViews>
    <workbookView xWindow="480" yWindow="60" windowWidth="18195" windowHeight="8505" activeTab="1" xr2:uid="{00000000-000D-0000-FFFF-FFFF00000000}"/>
  </bookViews>
  <sheets>
    <sheet name="Неберущийся" sheetId="1" r:id="rId1"/>
    <sheet name="Традиционный" sheetId="2" r:id="rId2"/>
  </sheets>
  <calcPr calcId="191029"/>
</workbook>
</file>

<file path=xl/calcChain.xml><?xml version="1.0" encoding="utf-8"?>
<calcChain xmlns="http://schemas.openxmlformats.org/spreadsheetml/2006/main">
  <c r="D21" i="1" l="1"/>
  <c r="E1" i="2" l="1"/>
  <c r="A7" i="2" s="1"/>
  <c r="A16" i="2"/>
  <c r="B16" i="2" s="1"/>
  <c r="B6" i="2"/>
  <c r="G8" i="1"/>
  <c r="G9" i="1"/>
  <c r="G12" i="1"/>
  <c r="G13" i="1"/>
  <c r="G6" i="1"/>
  <c r="F7" i="1"/>
  <c r="G7" i="1" s="1"/>
  <c r="F8" i="1"/>
  <c r="F9" i="1"/>
  <c r="F10" i="1"/>
  <c r="G10" i="1" s="1"/>
  <c r="F11" i="1"/>
  <c r="G11" i="1" s="1"/>
  <c r="F12" i="1"/>
  <c r="F13" i="1"/>
  <c r="F14" i="1"/>
  <c r="G14" i="1" s="1"/>
  <c r="F15" i="1"/>
  <c r="G15" i="1" s="1"/>
  <c r="F6" i="1"/>
  <c r="C7" i="1"/>
  <c r="J8" i="1" s="1"/>
  <c r="C8" i="1"/>
  <c r="J7" i="1" s="1"/>
  <c r="C9" i="1"/>
  <c r="E17" i="1" s="1"/>
  <c r="E18" i="1" s="1"/>
  <c r="C10" i="1"/>
  <c r="C11" i="1"/>
  <c r="C12" i="1"/>
  <c r="C13" i="1"/>
  <c r="C14" i="1"/>
  <c r="C15" i="1"/>
  <c r="C16" i="1"/>
  <c r="C6" i="1"/>
  <c r="D17" i="1" s="1"/>
  <c r="D18" i="1" s="1"/>
  <c r="G17" i="1" l="1"/>
  <c r="G18" i="1" s="1"/>
  <c r="J6" i="1"/>
  <c r="J17" i="1" s="1"/>
  <c r="J18" i="1" s="1"/>
  <c r="I17" i="1"/>
  <c r="I18" i="1" s="1"/>
  <c r="H6" i="2"/>
  <c r="E6" i="2"/>
  <c r="F6" i="2" s="1"/>
  <c r="B7" i="2"/>
  <c r="A8" i="2"/>
  <c r="A9" i="2" l="1"/>
  <c r="B8" i="2"/>
  <c r="E7" i="2"/>
  <c r="F7" i="2" s="1"/>
  <c r="B9" i="2" l="1"/>
  <c r="A10" i="2"/>
  <c r="E8" i="2"/>
  <c r="F8" i="2" s="1"/>
  <c r="B10" i="2" l="1"/>
  <c r="A11" i="2"/>
  <c r="E9" i="2"/>
  <c r="F9" i="2" s="1"/>
  <c r="B11" i="2" l="1"/>
  <c r="A12" i="2"/>
  <c r="E11" i="2" s="1"/>
  <c r="F11" i="2" s="1"/>
  <c r="E10" i="2"/>
  <c r="F10" i="2" s="1"/>
  <c r="B12" i="2" l="1"/>
  <c r="A13" i="2"/>
  <c r="B13" i="2" l="1"/>
  <c r="A14" i="2"/>
  <c r="E12" i="2"/>
  <c r="F12" i="2" s="1"/>
  <c r="B14" i="2" l="1"/>
  <c r="H7" i="2" s="1"/>
  <c r="A15" i="2"/>
  <c r="E14" i="2" s="1"/>
  <c r="F14" i="2" s="1"/>
  <c r="E13" i="2"/>
  <c r="F13" i="2" s="1"/>
  <c r="B15" i="2" l="1"/>
  <c r="E15" i="2"/>
  <c r="F15" i="2" s="1"/>
  <c r="F17" i="2" s="1"/>
  <c r="F18" i="2" s="1"/>
  <c r="F19" i="2" s="1"/>
  <c r="F20" i="2" s="1"/>
  <c r="D17" i="2" l="1"/>
  <c r="D18" i="2" s="1"/>
  <c r="D19" i="2" s="1"/>
  <c r="D20" i="2" s="1"/>
  <c r="G17" i="2"/>
  <c r="G18" i="2" s="1"/>
  <c r="G19" i="2" s="1"/>
  <c r="G20" i="2" s="1"/>
  <c r="H8" i="2"/>
  <c r="H17" i="2" s="1"/>
  <c r="H18" i="2" s="1"/>
  <c r="H19" i="2" s="1"/>
  <c r="H20" i="2" s="1"/>
  <c r="C17" i="2"/>
  <c r="C18" i="2" s="1"/>
  <c r="C19" i="2" s="1"/>
  <c r="C20" i="2" s="1"/>
  <c r="C21" i="2" l="1"/>
  <c r="C22" i="2" s="1"/>
  <c r="C23" i="2" s="1"/>
</calcChain>
</file>

<file path=xl/sharedStrings.xml><?xml version="1.0" encoding="utf-8"?>
<sst xmlns="http://schemas.openxmlformats.org/spreadsheetml/2006/main" count="34" uniqueCount="17">
  <si>
    <t>h=</t>
  </si>
  <si>
    <t>x</t>
  </si>
  <si>
    <t>f(x)</t>
  </si>
  <si>
    <t>"Неберущийся" интеграл</t>
  </si>
  <si>
    <t>"Хороший" интеграл</t>
  </si>
  <si>
    <t xml:space="preserve">Точное значение </t>
  </si>
  <si>
    <t>I=</t>
  </si>
  <si>
    <t>№</t>
  </si>
  <si>
    <t>Среднее</t>
  </si>
  <si>
    <t>Сумма</t>
  </si>
  <si>
    <t>Формула</t>
  </si>
  <si>
    <t>левых</t>
  </si>
  <si>
    <t>прямоуг.</t>
  </si>
  <si>
    <t>Для центральных</t>
  </si>
  <si>
    <t>трапеций</t>
  </si>
  <si>
    <t>Формула Симпсона</t>
  </si>
  <si>
    <t>правых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</si>
</sst>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"/>
    <numFmt numFmtId="166" formatCode="0.0000%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10" fontId="0" fillId="0" borderId="0" xfId="1" applyNumberFormat="1" applyFont="1"/>
    <xf numFmtId="166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26725</xdr:rowOff>
    </xdr:from>
    <xdr:to>
      <xdr:col>2</xdr:col>
      <xdr:colOff>66675</xdr:colOff>
      <xdr:row>3</xdr:row>
      <xdr:rowOff>147638</xdr:rowOff>
    </xdr:to>
    <xdr:pic>
      <xdr:nvPicPr>
        <xdr:cNvPr id="2" name="Рисунок 1" descr="Рисунок28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7225"/>
          <a:ext cx="581025" cy="501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I15" sqref="I15:I16"/>
    </sheetView>
  </sheetViews>
  <sheetFormatPr defaultRowHeight="15" x14ac:dyDescent="0.25"/>
  <cols>
    <col min="1" max="1" width="6.140625" customWidth="1"/>
    <col min="9" max="9" width="12" customWidth="1"/>
  </cols>
  <sheetData>
    <row r="1" spans="1:10" x14ac:dyDescent="0.25">
      <c r="B1" t="s">
        <v>3</v>
      </c>
      <c r="E1" s="1" t="s">
        <v>0</v>
      </c>
      <c r="F1">
        <v>0.1</v>
      </c>
    </row>
    <row r="5" spans="1:10" x14ac:dyDescent="0.25">
      <c r="A5" t="s">
        <v>7</v>
      </c>
      <c r="B5" t="s">
        <v>1</v>
      </c>
      <c r="C5" t="s">
        <v>2</v>
      </c>
      <c r="G5" t="s">
        <v>13</v>
      </c>
      <c r="J5" t="s">
        <v>15</v>
      </c>
    </row>
    <row r="6" spans="1:10" x14ac:dyDescent="0.25">
      <c r="A6">
        <v>0</v>
      </c>
      <c r="B6">
        <v>0</v>
      </c>
      <c r="C6">
        <f>EXP(-B6^2)</f>
        <v>1</v>
      </c>
      <c r="F6">
        <f t="shared" ref="F6:F15" si="0">(B6+B7)/2</f>
        <v>0.05</v>
      </c>
      <c r="G6">
        <f>EXP(-F6^2)</f>
        <v>1.0025031276057952</v>
      </c>
      <c r="H6" t="s">
        <v>12</v>
      </c>
      <c r="J6">
        <f>C6+C16</f>
        <v>3.7182818284590451</v>
      </c>
    </row>
    <row r="7" spans="1:10" x14ac:dyDescent="0.25">
      <c r="A7">
        <v>1</v>
      </c>
      <c r="B7">
        <v>0.1</v>
      </c>
      <c r="C7">
        <f t="shared" ref="C7:C16" si="1">EXP(-B7^2)</f>
        <v>1.0100501670841679</v>
      </c>
      <c r="F7">
        <f t="shared" si="0"/>
        <v>0.15000000000000002</v>
      </c>
      <c r="G7">
        <f t="shared" ref="G7:G15" si="2">EXP(-F7^2)</f>
        <v>1.022755034164446</v>
      </c>
      <c r="J7">
        <f>C8+C10+C12+C14</f>
        <v>5.5441319390494908</v>
      </c>
    </row>
    <row r="8" spans="1:10" x14ac:dyDescent="0.25">
      <c r="A8">
        <v>2</v>
      </c>
      <c r="B8">
        <v>0.2</v>
      </c>
      <c r="C8">
        <f t="shared" si="1"/>
        <v>1.0408107741923882</v>
      </c>
      <c r="F8">
        <f t="shared" si="0"/>
        <v>0.25</v>
      </c>
      <c r="G8">
        <f t="shared" si="2"/>
        <v>1.0644944589178593</v>
      </c>
      <c r="J8">
        <f>C7+C9+C11+C13+C15</f>
        <v>7.2684740741089708</v>
      </c>
    </row>
    <row r="9" spans="1:10" x14ac:dyDescent="0.25">
      <c r="A9">
        <v>3</v>
      </c>
      <c r="B9">
        <v>0.3</v>
      </c>
      <c r="C9">
        <f t="shared" si="1"/>
        <v>1.0941742837052104</v>
      </c>
      <c r="F9">
        <f t="shared" si="0"/>
        <v>0.35</v>
      </c>
      <c r="G9">
        <f t="shared" si="2"/>
        <v>1.130319120074011</v>
      </c>
    </row>
    <row r="10" spans="1:10" x14ac:dyDescent="0.25">
      <c r="A10">
        <v>4</v>
      </c>
      <c r="B10">
        <v>0.4</v>
      </c>
      <c r="C10">
        <f t="shared" si="1"/>
        <v>1.1735108709918103</v>
      </c>
      <c r="F10">
        <f t="shared" si="0"/>
        <v>0.45</v>
      </c>
      <c r="G10">
        <f t="shared" si="2"/>
        <v>1.2244600851219147</v>
      </c>
    </row>
    <row r="11" spans="1:10" x14ac:dyDescent="0.25">
      <c r="A11">
        <v>5</v>
      </c>
      <c r="B11">
        <v>0.5</v>
      </c>
      <c r="C11">
        <f t="shared" si="1"/>
        <v>1.2840254166877414</v>
      </c>
      <c r="F11">
        <f t="shared" si="0"/>
        <v>0.55000000000000004</v>
      </c>
      <c r="G11">
        <f t="shared" si="2"/>
        <v>1.3532376764211722</v>
      </c>
    </row>
    <row r="12" spans="1:10" x14ac:dyDescent="0.25">
      <c r="A12">
        <v>6</v>
      </c>
      <c r="B12">
        <v>0.6</v>
      </c>
      <c r="C12">
        <f t="shared" si="1"/>
        <v>1.4333294145603401</v>
      </c>
      <c r="F12">
        <f t="shared" si="0"/>
        <v>0.64999999999999991</v>
      </c>
      <c r="G12">
        <f t="shared" si="2"/>
        <v>1.5257712196034614</v>
      </c>
    </row>
    <row r="13" spans="1:10" x14ac:dyDescent="0.25">
      <c r="A13">
        <v>7</v>
      </c>
      <c r="B13">
        <v>0.7</v>
      </c>
      <c r="C13">
        <f t="shared" si="1"/>
        <v>1.6323162199553789</v>
      </c>
      <c r="F13">
        <f t="shared" si="0"/>
        <v>0.75</v>
      </c>
      <c r="G13">
        <f t="shared" si="2"/>
        <v>1.7550546569602985</v>
      </c>
    </row>
    <row r="14" spans="1:10" x14ac:dyDescent="0.25">
      <c r="A14">
        <v>8</v>
      </c>
      <c r="B14">
        <v>0.8</v>
      </c>
      <c r="C14">
        <f t="shared" si="1"/>
        <v>1.8964808793049517</v>
      </c>
      <c r="D14" t="s">
        <v>10</v>
      </c>
      <c r="E14" t="s">
        <v>10</v>
      </c>
      <c r="F14">
        <f t="shared" si="0"/>
        <v>0.85000000000000009</v>
      </c>
      <c r="G14">
        <f t="shared" si="2"/>
        <v>2.0595757191277131</v>
      </c>
    </row>
    <row r="15" spans="1:10" x14ac:dyDescent="0.25">
      <c r="A15">
        <v>9</v>
      </c>
      <c r="B15">
        <v>0.9</v>
      </c>
      <c r="C15">
        <f t="shared" si="1"/>
        <v>2.2479079866764717</v>
      </c>
      <c r="D15" t="s">
        <v>11</v>
      </c>
      <c r="E15" t="s">
        <v>16</v>
      </c>
      <c r="F15">
        <f t="shared" si="0"/>
        <v>0.95</v>
      </c>
      <c r="G15">
        <f t="shared" si="2"/>
        <v>2.4657598116037862</v>
      </c>
      <c r="I15" t="s">
        <v>10</v>
      </c>
    </row>
    <row r="16" spans="1:10" x14ac:dyDescent="0.25">
      <c r="A16">
        <v>10</v>
      </c>
      <c r="B16">
        <v>1</v>
      </c>
      <c r="C16">
        <f t="shared" si="1"/>
        <v>2.7182818284590451</v>
      </c>
      <c r="D16" t="s">
        <v>12</v>
      </c>
      <c r="E16" t="s">
        <v>12</v>
      </c>
      <c r="I16" t="s">
        <v>14</v>
      </c>
    </row>
    <row r="17" spans="2:10" x14ac:dyDescent="0.25">
      <c r="B17" s="1" t="s">
        <v>9</v>
      </c>
      <c r="D17">
        <f>SUM(C6:C15)</f>
        <v>13.812606013158462</v>
      </c>
      <c r="E17">
        <f>SUM(C7:C16)</f>
        <v>15.530887841617506</v>
      </c>
      <c r="G17">
        <f>SUM(G6:G15)</f>
        <v>14.603930909600457</v>
      </c>
      <c r="I17">
        <f>(C6+C16)/2+SUM(C7:C15)</f>
        <v>14.671746927387984</v>
      </c>
      <c r="J17">
        <f>J6+2*J7+4*J8</f>
        <v>43.88044200299391</v>
      </c>
    </row>
    <row r="18" spans="2:10" x14ac:dyDescent="0.25">
      <c r="B18" t="s">
        <v>6</v>
      </c>
      <c r="D18" s="2">
        <f>D17*F1</f>
        <v>1.3812606013158462</v>
      </c>
      <c r="E18" s="2">
        <f>E17*F1</f>
        <v>1.5530887841617507</v>
      </c>
      <c r="G18" s="2">
        <f>G17*F1</f>
        <v>1.4603930909600458</v>
      </c>
      <c r="I18" s="2">
        <f>I17*F1</f>
        <v>1.4671746927387985</v>
      </c>
      <c r="J18" s="2">
        <f>J17*F1/3</f>
        <v>1.462681400099797</v>
      </c>
    </row>
    <row r="21" spans="2:10" x14ac:dyDescent="0.25">
      <c r="D21">
        <f>1/2*(D18+E18)</f>
        <v>1.4671746927387983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selection activeCell="K14" sqref="K14"/>
    </sheetView>
  </sheetViews>
  <sheetFormatPr defaultRowHeight="15" x14ac:dyDescent="0.25"/>
  <cols>
    <col min="2" max="2" width="9.5703125" bestFit="1" customWidth="1"/>
    <col min="4" max="4" width="9.5703125" bestFit="1" customWidth="1"/>
    <col min="6" max="6" width="11" customWidth="1"/>
    <col min="7" max="7" width="11.85546875" customWidth="1"/>
    <col min="8" max="8" width="9.5703125" bestFit="1" customWidth="1"/>
  </cols>
  <sheetData>
    <row r="1" spans="1:9" x14ac:dyDescent="0.25">
      <c r="A1" t="s">
        <v>4</v>
      </c>
      <c r="D1" s="1" t="s">
        <v>0</v>
      </c>
      <c r="E1">
        <f>PI()/20</f>
        <v>0.15707963267948966</v>
      </c>
    </row>
    <row r="4" spans="1:9" x14ac:dyDescent="0.25">
      <c r="A4" t="s">
        <v>5</v>
      </c>
      <c r="C4" s="5">
        <v>1</v>
      </c>
    </row>
    <row r="5" spans="1:9" x14ac:dyDescent="0.25">
      <c r="A5" t="s">
        <v>1</v>
      </c>
      <c r="B5" t="s">
        <v>2</v>
      </c>
      <c r="F5" t="s">
        <v>13</v>
      </c>
      <c r="I5" t="s">
        <v>15</v>
      </c>
    </row>
    <row r="6" spans="1:9" x14ac:dyDescent="0.25">
      <c r="A6">
        <v>0</v>
      </c>
      <c r="B6" s="4">
        <f>SIN(A6)</f>
        <v>0</v>
      </c>
      <c r="E6">
        <f t="shared" ref="E6:E15" si="0">(A6+A7)/2</f>
        <v>7.8539816339744828E-2</v>
      </c>
      <c r="F6" s="4">
        <f>SIN(E6)</f>
        <v>7.8459095727844944E-2</v>
      </c>
      <c r="H6" s="4">
        <f>B6+B16</f>
        <v>1</v>
      </c>
    </row>
    <row r="7" spans="1:9" x14ac:dyDescent="0.25">
      <c r="A7">
        <f>A6+$E$1</f>
        <v>0.15707963267948966</v>
      </c>
      <c r="B7" s="4">
        <f t="shared" ref="B7:B15" si="1">SIN(A7)</f>
        <v>0.15643446504023087</v>
      </c>
      <c r="E7">
        <f t="shared" si="0"/>
        <v>0.23561944901923448</v>
      </c>
      <c r="F7" s="4">
        <f t="shared" ref="F7:F15" si="2">SIN(E7)</f>
        <v>0.23344536385590539</v>
      </c>
      <c r="H7" s="4">
        <f>B8+B10+B12+B14</f>
        <v>2.6568757573375215</v>
      </c>
    </row>
    <row r="8" spans="1:9" x14ac:dyDescent="0.25">
      <c r="A8">
        <f t="shared" ref="A8:A15" si="3">A7+$E$1</f>
        <v>0.31415926535897931</v>
      </c>
      <c r="B8" s="4">
        <f t="shared" si="1"/>
        <v>0.3090169943749474</v>
      </c>
      <c r="E8">
        <f t="shared" si="0"/>
        <v>0.39269908169872414</v>
      </c>
      <c r="F8" s="4">
        <f t="shared" si="2"/>
        <v>0.38268343236508978</v>
      </c>
      <c r="H8" s="4">
        <f>B7+B9+B11+B13+B15</f>
        <v>3.1962266107498305</v>
      </c>
    </row>
    <row r="9" spans="1:9" x14ac:dyDescent="0.25">
      <c r="A9">
        <f t="shared" si="3"/>
        <v>0.47123889803846897</v>
      </c>
      <c r="B9" s="4">
        <f t="shared" si="1"/>
        <v>0.45399049973954675</v>
      </c>
      <c r="E9">
        <f t="shared" si="0"/>
        <v>0.5497787143782138</v>
      </c>
      <c r="F9" s="4">
        <f t="shared" si="2"/>
        <v>0.5224985647159488</v>
      </c>
    </row>
    <row r="10" spans="1:9" x14ac:dyDescent="0.25">
      <c r="A10">
        <f t="shared" si="3"/>
        <v>0.62831853071795862</v>
      </c>
      <c r="B10" s="4">
        <f t="shared" si="1"/>
        <v>0.58778525229247314</v>
      </c>
      <c r="E10">
        <f t="shared" si="0"/>
        <v>0.70685834705770345</v>
      </c>
      <c r="F10" s="4">
        <f t="shared" si="2"/>
        <v>0.64944804833018366</v>
      </c>
    </row>
    <row r="11" spans="1:9" x14ac:dyDescent="0.25">
      <c r="A11">
        <f t="shared" si="3"/>
        <v>0.78539816339744828</v>
      </c>
      <c r="B11" s="4">
        <f t="shared" si="1"/>
        <v>0.70710678118654746</v>
      </c>
      <c r="E11">
        <f t="shared" si="0"/>
        <v>0.86393797973719311</v>
      </c>
      <c r="F11" s="4">
        <f t="shared" si="2"/>
        <v>0.76040596560003093</v>
      </c>
    </row>
    <row r="12" spans="1:9" x14ac:dyDescent="0.25">
      <c r="A12">
        <f t="shared" si="3"/>
        <v>0.94247779607693793</v>
      </c>
      <c r="B12" s="4">
        <f t="shared" si="1"/>
        <v>0.80901699437494745</v>
      </c>
      <c r="E12">
        <f t="shared" si="0"/>
        <v>1.0210176124166828</v>
      </c>
      <c r="F12" s="4">
        <f t="shared" si="2"/>
        <v>0.85264016435409218</v>
      </c>
    </row>
    <row r="13" spans="1:9" x14ac:dyDescent="0.25">
      <c r="A13">
        <f t="shared" si="3"/>
        <v>1.0995574287564276</v>
      </c>
      <c r="B13" s="4">
        <f t="shared" si="1"/>
        <v>0.89100652418836779</v>
      </c>
      <c r="E13">
        <f t="shared" si="0"/>
        <v>1.1780972450961724</v>
      </c>
      <c r="F13" s="4">
        <f t="shared" si="2"/>
        <v>0.92387953251128674</v>
      </c>
    </row>
    <row r="14" spans="1:9" x14ac:dyDescent="0.25">
      <c r="A14">
        <f t="shared" si="3"/>
        <v>1.2566370614359172</v>
      </c>
      <c r="B14" s="4">
        <f t="shared" si="1"/>
        <v>0.95105651629515353</v>
      </c>
      <c r="C14" t="s">
        <v>10</v>
      </c>
      <c r="D14" t="s">
        <v>10</v>
      </c>
      <c r="E14">
        <f t="shared" si="0"/>
        <v>1.3351768777756621</v>
      </c>
      <c r="F14" s="4">
        <f t="shared" si="2"/>
        <v>0.97236992039767656</v>
      </c>
    </row>
    <row r="15" spans="1:9" x14ac:dyDescent="0.25">
      <c r="A15">
        <f t="shared" si="3"/>
        <v>1.4137166941154069</v>
      </c>
      <c r="B15" s="4">
        <f t="shared" si="1"/>
        <v>0.98768834059513777</v>
      </c>
      <c r="C15" t="s">
        <v>11</v>
      </c>
      <c r="D15" t="s">
        <v>16</v>
      </c>
      <c r="E15">
        <f t="shared" si="0"/>
        <v>1.4922565104551517</v>
      </c>
      <c r="F15" s="4">
        <f t="shared" si="2"/>
        <v>0.99691733373312796</v>
      </c>
      <c r="G15" t="s">
        <v>10</v>
      </c>
    </row>
    <row r="16" spans="1:9" x14ac:dyDescent="0.25">
      <c r="A16">
        <f>PI()/2</f>
        <v>1.5707963267948966</v>
      </c>
      <c r="B16" s="4">
        <f>SIN(A16)</f>
        <v>1</v>
      </c>
      <c r="C16" t="s">
        <v>12</v>
      </c>
      <c r="D16" t="s">
        <v>12</v>
      </c>
      <c r="G16" t="s">
        <v>14</v>
      </c>
    </row>
    <row r="17" spans="2:8" x14ac:dyDescent="0.25">
      <c r="C17">
        <f>SUM(B6:B15)</f>
        <v>5.8531023680873524</v>
      </c>
      <c r="D17" s="4">
        <f>SUM(B7:B16)</f>
        <v>6.8531023680873524</v>
      </c>
      <c r="F17">
        <f>SUM(F6:F15)</f>
        <v>6.3727474215911872</v>
      </c>
      <c r="G17">
        <f>(B6+B16)/2+SUM(B7:B15)</f>
        <v>6.3531023680873524</v>
      </c>
      <c r="H17">
        <f>H6+2*H7+4*H8</f>
        <v>19.098657957674366</v>
      </c>
    </row>
    <row r="18" spans="2:8" x14ac:dyDescent="0.25">
      <c r="C18" s="2">
        <f>C17*E1</f>
        <v>0.91940317001461236</v>
      </c>
      <c r="D18" s="2">
        <f>D17*E1</f>
        <v>1.076482802694102</v>
      </c>
      <c r="F18" s="2">
        <f>F17*E1</f>
        <v>1.0010288241427086</v>
      </c>
      <c r="G18" s="2">
        <f>G17*E1</f>
        <v>0.99794298635435719</v>
      </c>
      <c r="H18" s="2">
        <f>H17*E1/3</f>
        <v>1.0000033922209004</v>
      </c>
    </row>
    <row r="19" spans="2:8" x14ac:dyDescent="0.25">
      <c r="C19">
        <f>ABS($C$4-C18)</f>
        <v>8.0596829985387641E-2</v>
      </c>
      <c r="D19">
        <f t="shared" ref="D19:F19" si="4">ABS($C$4-D18)</f>
        <v>7.6482802694102014E-2</v>
      </c>
      <c r="F19">
        <f t="shared" si="4"/>
        <v>1.0288241427085509E-3</v>
      </c>
      <c r="G19">
        <f>ABS($C$4-G18)</f>
        <v>2.0570136456428134E-3</v>
      </c>
      <c r="H19" s="3">
        <f>ABS($C$4-H18)</f>
        <v>3.3922209004000337E-6</v>
      </c>
    </row>
    <row r="20" spans="2:8" x14ac:dyDescent="0.25">
      <c r="C20" s="6">
        <f>C19/C18</f>
        <v>8.7662118876647654E-2</v>
      </c>
      <c r="D20" s="6">
        <f t="shared" ref="D20:F20" si="5">D19/D18</f>
        <v>7.1048791957186233E-2</v>
      </c>
      <c r="E20" s="6"/>
      <c r="F20" s="6">
        <f t="shared" si="5"/>
        <v>1.0277667514615742E-3</v>
      </c>
      <c r="G20" s="6">
        <f>G19/G18</f>
        <v>2.0612536725744305E-3</v>
      </c>
      <c r="H20" s="7">
        <f>H19/H18</f>
        <v>3.3922093932764313E-6</v>
      </c>
    </row>
    <row r="21" spans="2:8" x14ac:dyDescent="0.25">
      <c r="B21" t="s">
        <v>8</v>
      </c>
      <c r="C21" s="2">
        <f>1/2*(C18+D18)</f>
        <v>0.99794298635435719</v>
      </c>
    </row>
    <row r="22" spans="2:8" x14ac:dyDescent="0.25">
      <c r="C22">
        <f>ABS(C21-C4)</f>
        <v>2.0570136456428134E-3</v>
      </c>
    </row>
    <row r="23" spans="2:8" x14ac:dyDescent="0.25">
      <c r="C23" s="6">
        <f>C22/C21</f>
        <v>2.0612536725744305E-3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Неберущийся</vt:lpstr>
      <vt:lpstr>Традиционный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2022-04-05T13:05:40Z</dcterms:created>
  <dcterms:modified xsi:type="dcterms:W3CDTF">2023-03-13T11:16:14Z</dcterms:modified>
</cp:coreProperties>
</file>