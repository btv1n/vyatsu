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ПМИшечки-3\Алекскандров Эрнест\Численные методы\2 семестр\Lab1\"/>
    </mc:Choice>
  </mc:AlternateContent>
  <xr:revisionPtr revIDLastSave="0" documentId="13_ncr:1_{567CB9E9-EACB-4E47-9D09-F0A3B770C990}" xr6:coauthVersionLast="36" xr6:coauthVersionMax="47" xr10:uidLastSave="{00000000-0000-0000-0000-000000000000}"/>
  <bookViews>
    <workbookView xWindow="-105" yWindow="-105" windowWidth="23250" windowHeight="12570" xr2:uid="{4F249737-594A-4093-8651-DE56DE11AF2B}"/>
  </bookViews>
  <sheets>
    <sheet name="Прямоугольники" sheetId="1" r:id="rId1"/>
    <sheet name="Трапеции" sheetId="2" r:id="rId2"/>
    <sheet name="Парабола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9" i="3" l="1"/>
  <c r="H30" i="3"/>
  <c r="H28" i="3"/>
  <c r="H27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7" i="3"/>
  <c r="I8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G8" i="3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7" i="3"/>
  <c r="G6" i="3"/>
  <c r="H6" i="3" s="1"/>
  <c r="C13" i="3"/>
  <c r="H19" i="2" l="1"/>
  <c r="H18" i="2"/>
  <c r="H17" i="2"/>
  <c r="H7" i="2"/>
  <c r="H8" i="2"/>
  <c r="H9" i="2"/>
  <c r="H10" i="2"/>
  <c r="H11" i="2"/>
  <c r="H12" i="2"/>
  <c r="H13" i="2"/>
  <c r="H14" i="2"/>
  <c r="H15" i="2"/>
  <c r="H16" i="2"/>
  <c r="H6" i="2"/>
  <c r="G8" i="2"/>
  <c r="G9" i="2"/>
  <c r="G10" i="2"/>
  <c r="G11" i="2" s="1"/>
  <c r="G12" i="2" s="1"/>
  <c r="G13" i="2" s="1"/>
  <c r="G14" i="2" s="1"/>
  <c r="G15" i="2" s="1"/>
  <c r="G16" i="2" s="1"/>
  <c r="G7" i="2"/>
  <c r="G6" i="2"/>
  <c r="C12" i="2"/>
  <c r="Q3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11" i="1"/>
  <c r="W14" i="1"/>
  <c r="W16" i="1"/>
  <c r="W18" i="1"/>
  <c r="W20" i="1"/>
  <c r="W22" i="1"/>
  <c r="W24" i="1"/>
  <c r="W26" i="1"/>
  <c r="W28" i="1"/>
  <c r="W30" i="1"/>
  <c r="W12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11" i="1"/>
  <c r="O14" i="1"/>
  <c r="O16" i="1"/>
  <c r="O18" i="1"/>
  <c r="O20" i="1"/>
  <c r="O22" i="1"/>
  <c r="O24" i="1"/>
  <c r="O26" i="1"/>
  <c r="O28" i="1"/>
  <c r="O30" i="1"/>
  <c r="O12" i="1"/>
  <c r="V30" i="1"/>
  <c r="V28" i="1"/>
  <c r="V26" i="1"/>
  <c r="V24" i="1"/>
  <c r="V22" i="1"/>
  <c r="V20" i="1"/>
  <c r="V18" i="1"/>
  <c r="V16" i="1"/>
  <c r="V14" i="1"/>
  <c r="V12" i="1"/>
  <c r="X11" i="1"/>
  <c r="V10" i="1"/>
  <c r="N30" i="1"/>
  <c r="N28" i="1"/>
  <c r="N26" i="1"/>
  <c r="N24" i="1"/>
  <c r="N22" i="1"/>
  <c r="N20" i="1"/>
  <c r="N18" i="1"/>
  <c r="N16" i="1"/>
  <c r="N14" i="1"/>
  <c r="P13" i="1"/>
  <c r="R13" i="1" s="1"/>
  <c r="P12" i="1"/>
  <c r="N12" i="1"/>
  <c r="P11" i="1"/>
  <c r="N10" i="1"/>
  <c r="I11" i="1"/>
  <c r="F10" i="1"/>
  <c r="C17" i="1"/>
  <c r="H11" i="1" s="1"/>
  <c r="H12" i="1" s="1"/>
  <c r="H13" i="1" s="1"/>
  <c r="H14" i="1" s="1"/>
  <c r="I15" i="1" s="1"/>
  <c r="W31" i="1" l="1"/>
  <c r="W32" i="1" s="1"/>
  <c r="X12" i="1"/>
  <c r="Z12" i="1" s="1"/>
  <c r="R14" i="1"/>
  <c r="R12" i="1"/>
  <c r="O31" i="1"/>
  <c r="O32" i="1" s="1"/>
  <c r="P14" i="1"/>
  <c r="F26" i="1"/>
  <c r="F22" i="1"/>
  <c r="G28" i="1"/>
  <c r="G12" i="1"/>
  <c r="G24" i="1"/>
  <c r="F24" i="1"/>
  <c r="I13" i="1"/>
  <c r="I12" i="1"/>
  <c r="F20" i="1"/>
  <c r="F18" i="1"/>
  <c r="F16" i="1"/>
  <c r="F14" i="1"/>
  <c r="J13" i="1"/>
  <c r="F12" i="1"/>
  <c r="F30" i="1"/>
  <c r="F28" i="1"/>
  <c r="I14" i="1"/>
  <c r="H15" i="1"/>
  <c r="X13" i="1" l="1"/>
  <c r="P15" i="1"/>
  <c r="G30" i="1"/>
  <c r="J12" i="1"/>
  <c r="G14" i="1"/>
  <c r="J14" i="1" s="1"/>
  <c r="G16" i="1"/>
  <c r="J16" i="1"/>
  <c r="G18" i="1"/>
  <c r="G26" i="1"/>
  <c r="G20" i="1"/>
  <c r="G22" i="1"/>
  <c r="H16" i="1"/>
  <c r="I16" i="1"/>
  <c r="J15" i="1"/>
  <c r="X14" i="1" l="1"/>
  <c r="Z13" i="1"/>
  <c r="P16" i="1"/>
  <c r="R15" i="1"/>
  <c r="G31" i="1"/>
  <c r="G32" i="1" s="1"/>
  <c r="H17" i="1"/>
  <c r="I17" i="1"/>
  <c r="X15" i="1" l="1"/>
  <c r="Z14" i="1"/>
  <c r="R16" i="1"/>
  <c r="P17" i="1"/>
  <c r="H18" i="1"/>
  <c r="I18" i="1"/>
  <c r="J17" i="1"/>
  <c r="Z15" i="1" l="1"/>
  <c r="X16" i="1"/>
  <c r="P18" i="1"/>
  <c r="R17" i="1"/>
  <c r="H19" i="1"/>
  <c r="I19" i="1"/>
  <c r="J18" i="1"/>
  <c r="Z16" i="1" l="1"/>
  <c r="X17" i="1"/>
  <c r="P19" i="1"/>
  <c r="R18" i="1"/>
  <c r="H20" i="1"/>
  <c r="I20" i="1"/>
  <c r="J19" i="1"/>
  <c r="X18" i="1" l="1"/>
  <c r="Z17" i="1"/>
  <c r="R19" i="1"/>
  <c r="P20" i="1"/>
  <c r="H21" i="1"/>
  <c r="I21" i="1"/>
  <c r="J20" i="1"/>
  <c r="X19" i="1" l="1"/>
  <c r="Z18" i="1"/>
  <c r="P21" i="1"/>
  <c r="R20" i="1"/>
  <c r="H22" i="1"/>
  <c r="I22" i="1"/>
  <c r="J21" i="1"/>
  <c r="Z19" i="1" l="1"/>
  <c r="X20" i="1"/>
  <c r="P22" i="1"/>
  <c r="R21" i="1"/>
  <c r="H23" i="1"/>
  <c r="I23" i="1"/>
  <c r="J22" i="1"/>
  <c r="X21" i="1" l="1"/>
  <c r="Z20" i="1"/>
  <c r="P23" i="1"/>
  <c r="R22" i="1"/>
  <c r="H24" i="1"/>
  <c r="I24" i="1"/>
  <c r="J23" i="1"/>
  <c r="Z21" i="1" l="1"/>
  <c r="X22" i="1"/>
  <c r="R23" i="1"/>
  <c r="P24" i="1"/>
  <c r="H25" i="1"/>
  <c r="I25" i="1"/>
  <c r="J24" i="1"/>
  <c r="Z22" i="1" l="1"/>
  <c r="X23" i="1"/>
  <c r="P25" i="1"/>
  <c r="R24" i="1"/>
  <c r="H26" i="1"/>
  <c r="I26" i="1"/>
  <c r="J25" i="1"/>
  <c r="X24" i="1" l="1"/>
  <c r="Z23" i="1"/>
  <c r="R25" i="1"/>
  <c r="P26" i="1"/>
  <c r="H27" i="1"/>
  <c r="I27" i="1"/>
  <c r="J26" i="1"/>
  <c r="X25" i="1" l="1"/>
  <c r="Z24" i="1"/>
  <c r="P27" i="1"/>
  <c r="R26" i="1"/>
  <c r="H28" i="1"/>
  <c r="I28" i="1"/>
  <c r="J27" i="1"/>
  <c r="X26" i="1" l="1"/>
  <c r="Z25" i="1"/>
  <c r="P28" i="1"/>
  <c r="R27" i="1"/>
  <c r="H29" i="1"/>
  <c r="I29" i="1"/>
  <c r="J28" i="1"/>
  <c r="X27" i="1" l="1"/>
  <c r="Z26" i="1"/>
  <c r="R28" i="1"/>
  <c r="P29" i="1"/>
  <c r="H30" i="1"/>
  <c r="I30" i="1"/>
  <c r="I31" i="1" s="1"/>
  <c r="I32" i="1" s="1"/>
  <c r="J32" i="1" s="1"/>
  <c r="J29" i="1"/>
  <c r="Z27" i="1" l="1"/>
  <c r="X28" i="1"/>
  <c r="R29" i="1"/>
  <c r="Q32" i="1"/>
  <c r="R32" i="1" s="1"/>
  <c r="P30" i="1"/>
  <c r="R30" i="1" s="1"/>
  <c r="J30" i="1"/>
  <c r="X29" i="1" l="1"/>
  <c r="Z28" i="1"/>
  <c r="Y31" i="1" l="1"/>
  <c r="Y32" i="1" s="1"/>
  <c r="Z32" i="1" s="1"/>
  <c r="X30" i="1"/>
  <c r="Z30" i="1" s="1"/>
  <c r="Z29" i="1"/>
</calcChain>
</file>

<file path=xl/sharedStrings.xml><?xml version="1.0" encoding="utf-8"?>
<sst xmlns="http://schemas.openxmlformats.org/spreadsheetml/2006/main" count="58" uniqueCount="25">
  <si>
    <t>Количество отрезков n =</t>
  </si>
  <si>
    <t>a =</t>
  </si>
  <si>
    <t>b =</t>
  </si>
  <si>
    <t>Левые прямоугольники</t>
  </si>
  <si>
    <t>i</t>
  </si>
  <si>
    <t>x_i</t>
  </si>
  <si>
    <t>f(x_i)</t>
  </si>
  <si>
    <t>Шаг h =</t>
  </si>
  <si>
    <t>Сумма</t>
  </si>
  <si>
    <t>I</t>
  </si>
  <si>
    <t>Центральные прямоугольники</t>
  </si>
  <si>
    <t>f(x_(i))</t>
  </si>
  <si>
    <t>f(x_(i - 1))</t>
  </si>
  <si>
    <t>x_i/2</t>
  </si>
  <si>
    <t>f(x_(i/2 -1))</t>
  </si>
  <si>
    <t>abs(f(x_(i - 1))-f(x_(i /2- 1))</t>
  </si>
  <si>
    <t>f(x_(i - 0,5))</t>
  </si>
  <si>
    <t>f(x_(i/2 - 0,5))</t>
  </si>
  <si>
    <t>abs(f(x_(i - 0,5))-f(x_(i/2 - 0,5)))</t>
  </si>
  <si>
    <t>f(x_(i/2))</t>
  </si>
  <si>
    <t>abs(f(x_(i ))-f(x_(i /2))</t>
  </si>
  <si>
    <t>Формула трапеций</t>
  </si>
  <si>
    <t>Формула параболы</t>
  </si>
  <si>
    <t>Четные</t>
  </si>
  <si>
    <t>Нечетные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</si>
</sst>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right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right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right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0" borderId="7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" fillId="3" borderId="7" xfId="0" applyFont="1" applyFill="1" applyBorder="1" applyAlignment="1">
      <alignment horizontal="right" vertical="center"/>
    </xf>
    <xf numFmtId="0" fontId="0" fillId="3" borderId="8" xfId="0" applyFill="1" applyBorder="1" applyAlignment="1">
      <alignment horizontal="center" vertical="center"/>
    </xf>
    <xf numFmtId="0" fontId="1" fillId="0" borderId="11" xfId="0" applyFont="1" applyBorder="1" applyAlignment="1">
      <alignment horizontal="right"/>
    </xf>
    <xf numFmtId="0" fontId="0" fillId="2" borderId="16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2" fontId="0" fillId="0" borderId="1" xfId="0" applyNumberFormat="1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2" fontId="0" fillId="0" borderId="16" xfId="0" applyNumberFormat="1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3" xfId="0" applyBorder="1" applyAlignment="1">
      <alignment horizontal="right"/>
    </xf>
    <xf numFmtId="0" fontId="0" fillId="0" borderId="4" xfId="0" applyFill="1" applyBorder="1" applyAlignment="1">
      <alignment horizontal="center" vertical="center"/>
    </xf>
    <xf numFmtId="0" fontId="0" fillId="0" borderId="7" xfId="0" applyBorder="1" applyAlignment="1">
      <alignment horizontal="right"/>
    </xf>
    <xf numFmtId="0" fontId="0" fillId="0" borderId="8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</xdr:colOff>
      <xdr:row>7</xdr:row>
      <xdr:rowOff>38100</xdr:rowOff>
    </xdr:from>
    <xdr:ext cx="2651760" cy="7415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F5F8B5B-57F7-A210-6D93-359762B0E0FB}"/>
                </a:ext>
              </a:extLst>
            </xdr:cNvPr>
            <xdr:cNvSpPr txBox="1"/>
          </xdr:nvSpPr>
          <xdr:spPr>
            <a:xfrm>
              <a:off x="624840" y="1318260"/>
              <a:ext cx="2651760" cy="741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b="0" i="1">
                        <a:latin typeface="Cambria Math" panose="02040503050406030204" pitchFamily="18" charset="0"/>
                      </a:rPr>
                      <m:t>𝐼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limLoc m:val="undOvr"/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ru-RU" sz="16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  <m:sup>
                        <m:r>
                          <a:rPr lang="ru-RU" sz="1600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ru-RU" sz="1600" b="0" i="1">
                            <a:latin typeface="Cambria Math" panose="02040503050406030204" pitchFamily="18" charset="0"/>
                          </a:rPr>
                          <m:t>0,37</m:t>
                        </m:r>
                        <m:sSup>
                          <m:sSupPr>
                            <m:ctrlPr>
                              <a:rPr lang="ru-RU" sz="16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func>
                              <m:func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funcPr>
                              <m:fName>
                                <m:r>
                                  <m:rPr>
                                    <m:sty m:val="p"/>
                                  </m:rPr>
                                  <a:rPr lang="en-US" sz="1600" b="0" i="0">
                                    <a:latin typeface="Cambria Math" panose="02040503050406030204" pitchFamily="18" charset="0"/>
                                  </a:rPr>
                                  <m:t>sin</m:t>
                                </m:r>
                              </m:fName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func>
                          </m:sup>
                        </m:sSup>
                      </m:e>
                    </m:nary>
                    <m:r>
                      <a:rPr lang="ru-RU" sz="1600" b="0" i="1">
                        <a:latin typeface="Cambria Math" panose="02040503050406030204" pitchFamily="18" charset="0"/>
                      </a:rPr>
                      <m:t>=0,603792</m:t>
                    </m:r>
                  </m:oMath>
                </m:oMathPara>
              </a14:m>
              <a:endParaRPr lang="ru-RU" sz="1600" b="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F5F8B5B-57F7-A210-6D93-359762B0E0FB}"/>
                </a:ext>
              </a:extLst>
            </xdr:cNvPr>
            <xdr:cNvSpPr txBox="1"/>
          </xdr:nvSpPr>
          <xdr:spPr>
            <a:xfrm>
              <a:off x="624840" y="1318260"/>
              <a:ext cx="2651760" cy="741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600" b="0" i="0">
                  <a:latin typeface="Cambria Math" panose="02040503050406030204" pitchFamily="18" charset="0"/>
                </a:rPr>
                <a:t>𝐼=</a:t>
              </a:r>
              <a:r>
                <a:rPr lang="en-US" sz="1600" i="0">
                  <a:latin typeface="Cambria Math" panose="02040503050406030204" pitchFamily="18" charset="0"/>
                </a:rPr>
                <a:t>∫25_</a:t>
              </a:r>
              <a:r>
                <a:rPr lang="ru-RU" sz="1600" b="0" i="0">
                  <a:latin typeface="Cambria Math" panose="02040503050406030204" pitchFamily="18" charset="0"/>
                </a:rPr>
                <a:t>0</a:t>
              </a:r>
              <a:r>
                <a:rPr lang="en-US" sz="1600" b="0" i="0">
                  <a:latin typeface="Cambria Math" panose="02040503050406030204" pitchFamily="18" charset="0"/>
                </a:rPr>
                <a:t>^</a:t>
              </a:r>
              <a:r>
                <a:rPr lang="ru-RU" sz="1600" b="0" i="0">
                  <a:latin typeface="Cambria Math" panose="02040503050406030204" pitchFamily="18" charset="0"/>
                </a:rPr>
                <a:t>1</a:t>
              </a:r>
              <a:r>
                <a:rPr lang="en-US" sz="1600" b="0" i="0">
                  <a:latin typeface="Cambria Math" panose="02040503050406030204" pitchFamily="18" charset="0"/>
                </a:rPr>
                <a:t>▒〖</a:t>
              </a:r>
              <a:r>
                <a:rPr lang="ru-RU" sz="1600" b="0" i="0">
                  <a:latin typeface="Cambria Math" panose="02040503050406030204" pitchFamily="18" charset="0"/>
                </a:rPr>
                <a:t>0,37</a:t>
              </a:r>
              <a:r>
                <a:rPr lang="en-US" sz="1600" b="0" i="0">
                  <a:latin typeface="Cambria Math" panose="02040503050406030204" pitchFamily="18" charset="0"/>
                </a:rPr>
                <a:t>𝑒</a:t>
              </a:r>
              <a:r>
                <a:rPr lang="ru-RU" sz="1600" b="0" i="0">
                  <a:latin typeface="Cambria Math" panose="02040503050406030204" pitchFamily="18" charset="0"/>
                </a:rPr>
                <a:t>^</a:t>
              </a:r>
              <a:r>
                <a:rPr lang="en-US" sz="1600" b="0" i="0">
                  <a:latin typeface="Cambria Math" panose="02040503050406030204" pitchFamily="18" charset="0"/>
                </a:rPr>
                <a:t>sin⁡𝑥</a:t>
              </a:r>
              <a:r>
                <a:rPr lang="ru-RU" sz="1600" b="0" i="0">
                  <a:latin typeface="Cambria Math" panose="02040503050406030204" pitchFamily="18" charset="0"/>
                </a:rPr>
                <a:t> </a:t>
              </a:r>
              <a:r>
                <a:rPr lang="en-US" sz="1600" b="0" i="0">
                  <a:latin typeface="Cambria Math" panose="02040503050406030204" pitchFamily="18" charset="0"/>
                </a:rPr>
                <a:t> 〗</a:t>
              </a:r>
              <a:r>
                <a:rPr lang="ru-RU" sz="1600" b="0" i="0">
                  <a:latin typeface="Cambria Math" panose="02040503050406030204" pitchFamily="18" charset="0"/>
                </a:rPr>
                <a:t>=0,603792</a:t>
              </a:r>
              <a:endParaRPr lang="ru-RU" sz="1600" b="0"/>
            </a:p>
          </xdr:txBody>
        </xdr:sp>
      </mc:Fallback>
    </mc:AlternateContent>
    <xdr:clientData/>
  </xdr:oneCellAnchor>
  <xdr:oneCellAnchor>
    <xdr:from>
      <xdr:col>5</xdr:col>
      <xdr:colOff>0</xdr:colOff>
      <xdr:row>34</xdr:row>
      <xdr:rowOff>0</xdr:rowOff>
    </xdr:from>
    <xdr:ext cx="4008120" cy="7415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EBCC854-DAD9-4FB0-B207-49E881D93935}"/>
                </a:ext>
              </a:extLst>
            </xdr:cNvPr>
            <xdr:cNvSpPr txBox="1"/>
          </xdr:nvSpPr>
          <xdr:spPr>
            <a:xfrm>
              <a:off x="3977640" y="6263640"/>
              <a:ext cx="4008120" cy="741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b="0" i="1">
                        <a:latin typeface="Cambria Math" panose="02040503050406030204" pitchFamily="18" charset="0"/>
                      </a:rPr>
                      <m:t>𝐼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limLoc m:val="undOvr"/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ru-RU" sz="16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  <m:sup>
                        <m:r>
                          <a:rPr lang="ru-RU" sz="1600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ru-RU" sz="1600" b="0" i="1">
                            <a:latin typeface="Cambria Math" panose="02040503050406030204" pitchFamily="18" charset="0"/>
                          </a:rPr>
                          <m:t>0,37</m:t>
                        </m:r>
                        <m:sSup>
                          <m:sSupPr>
                            <m:ctrlPr>
                              <a:rPr lang="ru-RU" sz="16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func>
                              <m:func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funcPr>
                              <m:fName>
                                <m:r>
                                  <m:rPr>
                                    <m:sty m:val="p"/>
                                  </m:rPr>
                                  <a:rPr lang="en-US" sz="1600" b="0" i="0">
                                    <a:latin typeface="Cambria Math" panose="02040503050406030204" pitchFamily="18" charset="0"/>
                                  </a:rPr>
                                  <m:t>sin</m:t>
                                </m:r>
                              </m:fName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func>
                          </m:sup>
                        </m:sSup>
                        <m:r>
                          <a:rPr lang="ru-RU" sz="1600" b="0" i="1">
                            <a:latin typeface="Cambria Math" panose="02040503050406030204" pitchFamily="18" charset="0"/>
                          </a:rPr>
                          <m:t>=0,579±0,012 </m:t>
                        </m:r>
                      </m:e>
                    </m:nary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EBCC854-DAD9-4FB0-B207-49E881D93935}"/>
                </a:ext>
              </a:extLst>
            </xdr:cNvPr>
            <xdr:cNvSpPr txBox="1"/>
          </xdr:nvSpPr>
          <xdr:spPr>
            <a:xfrm>
              <a:off x="3977640" y="6263640"/>
              <a:ext cx="4008120" cy="741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600" b="0" i="0">
                  <a:latin typeface="Cambria Math" panose="02040503050406030204" pitchFamily="18" charset="0"/>
                </a:rPr>
                <a:t>𝐼=</a:t>
              </a:r>
              <a:r>
                <a:rPr lang="en-US" sz="1600" i="0">
                  <a:latin typeface="Cambria Math" panose="02040503050406030204" pitchFamily="18" charset="0"/>
                </a:rPr>
                <a:t>∫25_</a:t>
              </a:r>
              <a:r>
                <a:rPr lang="ru-RU" sz="1600" b="0" i="0">
                  <a:latin typeface="Cambria Math" panose="02040503050406030204" pitchFamily="18" charset="0"/>
                </a:rPr>
                <a:t>0</a:t>
              </a:r>
              <a:r>
                <a:rPr lang="en-US" sz="1600" b="0" i="0">
                  <a:latin typeface="Cambria Math" panose="02040503050406030204" pitchFamily="18" charset="0"/>
                </a:rPr>
                <a:t>^</a:t>
              </a:r>
              <a:r>
                <a:rPr lang="ru-RU" sz="1600" b="0" i="0">
                  <a:latin typeface="Cambria Math" panose="02040503050406030204" pitchFamily="18" charset="0"/>
                </a:rPr>
                <a:t>1</a:t>
              </a:r>
              <a:r>
                <a:rPr lang="en-US" sz="1600" b="0" i="0">
                  <a:latin typeface="Cambria Math" panose="02040503050406030204" pitchFamily="18" charset="0"/>
                </a:rPr>
                <a:t>▒〖</a:t>
              </a:r>
              <a:r>
                <a:rPr lang="ru-RU" sz="1600" b="0" i="0">
                  <a:latin typeface="Cambria Math" panose="02040503050406030204" pitchFamily="18" charset="0"/>
                </a:rPr>
                <a:t>0,37</a:t>
              </a:r>
              <a:r>
                <a:rPr lang="en-US" sz="1600" b="0" i="0">
                  <a:latin typeface="Cambria Math" panose="02040503050406030204" pitchFamily="18" charset="0"/>
                </a:rPr>
                <a:t>𝑒</a:t>
              </a:r>
              <a:r>
                <a:rPr lang="ru-RU" sz="1600" b="0" i="0">
                  <a:latin typeface="Cambria Math" panose="02040503050406030204" pitchFamily="18" charset="0"/>
                </a:rPr>
                <a:t>^</a:t>
              </a:r>
              <a:r>
                <a:rPr lang="en-US" sz="1600" b="0" i="0">
                  <a:latin typeface="Cambria Math" panose="02040503050406030204" pitchFamily="18" charset="0"/>
                </a:rPr>
                <a:t>sin⁡𝑥</a:t>
              </a:r>
              <a:r>
                <a:rPr lang="ru-RU" sz="1600" b="0" i="0">
                  <a:latin typeface="Cambria Math" panose="02040503050406030204" pitchFamily="18" charset="0"/>
                </a:rPr>
                <a:t> =0,579±0,012 </a:t>
              </a:r>
              <a:r>
                <a:rPr lang="en-US" sz="1600" b="0" i="0">
                  <a:latin typeface="Cambria Math" panose="02040503050406030204" pitchFamily="18" charset="0"/>
                </a:rPr>
                <a:t>〗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13</xdr:col>
      <xdr:colOff>15240</xdr:colOff>
      <xdr:row>33</xdr:row>
      <xdr:rowOff>76200</xdr:rowOff>
    </xdr:from>
    <xdr:ext cx="4008120" cy="7415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9D96947-417D-4F8C-A1DE-222B54A07C1E}"/>
                </a:ext>
              </a:extLst>
            </xdr:cNvPr>
            <xdr:cNvSpPr txBox="1"/>
          </xdr:nvSpPr>
          <xdr:spPr>
            <a:xfrm>
              <a:off x="9928860" y="6156960"/>
              <a:ext cx="4008120" cy="741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b="0" i="1">
                        <a:latin typeface="Cambria Math" panose="02040503050406030204" pitchFamily="18" charset="0"/>
                      </a:rPr>
                      <m:t>𝐼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limLoc m:val="undOvr"/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ru-RU" sz="16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  <m:sup>
                        <m:r>
                          <a:rPr lang="ru-RU" sz="1600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ru-RU" sz="1600" b="0" i="1">
                            <a:latin typeface="Cambria Math" panose="02040503050406030204" pitchFamily="18" charset="0"/>
                          </a:rPr>
                          <m:t>0,37</m:t>
                        </m:r>
                        <m:sSup>
                          <m:sSupPr>
                            <m:ctrlPr>
                              <a:rPr lang="ru-RU" sz="16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func>
                              <m:func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funcPr>
                              <m:fName>
                                <m:r>
                                  <m:rPr>
                                    <m:sty m:val="p"/>
                                  </m:rPr>
                                  <a:rPr lang="en-US" sz="1600" b="0" i="0">
                                    <a:latin typeface="Cambria Math" panose="02040503050406030204" pitchFamily="18" charset="0"/>
                                  </a:rPr>
                                  <m:t>sin</m:t>
                                </m:r>
                              </m:fName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func>
                          </m:sup>
                        </m:sSup>
                        <m:r>
                          <a:rPr lang="ru-RU" sz="1600" b="0" i="1">
                            <a:latin typeface="Cambria Math" panose="02040503050406030204" pitchFamily="18" charset="0"/>
                          </a:rPr>
                          <m:t>=0,603±0,012 </m:t>
                        </m:r>
                      </m:e>
                    </m:nary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9D96947-417D-4F8C-A1DE-222B54A07C1E}"/>
                </a:ext>
              </a:extLst>
            </xdr:cNvPr>
            <xdr:cNvSpPr txBox="1"/>
          </xdr:nvSpPr>
          <xdr:spPr>
            <a:xfrm>
              <a:off x="9928860" y="6156960"/>
              <a:ext cx="4008120" cy="741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600" b="0" i="0">
                  <a:latin typeface="Cambria Math" panose="02040503050406030204" pitchFamily="18" charset="0"/>
                </a:rPr>
                <a:t>𝐼=</a:t>
              </a:r>
              <a:r>
                <a:rPr lang="en-US" sz="1600" i="0">
                  <a:latin typeface="Cambria Math" panose="02040503050406030204" pitchFamily="18" charset="0"/>
                </a:rPr>
                <a:t>∫25_</a:t>
              </a:r>
              <a:r>
                <a:rPr lang="ru-RU" sz="1600" b="0" i="0">
                  <a:latin typeface="Cambria Math" panose="02040503050406030204" pitchFamily="18" charset="0"/>
                </a:rPr>
                <a:t>0</a:t>
              </a:r>
              <a:r>
                <a:rPr lang="en-US" sz="1600" b="0" i="0">
                  <a:latin typeface="Cambria Math" panose="02040503050406030204" pitchFamily="18" charset="0"/>
                </a:rPr>
                <a:t>^</a:t>
              </a:r>
              <a:r>
                <a:rPr lang="ru-RU" sz="1600" b="0" i="0">
                  <a:latin typeface="Cambria Math" panose="02040503050406030204" pitchFamily="18" charset="0"/>
                </a:rPr>
                <a:t>1</a:t>
              </a:r>
              <a:r>
                <a:rPr lang="en-US" sz="1600" b="0" i="0">
                  <a:latin typeface="Cambria Math" panose="02040503050406030204" pitchFamily="18" charset="0"/>
                </a:rPr>
                <a:t>▒〖</a:t>
              </a:r>
              <a:r>
                <a:rPr lang="ru-RU" sz="1600" b="0" i="0">
                  <a:latin typeface="Cambria Math" panose="02040503050406030204" pitchFamily="18" charset="0"/>
                </a:rPr>
                <a:t>0,37</a:t>
              </a:r>
              <a:r>
                <a:rPr lang="en-US" sz="1600" b="0" i="0">
                  <a:latin typeface="Cambria Math" panose="02040503050406030204" pitchFamily="18" charset="0"/>
                </a:rPr>
                <a:t>𝑒</a:t>
              </a:r>
              <a:r>
                <a:rPr lang="ru-RU" sz="1600" b="0" i="0">
                  <a:latin typeface="Cambria Math" panose="02040503050406030204" pitchFamily="18" charset="0"/>
                </a:rPr>
                <a:t>^</a:t>
              </a:r>
              <a:r>
                <a:rPr lang="en-US" sz="1600" b="0" i="0">
                  <a:latin typeface="Cambria Math" panose="02040503050406030204" pitchFamily="18" charset="0"/>
                </a:rPr>
                <a:t>sin⁡𝑥</a:t>
              </a:r>
              <a:r>
                <a:rPr lang="ru-RU" sz="1600" b="0" i="0">
                  <a:latin typeface="Cambria Math" panose="02040503050406030204" pitchFamily="18" charset="0"/>
                </a:rPr>
                <a:t> =0,603±0,012 </a:t>
              </a:r>
              <a:r>
                <a:rPr lang="en-US" sz="1600" b="0" i="0">
                  <a:latin typeface="Cambria Math" panose="02040503050406030204" pitchFamily="18" charset="0"/>
                </a:rPr>
                <a:t>〗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21</xdr:col>
      <xdr:colOff>7620</xdr:colOff>
      <xdr:row>33</xdr:row>
      <xdr:rowOff>38100</xdr:rowOff>
    </xdr:from>
    <xdr:ext cx="4008120" cy="7415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CC40A8B-ED61-4A6A-9013-87745E584E1C}"/>
                </a:ext>
              </a:extLst>
            </xdr:cNvPr>
            <xdr:cNvSpPr txBox="1"/>
          </xdr:nvSpPr>
          <xdr:spPr>
            <a:xfrm>
              <a:off x="16413480" y="6118860"/>
              <a:ext cx="4008120" cy="741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b="0" i="1">
                        <a:latin typeface="Cambria Math" panose="02040503050406030204" pitchFamily="18" charset="0"/>
                      </a:rPr>
                      <m:t>𝐼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limLoc m:val="undOvr"/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ru-RU" sz="16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  <m:sup>
                        <m:r>
                          <a:rPr lang="ru-RU" sz="1600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ru-RU" sz="1600" b="0" i="1">
                            <a:latin typeface="Cambria Math" panose="02040503050406030204" pitchFamily="18" charset="0"/>
                          </a:rPr>
                          <m:t>0,37</m:t>
                        </m:r>
                        <m:sSup>
                          <m:sSupPr>
                            <m:ctrlPr>
                              <a:rPr lang="ru-RU" sz="16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func>
                              <m:func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funcPr>
                              <m:fName>
                                <m:r>
                                  <m:rPr>
                                    <m:sty m:val="p"/>
                                  </m:rPr>
                                  <a:rPr lang="en-US" sz="1600" b="0" i="0">
                                    <a:latin typeface="Cambria Math" panose="02040503050406030204" pitchFamily="18" charset="0"/>
                                  </a:rPr>
                                  <m:t>sin</m:t>
                                </m:r>
                              </m:fName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func>
                          </m:sup>
                        </m:sSup>
                        <m:r>
                          <a:rPr lang="ru-RU" sz="1600" b="0" i="1">
                            <a:latin typeface="Cambria Math" panose="02040503050406030204" pitchFamily="18" charset="0"/>
                          </a:rPr>
                          <m:t>=0,628±0,012 </m:t>
                        </m:r>
                      </m:e>
                    </m:nary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CC40A8B-ED61-4A6A-9013-87745E584E1C}"/>
                </a:ext>
              </a:extLst>
            </xdr:cNvPr>
            <xdr:cNvSpPr txBox="1"/>
          </xdr:nvSpPr>
          <xdr:spPr>
            <a:xfrm>
              <a:off x="16413480" y="6118860"/>
              <a:ext cx="4008120" cy="741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600" b="0" i="0">
                  <a:latin typeface="Cambria Math" panose="02040503050406030204" pitchFamily="18" charset="0"/>
                </a:rPr>
                <a:t>𝐼=</a:t>
              </a:r>
              <a:r>
                <a:rPr lang="en-US" sz="1600" i="0">
                  <a:latin typeface="Cambria Math" panose="02040503050406030204" pitchFamily="18" charset="0"/>
                </a:rPr>
                <a:t>∫25_</a:t>
              </a:r>
              <a:r>
                <a:rPr lang="ru-RU" sz="1600" b="0" i="0">
                  <a:latin typeface="Cambria Math" panose="02040503050406030204" pitchFamily="18" charset="0"/>
                </a:rPr>
                <a:t>0</a:t>
              </a:r>
              <a:r>
                <a:rPr lang="en-US" sz="1600" b="0" i="0">
                  <a:latin typeface="Cambria Math" panose="02040503050406030204" pitchFamily="18" charset="0"/>
                </a:rPr>
                <a:t>^</a:t>
              </a:r>
              <a:r>
                <a:rPr lang="ru-RU" sz="1600" b="0" i="0">
                  <a:latin typeface="Cambria Math" panose="02040503050406030204" pitchFamily="18" charset="0"/>
                </a:rPr>
                <a:t>1</a:t>
              </a:r>
              <a:r>
                <a:rPr lang="en-US" sz="1600" b="0" i="0">
                  <a:latin typeface="Cambria Math" panose="02040503050406030204" pitchFamily="18" charset="0"/>
                </a:rPr>
                <a:t>▒〖</a:t>
              </a:r>
              <a:r>
                <a:rPr lang="ru-RU" sz="1600" b="0" i="0">
                  <a:latin typeface="Cambria Math" panose="02040503050406030204" pitchFamily="18" charset="0"/>
                </a:rPr>
                <a:t>0,37</a:t>
              </a:r>
              <a:r>
                <a:rPr lang="en-US" sz="1600" b="0" i="0">
                  <a:latin typeface="Cambria Math" panose="02040503050406030204" pitchFamily="18" charset="0"/>
                </a:rPr>
                <a:t>𝑒</a:t>
              </a:r>
              <a:r>
                <a:rPr lang="ru-RU" sz="1600" b="0" i="0">
                  <a:latin typeface="Cambria Math" panose="02040503050406030204" pitchFamily="18" charset="0"/>
                </a:rPr>
                <a:t>^</a:t>
              </a:r>
              <a:r>
                <a:rPr lang="en-US" sz="1600" b="0" i="0">
                  <a:latin typeface="Cambria Math" panose="02040503050406030204" pitchFamily="18" charset="0"/>
                </a:rPr>
                <a:t>sin⁡𝑥</a:t>
              </a:r>
              <a:r>
                <a:rPr lang="ru-RU" sz="1600" b="0" i="0">
                  <a:latin typeface="Cambria Math" panose="02040503050406030204" pitchFamily="18" charset="0"/>
                </a:rPr>
                <a:t> =0,628±0,012 </a:t>
              </a:r>
              <a:r>
                <a:rPr lang="en-US" sz="1600" b="0" i="0">
                  <a:latin typeface="Cambria Math" panose="02040503050406030204" pitchFamily="18" charset="0"/>
                </a:rPr>
                <a:t>〗</a:t>
              </a:r>
              <a:endParaRPr lang="en-US" sz="16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327660</xdr:colOff>
      <xdr:row>1</xdr:row>
      <xdr:rowOff>53340</xdr:rowOff>
    </xdr:from>
    <xdr:ext cx="2651760" cy="7415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E58774E-FF0B-4CD7-A83D-B856F2ED935D}"/>
                </a:ext>
              </a:extLst>
            </xdr:cNvPr>
            <xdr:cNvSpPr txBox="1"/>
          </xdr:nvSpPr>
          <xdr:spPr>
            <a:xfrm>
              <a:off x="327660" y="236220"/>
              <a:ext cx="2651760" cy="741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b="0" i="1">
                        <a:latin typeface="Cambria Math" panose="02040503050406030204" pitchFamily="18" charset="0"/>
                      </a:rPr>
                      <m:t>𝐼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limLoc m:val="undOvr"/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ru-RU" sz="16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  <m:sup>
                        <m:r>
                          <a:rPr lang="ru-RU" sz="1600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ru-RU" sz="1600" b="0" i="1">
                            <a:latin typeface="Cambria Math" panose="02040503050406030204" pitchFamily="18" charset="0"/>
                          </a:rPr>
                          <m:t>0,37</m:t>
                        </m:r>
                        <m:sSup>
                          <m:sSupPr>
                            <m:ctrlPr>
                              <a:rPr lang="ru-RU" sz="16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func>
                              <m:func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funcPr>
                              <m:fName>
                                <m:r>
                                  <m:rPr>
                                    <m:sty m:val="p"/>
                                  </m:rPr>
                                  <a:rPr lang="en-US" sz="1600" b="0" i="0">
                                    <a:latin typeface="Cambria Math" panose="02040503050406030204" pitchFamily="18" charset="0"/>
                                  </a:rPr>
                                  <m:t>sin</m:t>
                                </m:r>
                              </m:fName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func>
                          </m:sup>
                        </m:sSup>
                      </m:e>
                    </m:nary>
                    <m:r>
                      <a:rPr lang="ru-RU" sz="1600" b="0" i="1">
                        <a:latin typeface="Cambria Math" panose="02040503050406030204" pitchFamily="18" charset="0"/>
                      </a:rPr>
                      <m:t>=0,603792</m:t>
                    </m:r>
                  </m:oMath>
                </m:oMathPara>
              </a14:m>
              <a:endParaRPr lang="ru-RU" sz="1600" b="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E58774E-FF0B-4CD7-A83D-B856F2ED935D}"/>
                </a:ext>
              </a:extLst>
            </xdr:cNvPr>
            <xdr:cNvSpPr txBox="1"/>
          </xdr:nvSpPr>
          <xdr:spPr>
            <a:xfrm>
              <a:off x="327660" y="236220"/>
              <a:ext cx="2651760" cy="741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600" b="0" i="0">
                  <a:latin typeface="Cambria Math" panose="02040503050406030204" pitchFamily="18" charset="0"/>
                </a:rPr>
                <a:t>𝐼=</a:t>
              </a:r>
              <a:r>
                <a:rPr lang="en-US" sz="1600" i="0">
                  <a:latin typeface="Cambria Math" panose="02040503050406030204" pitchFamily="18" charset="0"/>
                </a:rPr>
                <a:t>∫25_</a:t>
              </a:r>
              <a:r>
                <a:rPr lang="ru-RU" sz="1600" b="0" i="0">
                  <a:latin typeface="Cambria Math" panose="02040503050406030204" pitchFamily="18" charset="0"/>
                </a:rPr>
                <a:t>0</a:t>
              </a:r>
              <a:r>
                <a:rPr lang="en-US" sz="1600" b="0" i="0">
                  <a:latin typeface="Cambria Math" panose="02040503050406030204" pitchFamily="18" charset="0"/>
                </a:rPr>
                <a:t>^</a:t>
              </a:r>
              <a:r>
                <a:rPr lang="ru-RU" sz="1600" b="0" i="0">
                  <a:latin typeface="Cambria Math" panose="02040503050406030204" pitchFamily="18" charset="0"/>
                </a:rPr>
                <a:t>1</a:t>
              </a:r>
              <a:r>
                <a:rPr lang="en-US" sz="1600" b="0" i="0">
                  <a:latin typeface="Cambria Math" panose="02040503050406030204" pitchFamily="18" charset="0"/>
                </a:rPr>
                <a:t>▒〖</a:t>
              </a:r>
              <a:r>
                <a:rPr lang="ru-RU" sz="1600" b="0" i="0">
                  <a:latin typeface="Cambria Math" panose="02040503050406030204" pitchFamily="18" charset="0"/>
                </a:rPr>
                <a:t>0,37</a:t>
              </a:r>
              <a:r>
                <a:rPr lang="en-US" sz="1600" b="0" i="0">
                  <a:latin typeface="Cambria Math" panose="02040503050406030204" pitchFamily="18" charset="0"/>
                </a:rPr>
                <a:t>𝑒</a:t>
              </a:r>
              <a:r>
                <a:rPr lang="ru-RU" sz="1600" b="0" i="0">
                  <a:latin typeface="Cambria Math" panose="02040503050406030204" pitchFamily="18" charset="0"/>
                </a:rPr>
                <a:t>^</a:t>
              </a:r>
              <a:r>
                <a:rPr lang="en-US" sz="1600" b="0" i="0">
                  <a:latin typeface="Cambria Math" panose="02040503050406030204" pitchFamily="18" charset="0"/>
                </a:rPr>
                <a:t>sin⁡𝑥</a:t>
              </a:r>
              <a:r>
                <a:rPr lang="ru-RU" sz="1600" b="0" i="0">
                  <a:latin typeface="Cambria Math" panose="02040503050406030204" pitchFamily="18" charset="0"/>
                </a:rPr>
                <a:t> </a:t>
              </a:r>
              <a:r>
                <a:rPr lang="en-US" sz="1600" b="0" i="0">
                  <a:latin typeface="Cambria Math" panose="02040503050406030204" pitchFamily="18" charset="0"/>
                </a:rPr>
                <a:t> 〗</a:t>
              </a:r>
              <a:r>
                <a:rPr lang="ru-RU" sz="1600" b="0" i="0">
                  <a:latin typeface="Cambria Math" panose="02040503050406030204" pitchFamily="18" charset="0"/>
                </a:rPr>
                <a:t>=0,603792</a:t>
              </a:r>
              <a:endParaRPr lang="ru-RU" sz="1600" b="0"/>
            </a:p>
          </xdr:txBody>
        </xdr:sp>
      </mc:Fallback>
    </mc:AlternateContent>
    <xdr:clientData/>
  </xdr:oneCellAnchor>
  <xdr:oneCellAnchor>
    <xdr:from>
      <xdr:col>0</xdr:col>
      <xdr:colOff>335280</xdr:colOff>
      <xdr:row>6</xdr:row>
      <xdr:rowOff>0</xdr:rowOff>
    </xdr:from>
    <xdr:ext cx="2334101" cy="2637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3C8C106-AA92-F05C-AECE-D2378181D987}"/>
                </a:ext>
              </a:extLst>
            </xdr:cNvPr>
            <xdr:cNvSpPr txBox="1"/>
          </xdr:nvSpPr>
          <xdr:spPr>
            <a:xfrm>
              <a:off x="335280" y="1112520"/>
              <a:ext cx="2334101" cy="2637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p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′</m:t>
                        </m:r>
                      </m:sup>
                    </m:sSup>
                    <m:d>
                      <m:d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n-US" sz="1600" b="0" i="1">
                        <a:latin typeface="Cambria Math" panose="02040503050406030204" pitchFamily="18" charset="0"/>
                      </a:rPr>
                      <m:t>=0,37</m:t>
                    </m:r>
                    <m:sSup>
                      <m:sSup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func>
                          <m:func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en-US" sz="1600" b="0" i="0">
                                <a:latin typeface="Cambria Math" panose="02040503050406030204" pitchFamily="18" charset="0"/>
                              </a:rPr>
                              <m:t>sin</m:t>
                            </m:r>
                          </m:fName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func>
                      </m:sup>
                    </m:sSup>
                    <m:r>
                      <a:rPr lang="en-US" sz="1600" b="0" i="1">
                        <a:latin typeface="Cambria Math" panose="02040503050406030204" pitchFamily="18" charset="0"/>
                      </a:rPr>
                      <m:t>∗</m:t>
                    </m:r>
                    <m:func>
                      <m:func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600" b="0" i="0">
                            <a:latin typeface="Cambria Math" panose="02040503050406030204" pitchFamily="18" charset="0"/>
                          </a:rPr>
                          <m:t>cos</m:t>
                        </m:r>
                      </m:fName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fun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3C8C106-AA92-F05C-AECE-D2378181D987}"/>
                </a:ext>
              </a:extLst>
            </xdr:cNvPr>
            <xdr:cNvSpPr txBox="1"/>
          </xdr:nvSpPr>
          <xdr:spPr>
            <a:xfrm>
              <a:off x="335280" y="1112520"/>
              <a:ext cx="2334101" cy="2637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600" b="0" i="0">
                  <a:latin typeface="Cambria Math" panose="02040503050406030204" pitchFamily="18" charset="0"/>
                </a:rPr>
                <a:t>𝑓^′ (𝑥)=0,37𝑒^sin⁡𝑥 ∗cos⁡𝑥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289560</xdr:colOff>
      <xdr:row>18</xdr:row>
      <xdr:rowOff>175260</xdr:rowOff>
    </xdr:from>
    <xdr:ext cx="4008120" cy="7415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9CB49A15-DA8C-4574-86E5-923BFF1FED71}"/>
                </a:ext>
              </a:extLst>
            </xdr:cNvPr>
            <xdr:cNvSpPr txBox="1"/>
          </xdr:nvSpPr>
          <xdr:spPr>
            <a:xfrm>
              <a:off x="3048000" y="3512820"/>
              <a:ext cx="4008120" cy="741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b="0" i="1">
                        <a:latin typeface="Cambria Math" panose="02040503050406030204" pitchFamily="18" charset="0"/>
                      </a:rPr>
                      <m:t>𝐼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limLoc m:val="undOvr"/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ru-RU" sz="16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  <m:sup>
                        <m:r>
                          <a:rPr lang="ru-RU" sz="1600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ru-RU" sz="1600" b="0" i="1">
                            <a:latin typeface="Cambria Math" panose="02040503050406030204" pitchFamily="18" charset="0"/>
                          </a:rPr>
                          <m:t>0,37</m:t>
                        </m:r>
                        <m:sSup>
                          <m:sSupPr>
                            <m:ctrlPr>
                              <a:rPr lang="ru-RU" sz="16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func>
                              <m:func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funcPr>
                              <m:fName>
                                <m:r>
                                  <m:rPr>
                                    <m:sty m:val="p"/>
                                  </m:rPr>
                                  <a:rPr lang="en-US" sz="1600" b="0" i="0">
                                    <a:latin typeface="Cambria Math" panose="02040503050406030204" pitchFamily="18" charset="0"/>
                                  </a:rPr>
                                  <m:t>sin</m:t>
                                </m:r>
                              </m:fName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func>
                          </m:sup>
                        </m:sSup>
                        <m:r>
                          <a:rPr lang="ru-RU" sz="1600" b="0" i="1">
                            <a:latin typeface="Cambria Math" panose="02040503050406030204" pitchFamily="18" charset="0"/>
                          </a:rPr>
                          <m:t>=0,</m:t>
                        </m:r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603870</m:t>
                        </m:r>
                        <m:r>
                          <a:rPr lang="ru-RU" sz="1600" b="0" i="1">
                            <a:latin typeface="Cambria Math" panose="02040503050406030204" pitchFamily="18" charset="0"/>
                          </a:rPr>
                          <m:t>±0,0</m:t>
                        </m:r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00078</m:t>
                        </m:r>
                        <m:r>
                          <a:rPr lang="ru-RU" sz="1600" b="0" i="1">
                            <a:latin typeface="Cambria Math" panose="02040503050406030204" pitchFamily="18" charset="0"/>
                          </a:rPr>
                          <m:t> </m:t>
                        </m:r>
                      </m:e>
                    </m:nary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9CB49A15-DA8C-4574-86E5-923BFF1FED71}"/>
                </a:ext>
              </a:extLst>
            </xdr:cNvPr>
            <xdr:cNvSpPr txBox="1"/>
          </xdr:nvSpPr>
          <xdr:spPr>
            <a:xfrm>
              <a:off x="3048000" y="3512820"/>
              <a:ext cx="4008120" cy="741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600" b="0" i="0">
                  <a:latin typeface="Cambria Math" panose="02040503050406030204" pitchFamily="18" charset="0"/>
                </a:rPr>
                <a:t>𝐼=</a:t>
              </a:r>
              <a:r>
                <a:rPr lang="en-US" sz="1600" i="0">
                  <a:latin typeface="Cambria Math" panose="02040503050406030204" pitchFamily="18" charset="0"/>
                </a:rPr>
                <a:t>∫25_</a:t>
              </a:r>
              <a:r>
                <a:rPr lang="ru-RU" sz="1600" b="0" i="0">
                  <a:latin typeface="Cambria Math" panose="02040503050406030204" pitchFamily="18" charset="0"/>
                </a:rPr>
                <a:t>0</a:t>
              </a:r>
              <a:r>
                <a:rPr lang="en-US" sz="1600" b="0" i="0">
                  <a:latin typeface="Cambria Math" panose="02040503050406030204" pitchFamily="18" charset="0"/>
                </a:rPr>
                <a:t>^</a:t>
              </a:r>
              <a:r>
                <a:rPr lang="ru-RU" sz="1600" b="0" i="0">
                  <a:latin typeface="Cambria Math" panose="02040503050406030204" pitchFamily="18" charset="0"/>
                </a:rPr>
                <a:t>1</a:t>
              </a:r>
              <a:r>
                <a:rPr lang="en-US" sz="1600" b="0" i="0">
                  <a:latin typeface="Cambria Math" panose="02040503050406030204" pitchFamily="18" charset="0"/>
                </a:rPr>
                <a:t>▒〖</a:t>
              </a:r>
              <a:r>
                <a:rPr lang="ru-RU" sz="1600" b="0" i="0">
                  <a:latin typeface="Cambria Math" panose="02040503050406030204" pitchFamily="18" charset="0"/>
                </a:rPr>
                <a:t>0,37</a:t>
              </a:r>
              <a:r>
                <a:rPr lang="en-US" sz="1600" b="0" i="0">
                  <a:latin typeface="Cambria Math" panose="02040503050406030204" pitchFamily="18" charset="0"/>
                </a:rPr>
                <a:t>𝑒</a:t>
              </a:r>
              <a:r>
                <a:rPr lang="ru-RU" sz="1600" b="0" i="0">
                  <a:latin typeface="Cambria Math" panose="02040503050406030204" pitchFamily="18" charset="0"/>
                </a:rPr>
                <a:t>^</a:t>
              </a:r>
              <a:r>
                <a:rPr lang="en-US" sz="1600" b="0" i="0">
                  <a:latin typeface="Cambria Math" panose="02040503050406030204" pitchFamily="18" charset="0"/>
                </a:rPr>
                <a:t>sin⁡𝑥</a:t>
              </a:r>
              <a:r>
                <a:rPr lang="ru-RU" sz="1600" b="0" i="0">
                  <a:latin typeface="Cambria Math" panose="02040503050406030204" pitchFamily="18" charset="0"/>
                </a:rPr>
                <a:t> =0,</a:t>
              </a:r>
              <a:r>
                <a:rPr lang="en-US" sz="1600" b="0" i="0">
                  <a:latin typeface="Cambria Math" panose="02040503050406030204" pitchFamily="18" charset="0"/>
                </a:rPr>
                <a:t>603870</a:t>
              </a:r>
              <a:r>
                <a:rPr lang="ru-RU" sz="1600" b="0" i="0">
                  <a:latin typeface="Cambria Math" panose="02040503050406030204" pitchFamily="18" charset="0"/>
                </a:rPr>
                <a:t>±0,0</a:t>
              </a:r>
              <a:r>
                <a:rPr lang="en-US" sz="1600" b="0" i="0">
                  <a:latin typeface="Cambria Math" panose="02040503050406030204" pitchFamily="18" charset="0"/>
                </a:rPr>
                <a:t>00078</a:t>
              </a:r>
              <a:r>
                <a:rPr lang="ru-RU" sz="1600" b="0" i="0">
                  <a:latin typeface="Cambria Math" panose="02040503050406030204" pitchFamily="18" charset="0"/>
                </a:rPr>
                <a:t> </a:t>
              </a:r>
              <a:r>
                <a:rPr lang="en-US" sz="1600" b="0" i="0">
                  <a:latin typeface="Cambria Math" panose="02040503050406030204" pitchFamily="18" charset="0"/>
                </a:rPr>
                <a:t>〗</a:t>
              </a:r>
              <a:endParaRPr lang="en-US" sz="16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438150</xdr:colOff>
      <xdr:row>2</xdr:row>
      <xdr:rowOff>28575</xdr:rowOff>
    </xdr:from>
    <xdr:ext cx="2651760" cy="74155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9333AED-A94B-4AAE-95FC-0A54392D28C8}"/>
                </a:ext>
              </a:extLst>
            </xdr:cNvPr>
            <xdr:cNvSpPr txBox="1"/>
          </xdr:nvSpPr>
          <xdr:spPr>
            <a:xfrm>
              <a:off x="438150" y="409575"/>
              <a:ext cx="2651760" cy="741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b="0" i="1">
                        <a:latin typeface="Cambria Math" panose="02040503050406030204" pitchFamily="18" charset="0"/>
                      </a:rPr>
                      <m:t>𝐼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limLoc m:val="undOvr"/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ru-RU" sz="16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  <m:sup>
                        <m:r>
                          <a:rPr lang="ru-RU" sz="1600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ru-RU" sz="1600" b="0" i="1">
                            <a:latin typeface="Cambria Math" panose="02040503050406030204" pitchFamily="18" charset="0"/>
                          </a:rPr>
                          <m:t>0,37</m:t>
                        </m:r>
                        <m:sSup>
                          <m:sSupPr>
                            <m:ctrlPr>
                              <a:rPr lang="ru-RU" sz="16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func>
                              <m:func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funcPr>
                              <m:fName>
                                <m:r>
                                  <m:rPr>
                                    <m:sty m:val="p"/>
                                  </m:rPr>
                                  <a:rPr lang="en-US" sz="1600" b="0" i="0">
                                    <a:latin typeface="Cambria Math" panose="02040503050406030204" pitchFamily="18" charset="0"/>
                                  </a:rPr>
                                  <m:t>sin</m:t>
                                </m:r>
                              </m:fName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func>
                          </m:sup>
                        </m:sSup>
                      </m:e>
                    </m:nary>
                    <m:r>
                      <a:rPr lang="ru-RU" sz="1600" b="0" i="1">
                        <a:latin typeface="Cambria Math" panose="02040503050406030204" pitchFamily="18" charset="0"/>
                      </a:rPr>
                      <m:t>=0,603792</m:t>
                    </m:r>
                  </m:oMath>
                </m:oMathPara>
              </a14:m>
              <a:endParaRPr lang="ru-RU" sz="1600" b="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9333AED-A94B-4AAE-95FC-0A54392D28C8}"/>
                </a:ext>
              </a:extLst>
            </xdr:cNvPr>
            <xdr:cNvSpPr txBox="1"/>
          </xdr:nvSpPr>
          <xdr:spPr>
            <a:xfrm>
              <a:off x="438150" y="409575"/>
              <a:ext cx="2651760" cy="741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𝐼=</a:t>
              </a:r>
              <a:r>
                <a:rPr lang="en-US" sz="1600" i="0">
                  <a:latin typeface="Cambria Math" panose="02040503050406030204" pitchFamily="18" charset="0"/>
                </a:rPr>
                <a:t>∫1</a:t>
              </a:r>
              <a:r>
                <a:rPr lang="ru-RU" sz="1600" b="0" i="0">
                  <a:latin typeface="Cambria Math" panose="02040503050406030204" pitchFamily="18" charset="0"/>
                </a:rPr>
                <a:t>_0^1</a:t>
              </a:r>
              <a:r>
                <a:rPr lang="en-US" sz="1600" b="0" i="0">
                  <a:latin typeface="Cambria Math" panose="02040503050406030204" pitchFamily="18" charset="0"/>
                </a:rPr>
                <a:t>▒</a:t>
              </a:r>
              <a:r>
                <a:rPr lang="ru-RU" sz="1600" b="0" i="0">
                  <a:latin typeface="Cambria Math" panose="02040503050406030204" pitchFamily="18" charset="0"/>
                </a:rPr>
                <a:t>〖0,37</a:t>
              </a:r>
              <a:r>
                <a:rPr lang="en-US" sz="1600" b="0" i="0">
                  <a:latin typeface="Cambria Math" panose="02040503050406030204" pitchFamily="18" charset="0"/>
                </a:rPr>
                <a:t>𝑒</a:t>
              </a:r>
              <a:r>
                <a:rPr lang="ru-RU" sz="1600" b="0" i="0">
                  <a:latin typeface="Cambria Math" panose="02040503050406030204" pitchFamily="18" charset="0"/>
                </a:rPr>
                <a:t>^</a:t>
              </a:r>
              <a:r>
                <a:rPr lang="en-US" sz="1600" b="0" i="0">
                  <a:latin typeface="Cambria Math" panose="02040503050406030204" pitchFamily="18" charset="0"/>
                </a:rPr>
                <a:t>sin⁡𝑥  </a:t>
              </a:r>
              <a:r>
                <a:rPr lang="ru-RU" sz="1600" b="0" i="0">
                  <a:latin typeface="Cambria Math" panose="02040503050406030204" pitchFamily="18" charset="0"/>
                </a:rPr>
                <a:t>〗=0,603792</a:t>
              </a:r>
              <a:endParaRPr lang="ru-RU" sz="1600" b="0"/>
            </a:p>
          </xdr:txBody>
        </xdr:sp>
      </mc:Fallback>
    </mc:AlternateContent>
    <xdr:clientData/>
  </xdr:oneCellAnchor>
  <xdr:oneCellAnchor>
    <xdr:from>
      <xdr:col>2</xdr:col>
      <xdr:colOff>552450</xdr:colOff>
      <xdr:row>31</xdr:row>
      <xdr:rowOff>95250</xdr:rowOff>
    </xdr:from>
    <xdr:ext cx="4381500" cy="74155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A66F21D-9634-46CB-BA65-83D40AD8C261}"/>
                </a:ext>
              </a:extLst>
            </xdr:cNvPr>
            <xdr:cNvSpPr txBox="1"/>
          </xdr:nvSpPr>
          <xdr:spPr>
            <a:xfrm>
              <a:off x="2743200" y="6067425"/>
              <a:ext cx="4381500" cy="741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b="0" i="1">
                        <a:latin typeface="Cambria Math" panose="02040503050406030204" pitchFamily="18" charset="0"/>
                      </a:rPr>
                      <m:t>𝐼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limLoc m:val="undOvr"/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ru-RU" sz="16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  <m:sup>
                        <m:r>
                          <a:rPr lang="ru-RU" sz="1600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ru-RU" sz="1600" b="0" i="1">
                            <a:latin typeface="Cambria Math" panose="02040503050406030204" pitchFamily="18" charset="0"/>
                          </a:rPr>
                          <m:t>0,37</m:t>
                        </m:r>
                        <m:sSup>
                          <m:sSupPr>
                            <m:ctrlPr>
                              <a:rPr lang="ru-RU" sz="16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func>
                              <m:func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funcPr>
                              <m:fName>
                                <m:r>
                                  <m:rPr>
                                    <m:sty m:val="p"/>
                                  </m:rPr>
                                  <a:rPr lang="en-US" sz="1600" b="0" i="0">
                                    <a:latin typeface="Cambria Math" panose="02040503050406030204" pitchFamily="18" charset="0"/>
                                  </a:rPr>
                                  <m:t>sin</m:t>
                                </m:r>
                              </m:fName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func>
                          </m:sup>
                        </m:sSup>
                        <m:r>
                          <a:rPr lang="ru-RU" sz="1600" b="0" i="1">
                            <a:latin typeface="Cambria Math" panose="02040503050406030204" pitchFamily="18" charset="0"/>
                          </a:rPr>
                          <m:t>=0,</m:t>
                        </m:r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60379170</m:t>
                        </m:r>
                        <m:r>
                          <a:rPr lang="ru-RU" sz="1600" b="0" i="1">
                            <a:latin typeface="Cambria Math" panose="02040503050406030204" pitchFamily="18" charset="0"/>
                          </a:rPr>
                          <m:t>±0,0</m:t>
                        </m:r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0000029</m:t>
                        </m:r>
                      </m:e>
                    </m:nary>
                  </m:oMath>
                </m:oMathPara>
              </a14:m>
              <a:endParaRPr lang="en-US" sz="16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A66F21D-9634-46CB-BA65-83D40AD8C261}"/>
                </a:ext>
              </a:extLst>
            </xdr:cNvPr>
            <xdr:cNvSpPr txBox="1"/>
          </xdr:nvSpPr>
          <xdr:spPr>
            <a:xfrm>
              <a:off x="2743200" y="6067425"/>
              <a:ext cx="4381500" cy="741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𝐼=</a:t>
              </a:r>
              <a:r>
                <a:rPr lang="en-US" sz="1600" i="0">
                  <a:latin typeface="Cambria Math" panose="02040503050406030204" pitchFamily="18" charset="0"/>
                </a:rPr>
                <a:t>∫1</a:t>
              </a:r>
              <a:r>
                <a:rPr lang="ru-RU" sz="1600" b="0" i="0">
                  <a:latin typeface="Cambria Math" panose="02040503050406030204" pitchFamily="18" charset="0"/>
                </a:rPr>
                <a:t>_0^1▒〖0,37</a:t>
              </a:r>
              <a:r>
                <a:rPr lang="en-US" sz="1600" b="0" i="0">
                  <a:latin typeface="Cambria Math" panose="02040503050406030204" pitchFamily="18" charset="0"/>
                </a:rPr>
                <a:t>𝑒</a:t>
              </a:r>
              <a:r>
                <a:rPr lang="ru-RU" sz="1600" b="0" i="0">
                  <a:latin typeface="Cambria Math" panose="02040503050406030204" pitchFamily="18" charset="0"/>
                </a:rPr>
                <a:t>^</a:t>
              </a:r>
              <a:r>
                <a:rPr lang="en-US" sz="1600" b="0" i="0">
                  <a:latin typeface="Cambria Math" panose="02040503050406030204" pitchFamily="18" charset="0"/>
                </a:rPr>
                <a:t>sin⁡𝑥 </a:t>
              </a:r>
              <a:r>
                <a:rPr lang="ru-RU" sz="1600" b="0" i="0">
                  <a:latin typeface="Cambria Math" panose="02040503050406030204" pitchFamily="18" charset="0"/>
                </a:rPr>
                <a:t>=0,</a:t>
              </a:r>
              <a:r>
                <a:rPr lang="en-US" sz="1600" b="0" i="0">
                  <a:latin typeface="Cambria Math" panose="02040503050406030204" pitchFamily="18" charset="0"/>
                </a:rPr>
                <a:t>60379170</a:t>
              </a:r>
              <a:r>
                <a:rPr lang="ru-RU" sz="1600" b="0" i="0">
                  <a:latin typeface="Cambria Math" panose="02040503050406030204" pitchFamily="18" charset="0"/>
                </a:rPr>
                <a:t>±0,0</a:t>
              </a:r>
              <a:r>
                <a:rPr lang="en-US" sz="1600" b="0" i="0">
                  <a:latin typeface="Cambria Math" panose="02040503050406030204" pitchFamily="18" charset="0"/>
                </a:rPr>
                <a:t>0000029</a:t>
              </a:r>
              <a:r>
                <a:rPr lang="ru-RU" sz="1600" b="0" i="0">
                  <a:latin typeface="Cambria Math" panose="02040503050406030204" pitchFamily="18" charset="0"/>
                </a:rPr>
                <a:t>〗</a:t>
              </a:r>
              <a:endParaRPr lang="en-US" sz="16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52E72-8719-405E-AFEC-2DA3160B145F}">
  <dimension ref="B8:Z32"/>
  <sheetViews>
    <sheetView tabSelected="1" zoomScaleNormal="100" workbookViewId="0">
      <selection activeCell="C27" sqref="C27"/>
    </sheetView>
  </sheetViews>
  <sheetFormatPr defaultColWidth="8.85546875" defaultRowHeight="15" x14ac:dyDescent="0.25"/>
  <cols>
    <col min="1" max="1" width="8.85546875" style="1"/>
    <col min="2" max="2" width="22.42578125" style="1" bestFit="1" customWidth="1"/>
    <col min="3" max="6" width="8.85546875" style="1"/>
    <col min="7" max="7" width="12" style="1" bestFit="1" customWidth="1"/>
    <col min="8" max="8" width="8.85546875" style="1"/>
    <col min="9" max="9" width="10.140625" style="1" bestFit="1" customWidth="1"/>
    <col min="10" max="10" width="22.7109375" style="1" bestFit="1" customWidth="1"/>
    <col min="11" max="11" width="7.5703125" style="1" bestFit="1" customWidth="1"/>
    <col min="12" max="12" width="7.5703125" style="1" customWidth="1"/>
    <col min="13" max="14" width="8.85546875" style="1"/>
    <col min="15" max="15" width="12" style="1" bestFit="1" customWidth="1"/>
    <col min="16" max="16" width="8.85546875" style="1"/>
    <col min="17" max="17" width="12" style="1" bestFit="1" customWidth="1"/>
    <col min="18" max="18" width="26.28515625" style="1" bestFit="1" customWidth="1"/>
    <col min="19" max="22" width="8.85546875" style="1"/>
    <col min="23" max="23" width="12" style="1" bestFit="1" customWidth="1"/>
    <col min="24" max="24" width="8.85546875" style="1"/>
    <col min="25" max="25" width="12" style="1" bestFit="1" customWidth="1"/>
    <col min="26" max="26" width="22.7109375" style="1" bestFit="1" customWidth="1"/>
    <col min="27" max="16384" width="8.85546875" style="1"/>
  </cols>
  <sheetData>
    <row r="8" spans="2:26" ht="15.75" thickBot="1" x14ac:dyDescent="0.3">
      <c r="E8" s="36" t="s">
        <v>3</v>
      </c>
      <c r="F8" s="36"/>
      <c r="G8" s="36"/>
      <c r="H8" s="36"/>
      <c r="I8" s="36"/>
      <c r="J8" s="36"/>
      <c r="M8" s="36" t="s">
        <v>10</v>
      </c>
      <c r="N8" s="36"/>
      <c r="O8" s="36"/>
      <c r="P8" s="36"/>
      <c r="Q8" s="36"/>
      <c r="R8" s="36"/>
      <c r="U8" s="36" t="s">
        <v>3</v>
      </c>
      <c r="V8" s="36"/>
      <c r="W8" s="36"/>
      <c r="X8" s="36"/>
      <c r="Y8" s="36"/>
      <c r="Z8" s="36"/>
    </row>
    <row r="9" spans="2:26" ht="15.75" thickBot="1" x14ac:dyDescent="0.3">
      <c r="E9" s="23" t="s">
        <v>4</v>
      </c>
      <c r="F9" s="24" t="s">
        <v>5</v>
      </c>
      <c r="G9" s="25" t="s">
        <v>12</v>
      </c>
      <c r="H9" s="26" t="s">
        <v>13</v>
      </c>
      <c r="I9" s="16" t="s">
        <v>14</v>
      </c>
      <c r="J9" s="17" t="s">
        <v>15</v>
      </c>
      <c r="M9" s="23" t="s">
        <v>4</v>
      </c>
      <c r="N9" s="24" t="s">
        <v>5</v>
      </c>
      <c r="O9" s="25" t="s">
        <v>16</v>
      </c>
      <c r="P9" s="26" t="s">
        <v>13</v>
      </c>
      <c r="Q9" s="16" t="s">
        <v>17</v>
      </c>
      <c r="R9" s="17" t="s">
        <v>18</v>
      </c>
      <c r="U9" s="23" t="s">
        <v>4</v>
      </c>
      <c r="V9" s="24" t="s">
        <v>5</v>
      </c>
      <c r="W9" s="25" t="s">
        <v>11</v>
      </c>
      <c r="X9" s="26" t="s">
        <v>13</v>
      </c>
      <c r="Y9" s="16" t="s">
        <v>19</v>
      </c>
      <c r="Z9" s="17" t="s">
        <v>20</v>
      </c>
    </row>
    <row r="10" spans="2:26" x14ac:dyDescent="0.25">
      <c r="E10" s="22">
        <v>0</v>
      </c>
      <c r="F10" s="14">
        <f>C14</f>
        <v>0</v>
      </c>
      <c r="G10" s="15"/>
      <c r="H10" s="14">
        <v>0</v>
      </c>
      <c r="I10" s="15"/>
      <c r="J10" s="32"/>
      <c r="M10" s="22">
        <v>0</v>
      </c>
      <c r="N10" s="18">
        <f>K14</f>
        <v>0</v>
      </c>
      <c r="O10" s="4"/>
      <c r="P10" s="18">
        <v>0</v>
      </c>
      <c r="Q10" s="4"/>
      <c r="R10" s="29"/>
      <c r="U10" s="22">
        <v>0</v>
      </c>
      <c r="V10" s="18">
        <f>S14</f>
        <v>0</v>
      </c>
      <c r="W10" s="4"/>
      <c r="X10" s="18">
        <v>0</v>
      </c>
      <c r="Y10" s="4"/>
      <c r="Z10" s="29"/>
    </row>
    <row r="11" spans="2:26" x14ac:dyDescent="0.25">
      <c r="E11" s="20"/>
      <c r="F11" s="11"/>
      <c r="G11" s="6"/>
      <c r="H11" s="11">
        <f>H10+$C$17/2</f>
        <v>0.05</v>
      </c>
      <c r="I11" s="6">
        <f>0.37*EXP(SIN(H10))</f>
        <v>0.37</v>
      </c>
      <c r="J11" s="30"/>
      <c r="M11" s="20"/>
      <c r="N11" s="11"/>
      <c r="O11" s="6"/>
      <c r="P11" s="11">
        <f>P10+$C$17/2</f>
        <v>0.05</v>
      </c>
      <c r="Q11" s="6">
        <f>0.37*EXP(SIN(P11 - $C$17/2))</f>
        <v>0.37</v>
      </c>
      <c r="R11" s="30"/>
      <c r="U11" s="20"/>
      <c r="V11" s="11"/>
      <c r="W11" s="6"/>
      <c r="X11" s="11">
        <f>X10+$C$17/2</f>
        <v>0.05</v>
      </c>
      <c r="Y11" s="6">
        <f>0.37*EXP(SIN(X11))</f>
        <v>0.38896220320836777</v>
      </c>
      <c r="Z11" s="30"/>
    </row>
    <row r="12" spans="2:26" x14ac:dyDescent="0.25">
      <c r="E12" s="20">
        <v>1</v>
      </c>
      <c r="F12" s="11">
        <f>$F$10+E12*$C$17</f>
        <v>0.1</v>
      </c>
      <c r="G12" s="6">
        <f>0.37*EXP(SIN(F10))</f>
        <v>0.37</v>
      </c>
      <c r="H12" s="11">
        <f t="shared" ref="H12:H29" si="0">H11+$C$17/2</f>
        <v>0.1</v>
      </c>
      <c r="I12" s="6">
        <f t="shared" ref="I12:I30" si="1">0.37*EXP(SIN(H11))</f>
        <v>0.38896220320836777</v>
      </c>
      <c r="J12" s="30">
        <f>IF(F12=H12,ABS(G12-I12),"")</f>
        <v>1.8962203208367778E-2</v>
      </c>
      <c r="M12" s="20">
        <v>1</v>
      </c>
      <c r="N12" s="11">
        <f>$F$10+M12*$C$17</f>
        <v>0.1</v>
      </c>
      <c r="O12" s="6">
        <f>0.37*EXP(SIN(N12 - $C$17/2))</f>
        <v>0.38896220320836777</v>
      </c>
      <c r="P12" s="11">
        <f t="shared" ref="P12:P29" si="2">P11+$C$17/2</f>
        <v>0.1</v>
      </c>
      <c r="Q12" s="6">
        <f t="shared" ref="Q12:Q30" si="3">0.37*EXP(SIN(P12 - $C$17/2))</f>
        <v>0.38896220320836777</v>
      </c>
      <c r="R12" s="30">
        <f>IF(N12=P12,ABS(O12-Q12),"")</f>
        <v>0</v>
      </c>
      <c r="U12" s="20">
        <v>1</v>
      </c>
      <c r="V12" s="11">
        <f>$F$10+U12*$C$17</f>
        <v>0.1</v>
      </c>
      <c r="W12" s="6">
        <f>0.37*EXP(SIN(V12))</f>
        <v>0.40884512722272498</v>
      </c>
      <c r="X12" s="11">
        <f t="shared" ref="X12:X29" si="4">X11+$C$17/2</f>
        <v>0.1</v>
      </c>
      <c r="Y12" s="6">
        <f t="shared" ref="Y12:Y30" si="5">0.37*EXP(SIN(X12))</f>
        <v>0.40884512722272498</v>
      </c>
      <c r="Z12" s="30">
        <f>IF(V12=X12,ABS(W12-Y12),"")</f>
        <v>0</v>
      </c>
    </row>
    <row r="13" spans="2:26" ht="15.75" thickBot="1" x14ac:dyDescent="0.3">
      <c r="B13" s="9"/>
      <c r="C13" s="10"/>
      <c r="E13" s="20"/>
      <c r="F13" s="11"/>
      <c r="G13" s="6"/>
      <c r="H13" s="11">
        <f t="shared" si="0"/>
        <v>0.15000000000000002</v>
      </c>
      <c r="I13" s="6">
        <f t="shared" si="1"/>
        <v>0.40884512722272498</v>
      </c>
      <c r="J13" s="30" t="str">
        <f t="shared" ref="J13:J29" si="6">IF(F13=H13,ABS(G13-I13),"")</f>
        <v/>
      </c>
      <c r="M13" s="20"/>
      <c r="N13" s="11"/>
      <c r="O13" s="6"/>
      <c r="P13" s="11">
        <f t="shared" si="2"/>
        <v>0.15000000000000002</v>
      </c>
      <c r="Q13" s="6">
        <f t="shared" si="3"/>
        <v>0.40884512722272498</v>
      </c>
      <c r="R13" s="30" t="str">
        <f t="shared" ref="R13:R29" si="7">IF(N13=P13,ABS(O13-Q13),"")</f>
        <v/>
      </c>
      <c r="U13" s="20"/>
      <c r="V13" s="11"/>
      <c r="W13" s="6"/>
      <c r="X13" s="11">
        <f t="shared" si="4"/>
        <v>0.15000000000000002</v>
      </c>
      <c r="Y13" s="6">
        <f t="shared" si="5"/>
        <v>0.42963720278719819</v>
      </c>
      <c r="Z13" s="30" t="str">
        <f t="shared" ref="Z13:Z29" si="8">IF(V13=X13,ABS(W13-Y13),"")</f>
        <v/>
      </c>
    </row>
    <row r="14" spans="2:26" x14ac:dyDescent="0.25">
      <c r="B14" s="3" t="s">
        <v>1</v>
      </c>
      <c r="C14" s="4">
        <v>0</v>
      </c>
      <c r="E14" s="20">
        <v>2</v>
      </c>
      <c r="F14" s="11">
        <f t="shared" ref="F14:F30" si="9">$F$10+E14*$C$17</f>
        <v>0.2</v>
      </c>
      <c r="G14" s="6">
        <f t="shared" ref="G14:G30" si="10">0.37*EXP(SIN(F12))</f>
        <v>0.40884512722272498</v>
      </c>
      <c r="H14" s="11">
        <f t="shared" si="0"/>
        <v>0.2</v>
      </c>
      <c r="I14" s="6">
        <f t="shared" si="1"/>
        <v>0.42963720278719819</v>
      </c>
      <c r="J14" s="30">
        <f t="shared" si="6"/>
        <v>2.0792075564473211E-2</v>
      </c>
      <c r="M14" s="20">
        <v>2</v>
      </c>
      <c r="N14" s="11">
        <f t="shared" ref="N14:N30" si="11">$F$10+M14*$C$17</f>
        <v>0.2</v>
      </c>
      <c r="O14" s="6">
        <f t="shared" ref="O14:O30" si="12">0.37*EXP(SIN(N14 - $C$17/2))</f>
        <v>0.42963720278719819</v>
      </c>
      <c r="P14" s="11">
        <f t="shared" si="2"/>
        <v>0.2</v>
      </c>
      <c r="Q14" s="6">
        <f t="shared" si="3"/>
        <v>0.42963720278719819</v>
      </c>
      <c r="R14" s="30">
        <f t="shared" si="7"/>
        <v>0</v>
      </c>
      <c r="U14" s="20">
        <v>2</v>
      </c>
      <c r="V14" s="11">
        <f t="shared" ref="V14:V30" si="13">$F$10+U14*$C$17</f>
        <v>0.2</v>
      </c>
      <c r="W14" s="6">
        <f t="shared" ref="W14:W30" si="14">0.37*EXP(SIN(V14))</f>
        <v>0.45131806572022898</v>
      </c>
      <c r="X14" s="11">
        <f t="shared" si="4"/>
        <v>0.2</v>
      </c>
      <c r="Y14" s="6">
        <f t="shared" si="5"/>
        <v>0.45131806572022898</v>
      </c>
      <c r="Z14" s="30">
        <f t="shared" si="8"/>
        <v>0</v>
      </c>
    </row>
    <row r="15" spans="2:26" x14ac:dyDescent="0.25">
      <c r="B15" s="5" t="s">
        <v>2</v>
      </c>
      <c r="C15" s="6">
        <v>1</v>
      </c>
      <c r="E15" s="20"/>
      <c r="F15" s="11"/>
      <c r="G15" s="6"/>
      <c r="H15" s="11">
        <f t="shared" si="0"/>
        <v>0.25</v>
      </c>
      <c r="I15" s="6">
        <f t="shared" si="1"/>
        <v>0.45131806572022898</v>
      </c>
      <c r="J15" s="30" t="str">
        <f t="shared" si="6"/>
        <v/>
      </c>
      <c r="M15" s="20"/>
      <c r="N15" s="11"/>
      <c r="O15" s="6"/>
      <c r="P15" s="11">
        <f t="shared" si="2"/>
        <v>0.25</v>
      </c>
      <c r="Q15" s="6">
        <f t="shared" si="3"/>
        <v>0.45131806572022898</v>
      </c>
      <c r="R15" s="30" t="str">
        <f t="shared" si="7"/>
        <v/>
      </c>
      <c r="U15" s="20"/>
      <c r="V15" s="11"/>
      <c r="W15" s="6"/>
      <c r="X15" s="11">
        <f t="shared" si="4"/>
        <v>0.25</v>
      </c>
      <c r="Y15" s="6">
        <f t="shared" si="5"/>
        <v>0.47385765225434467</v>
      </c>
      <c r="Z15" s="30" t="str">
        <f t="shared" si="8"/>
        <v/>
      </c>
    </row>
    <row r="16" spans="2:26" x14ac:dyDescent="0.25">
      <c r="B16" s="5" t="s">
        <v>0</v>
      </c>
      <c r="C16" s="6">
        <v>10</v>
      </c>
      <c r="E16" s="20">
        <v>3</v>
      </c>
      <c r="F16" s="11">
        <f t="shared" si="9"/>
        <v>0.30000000000000004</v>
      </c>
      <c r="G16" s="6">
        <f t="shared" si="10"/>
        <v>0.45131806572022898</v>
      </c>
      <c r="H16" s="11">
        <f t="shared" si="0"/>
        <v>0.3</v>
      </c>
      <c r="I16" s="6">
        <f t="shared" si="1"/>
        <v>0.47385765225434467</v>
      </c>
      <c r="J16" s="30">
        <f t="shared" si="6"/>
        <v>2.2539586534115696E-2</v>
      </c>
      <c r="M16" s="20">
        <v>3</v>
      </c>
      <c r="N16" s="11">
        <f t="shared" si="11"/>
        <v>0.30000000000000004</v>
      </c>
      <c r="O16" s="6">
        <f t="shared" si="12"/>
        <v>0.47385765225434467</v>
      </c>
      <c r="P16" s="11">
        <f t="shared" si="2"/>
        <v>0.3</v>
      </c>
      <c r="Q16" s="6">
        <f t="shared" si="3"/>
        <v>0.47385765225434467</v>
      </c>
      <c r="R16" s="30">
        <f t="shared" si="7"/>
        <v>0</v>
      </c>
      <c r="U16" s="20">
        <v>3</v>
      </c>
      <c r="V16" s="11">
        <f t="shared" si="13"/>
        <v>0.30000000000000004</v>
      </c>
      <c r="W16" s="6">
        <f t="shared" si="14"/>
        <v>0.49721534018071184</v>
      </c>
      <c r="X16" s="11">
        <f t="shared" si="4"/>
        <v>0.3</v>
      </c>
      <c r="Y16" s="6">
        <f t="shared" si="5"/>
        <v>0.49721534018071173</v>
      </c>
      <c r="Z16" s="30">
        <f t="shared" si="8"/>
        <v>1.1102230246251565E-16</v>
      </c>
    </row>
    <row r="17" spans="2:26" ht="15.75" thickBot="1" x14ac:dyDescent="0.3">
      <c r="B17" s="7" t="s">
        <v>7</v>
      </c>
      <c r="C17" s="8">
        <f>(C15-C14)/C16</f>
        <v>0.1</v>
      </c>
      <c r="E17" s="20"/>
      <c r="F17" s="11"/>
      <c r="G17" s="6"/>
      <c r="H17" s="11">
        <f t="shared" si="0"/>
        <v>0.35</v>
      </c>
      <c r="I17" s="6">
        <f t="shared" si="1"/>
        <v>0.49721534018071173</v>
      </c>
      <c r="J17" s="30" t="str">
        <f t="shared" si="6"/>
        <v/>
      </c>
      <c r="M17" s="20"/>
      <c r="N17" s="11"/>
      <c r="O17" s="6"/>
      <c r="P17" s="11">
        <f t="shared" si="2"/>
        <v>0.35</v>
      </c>
      <c r="Q17" s="6">
        <f t="shared" si="3"/>
        <v>0.49721534018071173</v>
      </c>
      <c r="R17" s="30" t="str">
        <f t="shared" si="7"/>
        <v/>
      </c>
      <c r="U17" s="20"/>
      <c r="V17" s="11"/>
      <c r="W17" s="6"/>
      <c r="X17" s="11">
        <f t="shared" si="4"/>
        <v>0.35</v>
      </c>
      <c r="Y17" s="6">
        <f t="shared" si="5"/>
        <v>0.52133916221487953</v>
      </c>
      <c r="Z17" s="30" t="str">
        <f t="shared" si="8"/>
        <v/>
      </c>
    </row>
    <row r="18" spans="2:26" x14ac:dyDescent="0.25">
      <c r="E18" s="20">
        <v>4</v>
      </c>
      <c r="F18" s="11">
        <f t="shared" si="9"/>
        <v>0.4</v>
      </c>
      <c r="G18" s="6">
        <f t="shared" si="10"/>
        <v>0.49721534018071184</v>
      </c>
      <c r="H18" s="11">
        <f t="shared" si="0"/>
        <v>0.39999999999999997</v>
      </c>
      <c r="I18" s="6">
        <f t="shared" si="1"/>
        <v>0.52133916221487953</v>
      </c>
      <c r="J18" s="30">
        <f t="shared" si="6"/>
        <v>2.4123822034167686E-2</v>
      </c>
      <c r="M18" s="20">
        <v>4</v>
      </c>
      <c r="N18" s="11">
        <f t="shared" si="11"/>
        <v>0.4</v>
      </c>
      <c r="O18" s="6">
        <f t="shared" si="12"/>
        <v>0.52133916221487964</v>
      </c>
      <c r="P18" s="11">
        <f t="shared" si="2"/>
        <v>0.39999999999999997</v>
      </c>
      <c r="Q18" s="6">
        <f t="shared" si="3"/>
        <v>0.52133916221487953</v>
      </c>
      <c r="R18" s="30">
        <f t="shared" si="7"/>
        <v>1.1102230246251565E-16</v>
      </c>
      <c r="U18" s="20">
        <v>4</v>
      </c>
      <c r="V18" s="11">
        <f t="shared" si="13"/>
        <v>0.4</v>
      </c>
      <c r="W18" s="6">
        <f t="shared" si="14"/>
        <v>0.54616512018491947</v>
      </c>
      <c r="X18" s="11">
        <f t="shared" si="4"/>
        <v>0.39999999999999997</v>
      </c>
      <c r="Y18" s="6">
        <f t="shared" si="5"/>
        <v>0.54616512018491936</v>
      </c>
      <c r="Z18" s="30">
        <f t="shared" si="8"/>
        <v>1.1102230246251565E-16</v>
      </c>
    </row>
    <row r="19" spans="2:26" x14ac:dyDescent="0.25">
      <c r="E19" s="20"/>
      <c r="F19" s="11"/>
      <c r="G19" s="6"/>
      <c r="H19" s="11">
        <f t="shared" si="0"/>
        <v>0.44999999999999996</v>
      </c>
      <c r="I19" s="6">
        <f t="shared" si="1"/>
        <v>0.54616512018491936</v>
      </c>
      <c r="J19" s="30" t="str">
        <f t="shared" si="6"/>
        <v/>
      </c>
      <c r="M19" s="20"/>
      <c r="N19" s="11"/>
      <c r="O19" s="6"/>
      <c r="P19" s="11">
        <f t="shared" si="2"/>
        <v>0.44999999999999996</v>
      </c>
      <c r="Q19" s="6">
        <f t="shared" si="3"/>
        <v>0.54616512018491936</v>
      </c>
      <c r="R19" s="30" t="str">
        <f t="shared" si="7"/>
        <v/>
      </c>
      <c r="U19" s="20"/>
      <c r="V19" s="11"/>
      <c r="W19" s="6"/>
      <c r="X19" s="11">
        <f t="shared" si="4"/>
        <v>0.44999999999999996</v>
      </c>
      <c r="Y19" s="6">
        <f t="shared" si="5"/>
        <v>0.57161663019728493</v>
      </c>
      <c r="Z19" s="30" t="str">
        <f t="shared" si="8"/>
        <v/>
      </c>
    </row>
    <row r="20" spans="2:26" x14ac:dyDescent="0.25">
      <c r="E20" s="20">
        <v>5</v>
      </c>
      <c r="F20" s="11">
        <f t="shared" si="9"/>
        <v>0.5</v>
      </c>
      <c r="G20" s="6">
        <f t="shared" si="10"/>
        <v>0.54616512018491947</v>
      </c>
      <c r="H20" s="11">
        <f t="shared" si="0"/>
        <v>0.49999999999999994</v>
      </c>
      <c r="I20" s="6">
        <f t="shared" si="1"/>
        <v>0.57161663019728493</v>
      </c>
      <c r="J20" s="30">
        <f t="shared" si="6"/>
        <v>2.5451510012365453E-2</v>
      </c>
      <c r="M20" s="20">
        <v>5</v>
      </c>
      <c r="N20" s="11">
        <f t="shared" si="11"/>
        <v>0.5</v>
      </c>
      <c r="O20" s="6">
        <f t="shared" si="12"/>
        <v>0.57161663019728493</v>
      </c>
      <c r="P20" s="11">
        <f t="shared" si="2"/>
        <v>0.49999999999999994</v>
      </c>
      <c r="Q20" s="6">
        <f t="shared" si="3"/>
        <v>0.57161663019728493</v>
      </c>
      <c r="R20" s="30">
        <f t="shared" si="7"/>
        <v>0</v>
      </c>
      <c r="U20" s="20">
        <v>5</v>
      </c>
      <c r="V20" s="11">
        <f t="shared" si="13"/>
        <v>0.5</v>
      </c>
      <c r="W20" s="6">
        <f t="shared" si="14"/>
        <v>0.59760412968357102</v>
      </c>
      <c r="X20" s="11">
        <f t="shared" si="4"/>
        <v>0.49999999999999994</v>
      </c>
      <c r="Y20" s="6">
        <f t="shared" si="5"/>
        <v>0.59760412968357102</v>
      </c>
      <c r="Z20" s="30">
        <f t="shared" si="8"/>
        <v>0</v>
      </c>
    </row>
    <row r="21" spans="2:26" x14ac:dyDescent="0.25">
      <c r="E21" s="20"/>
      <c r="F21" s="11"/>
      <c r="G21" s="6"/>
      <c r="H21" s="11">
        <f t="shared" si="0"/>
        <v>0.54999999999999993</v>
      </c>
      <c r="I21" s="6">
        <f t="shared" si="1"/>
        <v>0.59760412968357102</v>
      </c>
      <c r="J21" s="30" t="str">
        <f t="shared" si="6"/>
        <v/>
      </c>
      <c r="M21" s="20"/>
      <c r="N21" s="11"/>
      <c r="O21" s="6"/>
      <c r="P21" s="11">
        <f t="shared" si="2"/>
        <v>0.54999999999999993</v>
      </c>
      <c r="Q21" s="6">
        <f t="shared" si="3"/>
        <v>0.59760412968357102</v>
      </c>
      <c r="R21" s="30" t="str">
        <f t="shared" si="7"/>
        <v/>
      </c>
      <c r="U21" s="20"/>
      <c r="V21" s="11"/>
      <c r="W21" s="6"/>
      <c r="X21" s="11">
        <f t="shared" si="4"/>
        <v>0.54999999999999993</v>
      </c>
      <c r="Y21" s="6">
        <f t="shared" si="5"/>
        <v>0.62402487700436149</v>
      </c>
      <c r="Z21" s="30" t="str">
        <f t="shared" si="8"/>
        <v/>
      </c>
    </row>
    <row r="22" spans="2:26" x14ac:dyDescent="0.25">
      <c r="E22" s="20">
        <v>6</v>
      </c>
      <c r="F22" s="11">
        <f t="shared" si="9"/>
        <v>0.60000000000000009</v>
      </c>
      <c r="G22" s="6">
        <f t="shared" si="10"/>
        <v>0.59760412968357102</v>
      </c>
      <c r="H22" s="11">
        <f t="shared" si="0"/>
        <v>0.6</v>
      </c>
      <c r="I22" s="6">
        <f t="shared" si="1"/>
        <v>0.62402487700436149</v>
      </c>
      <c r="J22" s="30">
        <f t="shared" si="6"/>
        <v>2.6420747320790472E-2</v>
      </c>
      <c r="M22" s="20">
        <v>6</v>
      </c>
      <c r="N22" s="11">
        <f t="shared" si="11"/>
        <v>0.60000000000000009</v>
      </c>
      <c r="O22" s="6">
        <f t="shared" si="12"/>
        <v>0.6240248770043616</v>
      </c>
      <c r="P22" s="11">
        <f t="shared" si="2"/>
        <v>0.6</v>
      </c>
      <c r="Q22" s="6">
        <f t="shared" si="3"/>
        <v>0.62402487700436149</v>
      </c>
      <c r="R22" s="30">
        <f t="shared" si="7"/>
        <v>1.1102230246251565E-16</v>
      </c>
      <c r="U22" s="20">
        <v>6</v>
      </c>
      <c r="V22" s="11">
        <f t="shared" si="13"/>
        <v>0.60000000000000009</v>
      </c>
      <c r="W22" s="6">
        <f t="shared" si="14"/>
        <v>0.65076297293378738</v>
      </c>
      <c r="X22" s="11">
        <f t="shared" si="4"/>
        <v>0.6</v>
      </c>
      <c r="Y22" s="6">
        <f t="shared" si="5"/>
        <v>0.65076297293378726</v>
      </c>
      <c r="Z22" s="30">
        <f t="shared" si="8"/>
        <v>1.1102230246251565E-16</v>
      </c>
    </row>
    <row r="23" spans="2:26" x14ac:dyDescent="0.25">
      <c r="E23" s="20"/>
      <c r="F23" s="11"/>
      <c r="G23" s="6"/>
      <c r="H23" s="11">
        <f t="shared" si="0"/>
        <v>0.65</v>
      </c>
      <c r="I23" s="6">
        <f t="shared" si="1"/>
        <v>0.65076297293378726</v>
      </c>
      <c r="J23" s="30" t="str">
        <f t="shared" si="6"/>
        <v/>
      </c>
      <c r="M23" s="20"/>
      <c r="N23" s="11"/>
      <c r="O23" s="6"/>
      <c r="P23" s="11">
        <f t="shared" si="2"/>
        <v>0.65</v>
      </c>
      <c r="Q23" s="6">
        <f t="shared" si="3"/>
        <v>0.65076297293378726</v>
      </c>
      <c r="R23" s="30" t="str">
        <f t="shared" si="7"/>
        <v/>
      </c>
      <c r="U23" s="20"/>
      <c r="V23" s="11"/>
      <c r="W23" s="6"/>
      <c r="X23" s="11">
        <f t="shared" si="4"/>
        <v>0.65</v>
      </c>
      <c r="Y23" s="6">
        <f t="shared" si="5"/>
        <v>0.67768963074901967</v>
      </c>
      <c r="Z23" s="30" t="str">
        <f t="shared" si="8"/>
        <v/>
      </c>
    </row>
    <row r="24" spans="2:26" x14ac:dyDescent="0.25">
      <c r="E24" s="20">
        <v>7</v>
      </c>
      <c r="F24" s="11">
        <f t="shared" si="9"/>
        <v>0.70000000000000007</v>
      </c>
      <c r="G24" s="6">
        <f t="shared" si="10"/>
        <v>0.65076297293378738</v>
      </c>
      <c r="H24" s="11">
        <f t="shared" si="0"/>
        <v>0.70000000000000007</v>
      </c>
      <c r="I24" s="6">
        <f t="shared" si="1"/>
        <v>0.67768963074901967</v>
      </c>
      <c r="J24" s="30">
        <f t="shared" si="6"/>
        <v>2.6926657815232291E-2</v>
      </c>
      <c r="M24" s="20">
        <v>7</v>
      </c>
      <c r="N24" s="11">
        <f t="shared" si="11"/>
        <v>0.70000000000000007</v>
      </c>
      <c r="O24" s="6">
        <f t="shared" si="12"/>
        <v>0.67768963074901967</v>
      </c>
      <c r="P24" s="11">
        <f t="shared" si="2"/>
        <v>0.70000000000000007</v>
      </c>
      <c r="Q24" s="6">
        <f t="shared" si="3"/>
        <v>0.67768963074901967</v>
      </c>
      <c r="R24" s="30">
        <f t="shared" si="7"/>
        <v>0</v>
      </c>
      <c r="U24" s="20">
        <v>7</v>
      </c>
      <c r="V24" s="11">
        <f t="shared" si="13"/>
        <v>0.70000000000000007</v>
      </c>
      <c r="W24" s="6">
        <f t="shared" si="14"/>
        <v>0.70466371772309022</v>
      </c>
      <c r="X24" s="11">
        <f t="shared" si="4"/>
        <v>0.70000000000000007</v>
      </c>
      <c r="Y24" s="6">
        <f t="shared" si="5"/>
        <v>0.70466371772309022</v>
      </c>
      <c r="Z24" s="30">
        <f t="shared" si="8"/>
        <v>0</v>
      </c>
    </row>
    <row r="25" spans="2:26" x14ac:dyDescent="0.25">
      <c r="E25" s="20"/>
      <c r="F25" s="11"/>
      <c r="G25" s="6"/>
      <c r="H25" s="11">
        <f t="shared" si="0"/>
        <v>0.75000000000000011</v>
      </c>
      <c r="I25" s="6">
        <f t="shared" si="1"/>
        <v>0.70466371772309022</v>
      </c>
      <c r="J25" s="30" t="str">
        <f t="shared" si="6"/>
        <v/>
      </c>
      <c r="M25" s="20"/>
      <c r="N25" s="11"/>
      <c r="O25" s="6"/>
      <c r="P25" s="11">
        <f t="shared" si="2"/>
        <v>0.75000000000000011</v>
      </c>
      <c r="Q25" s="6">
        <f t="shared" si="3"/>
        <v>0.70466371772309022</v>
      </c>
      <c r="R25" s="30" t="str">
        <f t="shared" si="7"/>
        <v/>
      </c>
      <c r="U25" s="20"/>
      <c r="V25" s="11"/>
      <c r="W25" s="6"/>
      <c r="X25" s="11">
        <f t="shared" si="4"/>
        <v>0.75000000000000011</v>
      </c>
      <c r="Y25" s="6">
        <f t="shared" si="5"/>
        <v>0.73153258554060197</v>
      </c>
      <c r="Z25" s="30" t="str">
        <f t="shared" si="8"/>
        <v/>
      </c>
    </row>
    <row r="26" spans="2:26" x14ac:dyDescent="0.25">
      <c r="E26" s="20">
        <v>8</v>
      </c>
      <c r="F26" s="11">
        <f t="shared" si="9"/>
        <v>0.8</v>
      </c>
      <c r="G26" s="6">
        <f t="shared" si="10"/>
        <v>0.70466371772309022</v>
      </c>
      <c r="H26" s="11">
        <f t="shared" si="0"/>
        <v>0.80000000000000016</v>
      </c>
      <c r="I26" s="6">
        <f t="shared" si="1"/>
        <v>0.73153258554060197</v>
      </c>
      <c r="J26" s="30">
        <f t="shared" si="6"/>
        <v>2.6868867817511743E-2</v>
      </c>
      <c r="M26" s="20">
        <v>8</v>
      </c>
      <c r="N26" s="11">
        <f t="shared" si="11"/>
        <v>0.8</v>
      </c>
      <c r="O26" s="6">
        <f t="shared" si="12"/>
        <v>0.73153258554060197</v>
      </c>
      <c r="P26" s="11">
        <f t="shared" si="2"/>
        <v>0.80000000000000016</v>
      </c>
      <c r="Q26" s="6">
        <f t="shared" si="3"/>
        <v>0.73153258554060197</v>
      </c>
      <c r="R26" s="30">
        <f t="shared" si="7"/>
        <v>0</v>
      </c>
      <c r="U26" s="20">
        <v>8</v>
      </c>
      <c r="V26" s="11">
        <f t="shared" si="13"/>
        <v>0.8</v>
      </c>
      <c r="W26" s="6">
        <f t="shared" si="14"/>
        <v>0.75813320056078159</v>
      </c>
      <c r="X26" s="11">
        <f t="shared" si="4"/>
        <v>0.80000000000000016</v>
      </c>
      <c r="Y26" s="6">
        <f t="shared" si="5"/>
        <v>0.75813320056078159</v>
      </c>
      <c r="Z26" s="30">
        <f t="shared" si="8"/>
        <v>0</v>
      </c>
    </row>
    <row r="27" spans="2:26" x14ac:dyDescent="0.25">
      <c r="E27" s="20"/>
      <c r="F27" s="11"/>
      <c r="G27" s="6"/>
      <c r="H27" s="11">
        <f t="shared" si="0"/>
        <v>0.8500000000000002</v>
      </c>
      <c r="I27" s="6">
        <f t="shared" si="1"/>
        <v>0.75813320056078159</v>
      </c>
      <c r="J27" s="30" t="str">
        <f t="shared" si="6"/>
        <v/>
      </c>
      <c r="M27" s="20"/>
      <c r="N27" s="11"/>
      <c r="O27" s="6"/>
      <c r="P27" s="11">
        <f t="shared" si="2"/>
        <v>0.8500000000000002</v>
      </c>
      <c r="Q27" s="6">
        <f t="shared" si="3"/>
        <v>0.75813320056078159</v>
      </c>
      <c r="R27" s="30" t="str">
        <f t="shared" si="7"/>
        <v/>
      </c>
      <c r="U27" s="20"/>
      <c r="V27" s="11"/>
      <c r="W27" s="6"/>
      <c r="X27" s="11">
        <f t="shared" si="4"/>
        <v>0.8500000000000002</v>
      </c>
      <c r="Y27" s="6">
        <f t="shared" si="5"/>
        <v>0.78429357704846281</v>
      </c>
      <c r="Z27" s="30" t="str">
        <f t="shared" si="8"/>
        <v/>
      </c>
    </row>
    <row r="28" spans="2:26" x14ac:dyDescent="0.25">
      <c r="E28" s="20">
        <v>9</v>
      </c>
      <c r="F28" s="11">
        <f t="shared" si="9"/>
        <v>0.9</v>
      </c>
      <c r="G28" s="6">
        <f t="shared" si="10"/>
        <v>0.75813320056078159</v>
      </c>
      <c r="H28" s="11">
        <f t="shared" si="0"/>
        <v>0.90000000000000024</v>
      </c>
      <c r="I28" s="6">
        <f t="shared" si="1"/>
        <v>0.78429357704846281</v>
      </c>
      <c r="J28" s="30">
        <f t="shared" si="6"/>
        <v>2.6160376487681214E-2</v>
      </c>
      <c r="M28" s="20">
        <v>9</v>
      </c>
      <c r="N28" s="11">
        <f t="shared" si="11"/>
        <v>0.9</v>
      </c>
      <c r="O28" s="6">
        <f t="shared" si="12"/>
        <v>0.78429357704846281</v>
      </c>
      <c r="P28" s="11">
        <f t="shared" si="2"/>
        <v>0.90000000000000024</v>
      </c>
      <c r="Q28" s="6">
        <f t="shared" si="3"/>
        <v>0.78429357704846281</v>
      </c>
      <c r="R28" s="30">
        <f t="shared" si="7"/>
        <v>0</v>
      </c>
      <c r="U28" s="20">
        <v>9</v>
      </c>
      <c r="V28" s="11">
        <f t="shared" si="13"/>
        <v>0.9</v>
      </c>
      <c r="W28" s="6">
        <f t="shared" si="14"/>
        <v>0.80983450766370702</v>
      </c>
      <c r="X28" s="11">
        <f t="shared" si="4"/>
        <v>0.90000000000000024</v>
      </c>
      <c r="Y28" s="6">
        <f t="shared" si="5"/>
        <v>0.80983450766370702</v>
      </c>
      <c r="Z28" s="30">
        <f t="shared" si="8"/>
        <v>0</v>
      </c>
    </row>
    <row r="29" spans="2:26" x14ac:dyDescent="0.25">
      <c r="E29" s="20"/>
      <c r="F29" s="11"/>
      <c r="G29" s="6"/>
      <c r="H29" s="11">
        <f t="shared" si="0"/>
        <v>0.95000000000000029</v>
      </c>
      <c r="I29" s="6">
        <f t="shared" si="1"/>
        <v>0.80983450766370702</v>
      </c>
      <c r="J29" s="30" t="str">
        <f t="shared" si="6"/>
        <v/>
      </c>
      <c r="M29" s="20"/>
      <c r="N29" s="11"/>
      <c r="O29" s="6"/>
      <c r="P29" s="11">
        <f t="shared" si="2"/>
        <v>0.95000000000000029</v>
      </c>
      <c r="Q29" s="6">
        <f t="shared" si="3"/>
        <v>0.80983450766370702</v>
      </c>
      <c r="R29" s="30" t="str">
        <f t="shared" si="7"/>
        <v/>
      </c>
      <c r="U29" s="20"/>
      <c r="V29" s="11"/>
      <c r="W29" s="6"/>
      <c r="X29" s="11">
        <f t="shared" si="4"/>
        <v>0.95000000000000029</v>
      </c>
      <c r="Y29" s="6">
        <f t="shared" si="5"/>
        <v>0.8345715759027349</v>
      </c>
      <c r="Z29" s="30" t="str">
        <f t="shared" si="8"/>
        <v/>
      </c>
    </row>
    <row r="30" spans="2:26" ht="15.75" thickBot="1" x14ac:dyDescent="0.3">
      <c r="E30" s="21">
        <v>10</v>
      </c>
      <c r="F30" s="12">
        <f t="shared" si="9"/>
        <v>1</v>
      </c>
      <c r="G30" s="8">
        <f t="shared" si="10"/>
        <v>0.80983450766370702</v>
      </c>
      <c r="H30" s="12">
        <f>H29+$C$17/2</f>
        <v>1.0000000000000002</v>
      </c>
      <c r="I30" s="8">
        <f t="shared" si="1"/>
        <v>0.8345715759027349</v>
      </c>
      <c r="J30" s="31">
        <f>IF(F30=H30,ABS(G30-I30),"")</f>
        <v>2.4737068239027882E-2</v>
      </c>
      <c r="M30" s="21">
        <v>10</v>
      </c>
      <c r="N30" s="12">
        <f t="shared" si="11"/>
        <v>1</v>
      </c>
      <c r="O30" s="8">
        <f t="shared" si="12"/>
        <v>0.83457157590273479</v>
      </c>
      <c r="P30" s="12">
        <f>P29+$C$17/2</f>
        <v>1.0000000000000002</v>
      </c>
      <c r="Q30" s="8">
        <f t="shared" si="3"/>
        <v>0.8345715759027349</v>
      </c>
      <c r="R30" s="31">
        <f>IF(N30=P30,ABS(O30-Q30),"")</f>
        <v>1.1102230246251565E-16</v>
      </c>
      <c r="U30" s="21">
        <v>10</v>
      </c>
      <c r="V30" s="12">
        <f t="shared" si="13"/>
        <v>1</v>
      </c>
      <c r="W30" s="8">
        <f t="shared" si="14"/>
        <v>0.85831742514486564</v>
      </c>
      <c r="X30" s="12">
        <f>X29+$C$17/2</f>
        <v>1.0000000000000002</v>
      </c>
      <c r="Y30" s="8">
        <f t="shared" si="5"/>
        <v>0.85831742514486575</v>
      </c>
      <c r="Z30" s="31">
        <f>IF(V30=X30,ABS(W30-Y30),"")</f>
        <v>1.1102230246251565E-16</v>
      </c>
    </row>
    <row r="31" spans="2:26" x14ac:dyDescent="0.25">
      <c r="F31" s="28" t="s">
        <v>8</v>
      </c>
      <c r="G31" s="15">
        <f>SUM(G10:G30)</f>
        <v>5.7945421818735214</v>
      </c>
      <c r="H31" s="28" t="s">
        <v>8</v>
      </c>
      <c r="I31" s="15">
        <f>SUM(I10:I30)</f>
        <v>11.832067278780778</v>
      </c>
      <c r="J31" s="22"/>
      <c r="N31" s="28" t="s">
        <v>8</v>
      </c>
      <c r="O31" s="15">
        <f>SUM(O10:O30)</f>
        <v>6.0375250969072569</v>
      </c>
      <c r="P31" s="28" t="s">
        <v>8</v>
      </c>
      <c r="Q31" s="15">
        <f>SUM(Q10:Q30)</f>
        <v>11.832067278780778</v>
      </c>
      <c r="R31" s="22"/>
      <c r="V31" s="28" t="s">
        <v>8</v>
      </c>
      <c r="W31" s="15">
        <f>SUM(W10:W30)</f>
        <v>6.2828596070183886</v>
      </c>
      <c r="X31" s="28" t="s">
        <v>8</v>
      </c>
      <c r="Y31" s="15">
        <f>SUM(Y10:Y30)</f>
        <v>12.320384703925646</v>
      </c>
      <c r="Z31" s="22"/>
    </row>
    <row r="32" spans="2:26" ht="15.75" thickBot="1" x14ac:dyDescent="0.3">
      <c r="F32" s="33" t="s">
        <v>9</v>
      </c>
      <c r="G32" s="34">
        <f>G31*$C$17</f>
        <v>0.57945421818735221</v>
      </c>
      <c r="H32" s="27" t="s">
        <v>9</v>
      </c>
      <c r="I32" s="8">
        <f>I31*$C$17/2</f>
        <v>0.5916033639390389</v>
      </c>
      <c r="J32" s="21">
        <f>ABS(G32-I32)</f>
        <v>1.2149145751686685E-2</v>
      </c>
      <c r="N32" s="33" t="s">
        <v>9</v>
      </c>
      <c r="O32" s="34">
        <f>O31*$C$17</f>
        <v>0.60375250969072569</v>
      </c>
      <c r="P32" s="27" t="s">
        <v>9</v>
      </c>
      <c r="Q32" s="8">
        <f>Q31*$C$17/2</f>
        <v>0.5916033639390389</v>
      </c>
      <c r="R32" s="21">
        <f>ABS(O32-Q32)</f>
        <v>1.2149145751686796E-2</v>
      </c>
      <c r="V32" s="33" t="s">
        <v>9</v>
      </c>
      <c r="W32" s="34">
        <f>W31*$C$17</f>
        <v>0.62828596070183895</v>
      </c>
      <c r="X32" s="27" t="s">
        <v>9</v>
      </c>
      <c r="Y32" s="8">
        <f>Y31*$C$17/2</f>
        <v>0.61601923519628232</v>
      </c>
      <c r="Z32" s="21">
        <f>ABS(W32-Y32)</f>
        <v>1.226672550555663E-2</v>
      </c>
    </row>
  </sheetData>
  <mergeCells count="3">
    <mergeCell ref="U8:Z8"/>
    <mergeCell ref="E8:J8"/>
    <mergeCell ref="M8:R8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29A9F-E6B4-422D-A7D9-B20271A133C4}">
  <dimension ref="B3:H19"/>
  <sheetViews>
    <sheetView workbookViewId="0">
      <selection activeCell="H19" sqref="H19"/>
    </sheetView>
  </sheetViews>
  <sheetFormatPr defaultRowHeight="15" x14ac:dyDescent="0.25"/>
  <cols>
    <col min="2" max="2" width="23.7109375" bestFit="1" customWidth="1"/>
    <col min="8" max="8" width="12" bestFit="1" customWidth="1"/>
  </cols>
  <sheetData>
    <row r="3" spans="2:8" ht="15.75" thickBot="1" x14ac:dyDescent="0.3"/>
    <row r="4" spans="2:8" ht="15.75" thickBot="1" x14ac:dyDescent="0.3">
      <c r="F4" s="37" t="s">
        <v>21</v>
      </c>
      <c r="G4" s="38"/>
      <c r="H4" s="39"/>
    </row>
    <row r="5" spans="2:8" x14ac:dyDescent="0.25">
      <c r="F5" s="18" t="s">
        <v>4</v>
      </c>
      <c r="G5" s="19" t="s">
        <v>5</v>
      </c>
      <c r="H5" s="4" t="s">
        <v>6</v>
      </c>
    </row>
    <row r="6" spans="2:8" x14ac:dyDescent="0.25">
      <c r="F6" s="11">
        <v>0</v>
      </c>
      <c r="G6" s="2">
        <f>C9</f>
        <v>0</v>
      </c>
      <c r="H6" s="6">
        <f>0.37*EXP(SIN(G6))</f>
        <v>0.37</v>
      </c>
    </row>
    <row r="7" spans="2:8" x14ac:dyDescent="0.25">
      <c r="F7" s="11">
        <v>1</v>
      </c>
      <c r="G7" s="2">
        <f>G6+$C$12</f>
        <v>0.1</v>
      </c>
      <c r="H7" s="6">
        <f t="shared" ref="H7:H16" si="0">0.37*EXP(SIN(G7))</f>
        <v>0.40884512722272498</v>
      </c>
    </row>
    <row r="8" spans="2:8" ht="15.75" thickBot="1" x14ac:dyDescent="0.3">
      <c r="F8" s="11">
        <v>2</v>
      </c>
      <c r="G8" s="2">
        <f t="shared" ref="G8:G16" si="1">G7+$C$12</f>
        <v>0.2</v>
      </c>
      <c r="H8" s="6">
        <f t="shared" si="0"/>
        <v>0.45131806572022898</v>
      </c>
    </row>
    <row r="9" spans="2:8" x14ac:dyDescent="0.25">
      <c r="B9" s="3" t="s">
        <v>1</v>
      </c>
      <c r="C9" s="4">
        <v>0</v>
      </c>
      <c r="F9" s="11">
        <v>3</v>
      </c>
      <c r="G9" s="2">
        <f t="shared" si="1"/>
        <v>0.30000000000000004</v>
      </c>
      <c r="H9" s="6">
        <f t="shared" si="0"/>
        <v>0.49721534018071184</v>
      </c>
    </row>
    <row r="10" spans="2:8" x14ac:dyDescent="0.25">
      <c r="B10" s="5" t="s">
        <v>2</v>
      </c>
      <c r="C10" s="6">
        <v>1</v>
      </c>
      <c r="F10" s="11">
        <v>4</v>
      </c>
      <c r="G10" s="2">
        <f t="shared" si="1"/>
        <v>0.4</v>
      </c>
      <c r="H10" s="6">
        <f t="shared" si="0"/>
        <v>0.54616512018491947</v>
      </c>
    </row>
    <row r="11" spans="2:8" x14ac:dyDescent="0.25">
      <c r="B11" s="5" t="s">
        <v>0</v>
      </c>
      <c r="C11" s="6">
        <v>10</v>
      </c>
      <c r="F11" s="11">
        <v>5</v>
      </c>
      <c r="G11" s="2">
        <f t="shared" si="1"/>
        <v>0.5</v>
      </c>
      <c r="H11" s="6">
        <f t="shared" si="0"/>
        <v>0.59760412968357102</v>
      </c>
    </row>
    <row r="12" spans="2:8" ht="15.75" thickBot="1" x14ac:dyDescent="0.3">
      <c r="B12" s="7" t="s">
        <v>7</v>
      </c>
      <c r="C12" s="8">
        <f>(C10-C9)/C11</f>
        <v>0.1</v>
      </c>
      <c r="F12" s="11">
        <v>6</v>
      </c>
      <c r="G12" s="2">
        <f t="shared" si="1"/>
        <v>0.6</v>
      </c>
      <c r="H12" s="6">
        <f t="shared" si="0"/>
        <v>0.65076297293378726</v>
      </c>
    </row>
    <row r="13" spans="2:8" x14ac:dyDescent="0.25">
      <c r="F13" s="11">
        <v>7</v>
      </c>
      <c r="G13" s="2">
        <f t="shared" si="1"/>
        <v>0.7</v>
      </c>
      <c r="H13" s="6">
        <f t="shared" si="0"/>
        <v>0.70466371772309011</v>
      </c>
    </row>
    <row r="14" spans="2:8" x14ac:dyDescent="0.25">
      <c r="F14" s="11">
        <v>8</v>
      </c>
      <c r="G14" s="2">
        <f t="shared" si="1"/>
        <v>0.79999999999999993</v>
      </c>
      <c r="H14" s="6">
        <f t="shared" si="0"/>
        <v>0.75813320056078137</v>
      </c>
    </row>
    <row r="15" spans="2:8" x14ac:dyDescent="0.25">
      <c r="F15" s="11">
        <v>9</v>
      </c>
      <c r="G15" s="2">
        <f t="shared" si="1"/>
        <v>0.89999999999999991</v>
      </c>
      <c r="H15" s="6">
        <f t="shared" si="0"/>
        <v>0.80983450766370679</v>
      </c>
    </row>
    <row r="16" spans="2:8" ht="15.75" thickBot="1" x14ac:dyDescent="0.3">
      <c r="F16" s="12">
        <v>10</v>
      </c>
      <c r="G16" s="13">
        <f t="shared" si="1"/>
        <v>0.99999999999999989</v>
      </c>
      <c r="H16" s="8">
        <f t="shared" si="0"/>
        <v>0.85831742514486564</v>
      </c>
    </row>
    <row r="17" spans="7:8" x14ac:dyDescent="0.25">
      <c r="G17" s="35" t="s">
        <v>8</v>
      </c>
      <c r="H17" s="15">
        <f>SUM(H7:H15)+(H6+H16)/2</f>
        <v>6.038700894445955</v>
      </c>
    </row>
    <row r="18" spans="7:8" ht="15.75" thickBot="1" x14ac:dyDescent="0.3">
      <c r="G18" s="33" t="s">
        <v>9</v>
      </c>
      <c r="H18" s="34">
        <f>H17*$C$12</f>
        <v>0.60387008944459553</v>
      </c>
    </row>
    <row r="19" spans="7:8" x14ac:dyDescent="0.25">
      <c r="H19">
        <f>ABS(H18-0.603792)</f>
        <v>7.8089444595530466E-5</v>
      </c>
    </row>
  </sheetData>
  <mergeCells count="1">
    <mergeCell ref="F4:H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9D384-32A7-47CA-A023-44F0768BCFF1}">
  <dimension ref="B3:J30"/>
  <sheetViews>
    <sheetView workbookViewId="0">
      <selection activeCell="F40" sqref="F40"/>
    </sheetView>
  </sheetViews>
  <sheetFormatPr defaultRowHeight="15" x14ac:dyDescent="0.25"/>
  <cols>
    <col min="2" max="2" width="23.7109375" bestFit="1" customWidth="1"/>
    <col min="7" max="7" width="10.140625" bestFit="1" customWidth="1"/>
    <col min="8" max="8" width="12" customWidth="1"/>
  </cols>
  <sheetData>
    <row r="3" spans="2:10" ht="15.75" thickBot="1" x14ac:dyDescent="0.3"/>
    <row r="4" spans="2:10" ht="15.75" thickBot="1" x14ac:dyDescent="0.3">
      <c r="F4" s="37" t="s">
        <v>22</v>
      </c>
      <c r="G4" s="38"/>
      <c r="H4" s="39"/>
    </row>
    <row r="5" spans="2:10" x14ac:dyDescent="0.25">
      <c r="F5" s="40" t="s">
        <v>4</v>
      </c>
      <c r="G5" s="41" t="s">
        <v>5</v>
      </c>
      <c r="H5" s="42" t="s">
        <v>6</v>
      </c>
    </row>
    <row r="6" spans="2:10" x14ac:dyDescent="0.25">
      <c r="F6" s="43">
        <v>0</v>
      </c>
      <c r="G6" s="44">
        <f>C10</f>
        <v>0</v>
      </c>
      <c r="H6" s="45">
        <f>0.37*EXP(SIN(G6))</f>
        <v>0.37</v>
      </c>
    </row>
    <row r="7" spans="2:10" x14ac:dyDescent="0.25">
      <c r="F7" s="43">
        <v>1</v>
      </c>
      <c r="G7" s="44">
        <f>G6+$C$13</f>
        <v>0.05</v>
      </c>
      <c r="H7" s="45">
        <f t="shared" ref="H7:H26" si="0">0.37*EXP(SIN(G7))</f>
        <v>0.38896220320836777</v>
      </c>
      <c r="I7">
        <f>IF(MOD(F7,2) = 1,H7,"")</f>
        <v>0.38896220320836777</v>
      </c>
      <c r="J7" t="str">
        <f>IF(MOD(F7,2) = 0,H7,"")</f>
        <v/>
      </c>
    </row>
    <row r="8" spans="2:10" x14ac:dyDescent="0.25">
      <c r="F8" s="43">
        <v>2</v>
      </c>
      <c r="G8" s="44">
        <f t="shared" ref="G8:G26" si="1">G7+$C$13</f>
        <v>0.1</v>
      </c>
      <c r="H8" s="45">
        <f t="shared" si="0"/>
        <v>0.40884512722272498</v>
      </c>
      <c r="I8" t="str">
        <f>IF(MOD(F8,2) = 1,H8,"")</f>
        <v/>
      </c>
      <c r="J8">
        <f t="shared" ref="I8:J25" si="2">IF(MOD(F8,2) = 0,H8,"")</f>
        <v>0.40884512722272498</v>
      </c>
    </row>
    <row r="9" spans="2:10" ht="15.75" thickBot="1" x14ac:dyDescent="0.3">
      <c r="F9" s="43">
        <v>3</v>
      </c>
      <c r="G9" s="44">
        <f t="shared" si="1"/>
        <v>0.15000000000000002</v>
      </c>
      <c r="H9" s="45">
        <f t="shared" si="0"/>
        <v>0.42963720278719819</v>
      </c>
      <c r="I9">
        <f t="shared" ref="I9:I25" si="3">IF(MOD(F9,2) = 1,H9,"")</f>
        <v>0.42963720278719819</v>
      </c>
      <c r="J9" t="str">
        <f t="shared" si="2"/>
        <v/>
      </c>
    </row>
    <row r="10" spans="2:10" x14ac:dyDescent="0.25">
      <c r="B10" s="3" t="s">
        <v>1</v>
      </c>
      <c r="C10" s="4">
        <v>0</v>
      </c>
      <c r="F10" s="43">
        <v>4</v>
      </c>
      <c r="G10" s="44">
        <f t="shared" si="1"/>
        <v>0.2</v>
      </c>
      <c r="H10" s="45">
        <f t="shared" si="0"/>
        <v>0.45131806572022898</v>
      </c>
      <c r="I10" t="str">
        <f t="shared" si="3"/>
        <v/>
      </c>
      <c r="J10">
        <f t="shared" si="2"/>
        <v>0.45131806572022898</v>
      </c>
    </row>
    <row r="11" spans="2:10" x14ac:dyDescent="0.25">
      <c r="B11" s="5" t="s">
        <v>2</v>
      </c>
      <c r="C11" s="6">
        <v>1</v>
      </c>
      <c r="F11" s="43">
        <v>5</v>
      </c>
      <c r="G11" s="44">
        <f t="shared" si="1"/>
        <v>0.25</v>
      </c>
      <c r="H11" s="45">
        <f t="shared" si="0"/>
        <v>0.47385765225434467</v>
      </c>
      <c r="I11">
        <f t="shared" si="3"/>
        <v>0.47385765225434467</v>
      </c>
      <c r="J11" t="str">
        <f t="shared" si="2"/>
        <v/>
      </c>
    </row>
    <row r="12" spans="2:10" x14ac:dyDescent="0.25">
      <c r="B12" s="5" t="s">
        <v>0</v>
      </c>
      <c r="C12" s="6">
        <v>10</v>
      </c>
      <c r="F12" s="43">
        <v>6</v>
      </c>
      <c r="G12" s="44">
        <f t="shared" si="1"/>
        <v>0.3</v>
      </c>
      <c r="H12" s="45">
        <f t="shared" si="0"/>
        <v>0.49721534018071173</v>
      </c>
      <c r="I12" t="str">
        <f t="shared" si="3"/>
        <v/>
      </c>
      <c r="J12">
        <f t="shared" si="2"/>
        <v>0.49721534018071173</v>
      </c>
    </row>
    <row r="13" spans="2:10" ht="15.75" thickBot="1" x14ac:dyDescent="0.3">
      <c r="B13" s="7" t="s">
        <v>7</v>
      </c>
      <c r="C13" s="8">
        <f>(C11-C10)/(2*C12)</f>
        <v>0.05</v>
      </c>
      <c r="F13" s="43">
        <v>7</v>
      </c>
      <c r="G13" s="44">
        <f t="shared" si="1"/>
        <v>0.35</v>
      </c>
      <c r="H13" s="45">
        <f t="shared" si="0"/>
        <v>0.52133916221487953</v>
      </c>
      <c r="I13">
        <f t="shared" si="3"/>
        <v>0.52133916221487953</v>
      </c>
      <c r="J13" t="str">
        <f t="shared" si="2"/>
        <v/>
      </c>
    </row>
    <row r="14" spans="2:10" x14ac:dyDescent="0.25">
      <c r="F14" s="43">
        <v>8</v>
      </c>
      <c r="G14" s="44">
        <f t="shared" si="1"/>
        <v>0.39999999999999997</v>
      </c>
      <c r="H14" s="45">
        <f t="shared" si="0"/>
        <v>0.54616512018491936</v>
      </c>
      <c r="I14" t="str">
        <f t="shared" si="3"/>
        <v/>
      </c>
      <c r="J14">
        <f t="shared" si="2"/>
        <v>0.54616512018491936</v>
      </c>
    </row>
    <row r="15" spans="2:10" x14ac:dyDescent="0.25">
      <c r="F15" s="43">
        <v>9</v>
      </c>
      <c r="G15" s="44">
        <f t="shared" si="1"/>
        <v>0.44999999999999996</v>
      </c>
      <c r="H15" s="45">
        <f t="shared" si="0"/>
        <v>0.57161663019728493</v>
      </c>
      <c r="I15">
        <f t="shared" si="3"/>
        <v>0.57161663019728493</v>
      </c>
      <c r="J15" t="str">
        <f t="shared" si="2"/>
        <v/>
      </c>
    </row>
    <row r="16" spans="2:10" x14ac:dyDescent="0.25">
      <c r="F16" s="43">
        <v>10</v>
      </c>
      <c r="G16" s="44">
        <f t="shared" si="1"/>
        <v>0.49999999999999994</v>
      </c>
      <c r="H16" s="45">
        <f t="shared" si="0"/>
        <v>0.59760412968357102</v>
      </c>
      <c r="I16" t="str">
        <f t="shared" si="3"/>
        <v/>
      </c>
      <c r="J16">
        <f t="shared" si="2"/>
        <v>0.59760412968357102</v>
      </c>
    </row>
    <row r="17" spans="6:10" x14ac:dyDescent="0.25">
      <c r="F17" s="43">
        <v>11</v>
      </c>
      <c r="G17" s="44">
        <f t="shared" si="1"/>
        <v>0.54999999999999993</v>
      </c>
      <c r="H17" s="45">
        <f t="shared" si="0"/>
        <v>0.62402487700436149</v>
      </c>
      <c r="I17">
        <f t="shared" si="3"/>
        <v>0.62402487700436149</v>
      </c>
      <c r="J17" t="str">
        <f t="shared" si="2"/>
        <v/>
      </c>
    </row>
    <row r="18" spans="6:10" x14ac:dyDescent="0.25">
      <c r="F18" s="43">
        <v>12</v>
      </c>
      <c r="G18" s="44">
        <f t="shared" si="1"/>
        <v>0.6</v>
      </c>
      <c r="H18" s="45">
        <f t="shared" si="0"/>
        <v>0.65076297293378726</v>
      </c>
      <c r="I18" t="str">
        <f t="shared" si="3"/>
        <v/>
      </c>
      <c r="J18">
        <f t="shared" si="2"/>
        <v>0.65076297293378726</v>
      </c>
    </row>
    <row r="19" spans="6:10" x14ac:dyDescent="0.25">
      <c r="F19" s="43">
        <v>13</v>
      </c>
      <c r="G19" s="44">
        <f t="shared" si="1"/>
        <v>0.65</v>
      </c>
      <c r="H19" s="45">
        <f t="shared" si="0"/>
        <v>0.67768963074901967</v>
      </c>
      <c r="I19">
        <f t="shared" si="3"/>
        <v>0.67768963074901967</v>
      </c>
      <c r="J19" t="str">
        <f t="shared" si="2"/>
        <v/>
      </c>
    </row>
    <row r="20" spans="6:10" x14ac:dyDescent="0.25">
      <c r="F20" s="43">
        <v>14</v>
      </c>
      <c r="G20" s="44">
        <f t="shared" si="1"/>
        <v>0.70000000000000007</v>
      </c>
      <c r="H20" s="45">
        <f t="shared" si="0"/>
        <v>0.70466371772309022</v>
      </c>
      <c r="I20" t="str">
        <f t="shared" si="3"/>
        <v/>
      </c>
      <c r="J20">
        <f t="shared" si="2"/>
        <v>0.70466371772309022</v>
      </c>
    </row>
    <row r="21" spans="6:10" x14ac:dyDescent="0.25">
      <c r="F21" s="43">
        <v>15</v>
      </c>
      <c r="G21" s="44">
        <f t="shared" si="1"/>
        <v>0.75000000000000011</v>
      </c>
      <c r="H21" s="45">
        <f t="shared" si="0"/>
        <v>0.73153258554060197</v>
      </c>
      <c r="I21">
        <f t="shared" si="3"/>
        <v>0.73153258554060197</v>
      </c>
      <c r="J21" t="str">
        <f t="shared" si="2"/>
        <v/>
      </c>
    </row>
    <row r="22" spans="6:10" x14ac:dyDescent="0.25">
      <c r="F22" s="43">
        <v>16</v>
      </c>
      <c r="G22" s="44">
        <f t="shared" si="1"/>
        <v>0.80000000000000016</v>
      </c>
      <c r="H22" s="45">
        <f t="shared" si="0"/>
        <v>0.75813320056078159</v>
      </c>
      <c r="I22" t="str">
        <f t="shared" si="3"/>
        <v/>
      </c>
      <c r="J22">
        <f t="shared" si="2"/>
        <v>0.75813320056078159</v>
      </c>
    </row>
    <row r="23" spans="6:10" x14ac:dyDescent="0.25">
      <c r="F23" s="43">
        <v>17</v>
      </c>
      <c r="G23" s="44">
        <f t="shared" si="1"/>
        <v>0.8500000000000002</v>
      </c>
      <c r="H23" s="45">
        <f t="shared" si="0"/>
        <v>0.78429357704846281</v>
      </c>
      <c r="I23">
        <f t="shared" si="3"/>
        <v>0.78429357704846281</v>
      </c>
      <c r="J23" t="str">
        <f t="shared" si="2"/>
        <v/>
      </c>
    </row>
    <row r="24" spans="6:10" x14ac:dyDescent="0.25">
      <c r="F24" s="43">
        <v>18</v>
      </c>
      <c r="G24" s="44">
        <f t="shared" si="1"/>
        <v>0.90000000000000024</v>
      </c>
      <c r="H24" s="45">
        <f t="shared" si="0"/>
        <v>0.80983450766370702</v>
      </c>
      <c r="I24" t="str">
        <f t="shared" si="3"/>
        <v/>
      </c>
      <c r="J24">
        <f t="shared" si="2"/>
        <v>0.80983450766370702</v>
      </c>
    </row>
    <row r="25" spans="6:10" x14ac:dyDescent="0.25">
      <c r="F25" s="43">
        <v>19</v>
      </c>
      <c r="G25" s="44">
        <f t="shared" si="1"/>
        <v>0.95000000000000029</v>
      </c>
      <c r="H25" s="45">
        <f t="shared" si="0"/>
        <v>0.8345715759027349</v>
      </c>
      <c r="I25">
        <f t="shared" si="3"/>
        <v>0.8345715759027349</v>
      </c>
      <c r="J25" t="str">
        <f t="shared" si="2"/>
        <v/>
      </c>
    </row>
    <row r="26" spans="6:10" ht="15.75" thickBot="1" x14ac:dyDescent="0.3">
      <c r="F26" s="46">
        <v>20</v>
      </c>
      <c r="G26" s="47">
        <f t="shared" si="1"/>
        <v>1.0000000000000002</v>
      </c>
      <c r="H26" s="48">
        <f t="shared" si="0"/>
        <v>0.85831742514486575</v>
      </c>
    </row>
    <row r="27" spans="6:10" x14ac:dyDescent="0.25">
      <c r="G27" s="49" t="s">
        <v>23</v>
      </c>
      <c r="H27" s="50">
        <f>SUM(J8:J24)</f>
        <v>5.4245421818735222</v>
      </c>
    </row>
    <row r="28" spans="6:10" ht="15.75" thickBot="1" x14ac:dyDescent="0.3">
      <c r="G28" s="51" t="s">
        <v>24</v>
      </c>
      <c r="H28" s="52">
        <f>SUM(I7:I25)</f>
        <v>6.037525096907256</v>
      </c>
    </row>
    <row r="29" spans="6:10" ht="15.75" thickBot="1" x14ac:dyDescent="0.3">
      <c r="G29" s="33" t="s">
        <v>9</v>
      </c>
      <c r="H29" s="34">
        <f>$C$13*(H6+H26+2*H27+4*H28)/3</f>
        <v>0.60379170294201556</v>
      </c>
    </row>
    <row r="30" spans="6:10" x14ac:dyDescent="0.25">
      <c r="H30">
        <f>ABS($H$29 - 0.603792)</f>
        <v>2.9705798443302456E-7</v>
      </c>
    </row>
  </sheetData>
  <mergeCells count="1">
    <mergeCell ref="F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Прямоугольники</vt:lpstr>
      <vt:lpstr>Трапеции</vt:lpstr>
      <vt:lpstr>Парабола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2025-02-20T05:34:18Z</dcterms:created>
  <dcterms:modified xsi:type="dcterms:W3CDTF">2025-02-24T11:52:24Z</dcterms:modified>
</cp:coreProperties>
</file>