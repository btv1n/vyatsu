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\\lib16\Students\ПМИшечки-3\Полетаев Егор\Численные методы\Lab1\"/>
    </mc:Choice>
  </mc:AlternateContent>
  <xr:revisionPtr revIDLastSave="0" documentId="13_ncr:1_{F3C0FFE4-F1D8-458E-A249-EDF57431A46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2" i="1" l="1"/>
  <c r="E55" i="1"/>
  <c r="M104" i="1"/>
  <c r="M64" i="1"/>
  <c r="M66" i="1"/>
  <c r="M68" i="1"/>
  <c r="M70" i="1"/>
  <c r="M72" i="1"/>
  <c r="M74" i="1"/>
  <c r="M76" i="1"/>
  <c r="M78" i="1"/>
  <c r="M80" i="1"/>
  <c r="M82" i="1"/>
  <c r="M84" i="1"/>
  <c r="M86" i="1"/>
  <c r="M88" i="1"/>
  <c r="M90" i="1"/>
  <c r="M92" i="1"/>
  <c r="M94" i="1"/>
  <c r="M96" i="1"/>
  <c r="M98" i="1"/>
  <c r="M100" i="1"/>
  <c r="M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62" i="1"/>
  <c r="H62" i="1"/>
  <c r="I62" i="1" s="1"/>
  <c r="I64" i="1"/>
  <c r="I66" i="1"/>
  <c r="I68" i="1"/>
  <c r="I70" i="1"/>
  <c r="I72" i="1"/>
  <c r="I74" i="1"/>
  <c r="I76" i="1"/>
  <c r="I78" i="1"/>
  <c r="I80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I84" i="1" l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E53" i="1"/>
  <c r="Z53" i="1"/>
  <c r="E49" i="1"/>
  <c r="Y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E52" i="1"/>
  <c r="E48" i="1"/>
  <c r="P49" i="1" s="1"/>
  <c r="N49" i="1"/>
  <c r="F49" i="1"/>
  <c r="G49" i="1"/>
  <c r="H49" i="1"/>
  <c r="I49" i="1"/>
  <c r="J49" i="1"/>
  <c r="K49" i="1"/>
  <c r="L49" i="1"/>
  <c r="M49" i="1"/>
  <c r="F48" i="1"/>
  <c r="G48" i="1"/>
  <c r="H48" i="1"/>
  <c r="I48" i="1"/>
  <c r="J48" i="1"/>
  <c r="K48" i="1"/>
  <c r="L48" i="1"/>
  <c r="M48" i="1"/>
  <c r="N48" i="1"/>
  <c r="O48" i="1"/>
  <c r="N31" i="1" l="1"/>
  <c r="M31" i="1"/>
  <c r="L31" i="1"/>
  <c r="M27" i="1" l="1"/>
  <c r="N27" i="1"/>
  <c r="L2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7" i="1"/>
  <c r="I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7" i="1"/>
  <c r="H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7" i="1"/>
  <c r="G7" i="1"/>
  <c r="B46" i="1"/>
  <c r="B45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26" i="1"/>
  <c r="B14" i="1"/>
  <c r="I8" i="1"/>
  <c r="I9" i="1"/>
  <c r="I10" i="1"/>
  <c r="I11" i="1"/>
  <c r="I12" i="1"/>
  <c r="I13" i="1"/>
  <c r="I14" i="1"/>
  <c r="I15" i="1"/>
  <c r="I16" i="1"/>
  <c r="I17" i="1"/>
  <c r="H16" i="1"/>
  <c r="H11" i="1"/>
  <c r="H15" i="1"/>
  <c r="G9" i="1"/>
  <c r="G13" i="1"/>
  <c r="B24" i="1"/>
  <c r="B15" i="1"/>
  <c r="B16" i="1"/>
  <c r="H8" i="1" s="1"/>
  <c r="B17" i="1"/>
  <c r="G10" i="1" s="1"/>
  <c r="B18" i="1"/>
  <c r="G11" i="1" s="1"/>
  <c r="B19" i="1"/>
  <c r="G12" i="1" s="1"/>
  <c r="B20" i="1"/>
  <c r="H12" i="1" s="1"/>
  <c r="B21" i="1"/>
  <c r="G14" i="1" s="1"/>
  <c r="B22" i="1"/>
  <c r="G15" i="1" s="1"/>
  <c r="B23" i="1"/>
  <c r="G16" i="1" s="1"/>
  <c r="B12" i="1"/>
  <c r="B11" i="1"/>
  <c r="B10" i="1"/>
  <c r="G8" i="1" l="1"/>
  <c r="G17" i="1" s="1"/>
  <c r="H14" i="1"/>
  <c r="H10" i="1"/>
  <c r="H13" i="1"/>
  <c r="H9" i="1"/>
  <c r="H17" i="1" s="1"/>
</calcChain>
</file>

<file path=xl/sharedStrings.xml><?xml version="1.0" encoding="utf-8"?>
<sst xmlns="http://schemas.openxmlformats.org/spreadsheetml/2006/main" count="113" uniqueCount="30">
  <si>
    <t>f(x)</t>
  </si>
  <si>
    <t>0,5 + xlgx</t>
  </si>
  <si>
    <t>a = 1</t>
  </si>
  <si>
    <t>b = 2</t>
  </si>
  <si>
    <t>F(x)</t>
  </si>
  <si>
    <t>0,5x+(x^2 * lnx)/(2ln(10)) - x^2/(4ln(10))</t>
  </si>
  <si>
    <t>F(b)</t>
  </si>
  <si>
    <t>F(a)</t>
  </si>
  <si>
    <t>Интеграл</t>
  </si>
  <si>
    <t>f(a)</t>
  </si>
  <si>
    <t>a = &gt; b</t>
  </si>
  <si>
    <t>a</t>
  </si>
  <si>
    <t>b</t>
  </si>
  <si>
    <t>f(b)</t>
  </si>
  <si>
    <t>|</t>
  </si>
  <si>
    <t>=</t>
  </si>
  <si>
    <t>Левые</t>
  </si>
  <si>
    <t>Правые</t>
  </si>
  <si>
    <t>Средние</t>
  </si>
  <si>
    <t>СУММЫ</t>
  </si>
  <si>
    <t>Разности</t>
  </si>
  <si>
    <t>Метод прямоугольников</t>
  </si>
  <si>
    <t>X</t>
  </si>
  <si>
    <t>S(i)</t>
  </si>
  <si>
    <t>Сумма(S)</t>
  </si>
  <si>
    <t>Рунге</t>
  </si>
  <si>
    <t>Метод Сипмсона</t>
  </si>
  <si>
    <t>Сумма</t>
  </si>
  <si>
    <t>Метод симпсона</t>
  </si>
  <si>
    <t>РУНГЕ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</si>
</sst>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2" borderId="1" xfId="0" applyFill="1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3" borderId="2" xfId="0" applyFill="1" applyBorder="1"/>
    <xf numFmtId="0" fontId="4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top"/>
    </xf>
    <xf numFmtId="0" fontId="4" fillId="3" borderId="4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0" fillId="4" borderId="2" xfId="0" applyFill="1" applyBorder="1"/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4" xfId="0" applyNumberFormat="1" applyBorder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3" fillId="0" borderId="0" xfId="0" applyFont="1" applyAlignment="1">
      <alignment vertical="top"/>
    </xf>
    <xf numFmtId="0" fontId="0" fillId="5" borderId="10" xfId="0" applyFill="1" applyBorder="1"/>
    <xf numFmtId="0" fontId="0" fillId="5" borderId="1" xfId="0" applyFill="1" applyBorder="1"/>
    <xf numFmtId="0" fontId="2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77665</xdr:colOff>
      <xdr:row>33</xdr:row>
      <xdr:rowOff>48724</xdr:rowOff>
    </xdr:from>
    <xdr:ext cx="2941028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72C8356-2E5C-4E02-BBD8-805AA9F957EB}"/>
                </a:ext>
              </a:extLst>
            </xdr:cNvPr>
            <xdr:cNvSpPr txBox="1"/>
          </xdr:nvSpPr>
          <xdr:spPr>
            <a:xfrm>
              <a:off x="7661030" y="8416070"/>
              <a:ext cx="2941028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0,5+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𝑥𝑙𝑔𝑥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=0,761±0,015 </m:t>
                        </m:r>
                      </m:e>
                    </m:nary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72C8356-2E5C-4E02-BBD8-805AA9F957EB}"/>
                </a:ext>
              </a:extLst>
            </xdr:cNvPr>
            <xdr:cNvSpPr txBox="1"/>
          </xdr:nvSpPr>
          <xdr:spPr>
            <a:xfrm>
              <a:off x="7661030" y="8416070"/>
              <a:ext cx="2941028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r>
                <a:rPr lang="ru-RU" sz="1100" b="0" i="0">
                  <a:latin typeface="Cambria Math" panose="02040503050406030204" pitchFamily="18" charset="0"/>
                </a:rPr>
                <a:t>▒〖</a:t>
              </a:r>
              <a:r>
                <a:rPr lang="en-US" sz="1100" b="0" i="0">
                  <a:latin typeface="Cambria Math" panose="02040503050406030204" pitchFamily="18" charset="0"/>
                </a:rPr>
                <a:t>0,5+𝑥𝑙𝑔𝑥=0,761±0,015 </a:t>
              </a:r>
              <a:r>
                <a:rPr lang="ru-RU" sz="1100" b="0" i="0">
                  <a:latin typeface="Cambria Math" panose="02040503050406030204" pitchFamily="18" charset="0"/>
                </a:rPr>
                <a:t>〗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61545</xdr:colOff>
      <xdr:row>36</xdr:row>
      <xdr:rowOff>39931</xdr:rowOff>
    </xdr:from>
    <xdr:ext cx="2941028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3654996-74C2-4B09-807A-2D43F67962FF}"/>
                </a:ext>
              </a:extLst>
            </xdr:cNvPr>
            <xdr:cNvSpPr txBox="1"/>
          </xdr:nvSpPr>
          <xdr:spPr>
            <a:xfrm>
              <a:off x="7644910" y="9132643"/>
              <a:ext cx="2941028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0,5+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𝑥𝑙𝑔𝑥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=0,791±0,015 </m:t>
                        </m:r>
                      </m:e>
                    </m:nary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3654996-74C2-4B09-807A-2D43F67962FF}"/>
                </a:ext>
              </a:extLst>
            </xdr:cNvPr>
            <xdr:cNvSpPr txBox="1"/>
          </xdr:nvSpPr>
          <xdr:spPr>
            <a:xfrm>
              <a:off x="7644910" y="9132643"/>
              <a:ext cx="2941028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r>
                <a:rPr lang="ru-RU" sz="1100" b="0" i="0">
                  <a:latin typeface="Cambria Math" panose="02040503050406030204" pitchFamily="18" charset="0"/>
                </a:rPr>
                <a:t>▒〖</a:t>
              </a:r>
              <a:r>
                <a:rPr lang="en-US" sz="1100" b="0" i="0">
                  <a:latin typeface="Cambria Math" panose="02040503050406030204" pitchFamily="18" charset="0"/>
                </a:rPr>
                <a:t>0,5+𝑥𝑙𝑔𝑥=0,791±0,015 </a:t>
              </a:r>
              <a:r>
                <a:rPr lang="ru-RU" sz="1100" b="0" i="0">
                  <a:latin typeface="Cambria Math" panose="02040503050406030204" pitchFamily="18" charset="0"/>
                </a:rPr>
                <a:t>〗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23445</xdr:colOff>
      <xdr:row>39</xdr:row>
      <xdr:rowOff>67773</xdr:rowOff>
    </xdr:from>
    <xdr:ext cx="2941028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23DF987-B507-44F5-81E4-64179E67B052}"/>
                </a:ext>
              </a:extLst>
            </xdr:cNvPr>
            <xdr:cNvSpPr txBox="1"/>
          </xdr:nvSpPr>
          <xdr:spPr>
            <a:xfrm>
              <a:off x="7606810" y="9885850"/>
              <a:ext cx="2941028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0,5+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𝑥𝑙𝑔𝑥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=0,7466±0,0097 </m:t>
                        </m:r>
                      </m:e>
                    </m:nary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23DF987-B507-44F5-81E4-64179E67B052}"/>
                </a:ext>
              </a:extLst>
            </xdr:cNvPr>
            <xdr:cNvSpPr txBox="1"/>
          </xdr:nvSpPr>
          <xdr:spPr>
            <a:xfrm>
              <a:off x="7606810" y="9885850"/>
              <a:ext cx="2941028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r>
                <a:rPr lang="ru-RU" sz="1100" b="0" i="0">
                  <a:latin typeface="Cambria Math" panose="02040503050406030204" pitchFamily="18" charset="0"/>
                </a:rPr>
                <a:t>▒〖</a:t>
              </a:r>
              <a:r>
                <a:rPr lang="en-US" sz="1100" b="0" i="0">
                  <a:latin typeface="Cambria Math" panose="02040503050406030204" pitchFamily="18" charset="0"/>
                </a:rPr>
                <a:t>0,5+𝑥𝑙𝑔𝑥=0,7466±0,0097 </a:t>
              </a:r>
              <a:r>
                <a:rPr lang="ru-RU" sz="1100" b="0" i="0">
                  <a:latin typeface="Cambria Math" panose="02040503050406030204" pitchFamily="18" charset="0"/>
                </a:rPr>
                <a:t>〗</a:t>
              </a:r>
              <a:endParaRPr lang="ru-RU" sz="1100"/>
            </a:p>
          </xdr:txBody>
        </xdr:sp>
      </mc:Fallback>
    </mc:AlternateContent>
    <xdr:clientData/>
  </xdr:oneCellAnchor>
  <xdr:twoCellAnchor editAs="oneCell">
    <xdr:from>
      <xdr:col>2</xdr:col>
      <xdr:colOff>352425</xdr:colOff>
      <xdr:row>46</xdr:row>
      <xdr:rowOff>0</xdr:rowOff>
    </xdr:from>
    <xdr:to>
      <xdr:col>2</xdr:col>
      <xdr:colOff>3429001</xdr:colOff>
      <xdr:row>51</xdr:row>
      <xdr:rowOff>143873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B641D52-1CE6-4BF3-9364-4F7A666B7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9850" y="11344275"/>
          <a:ext cx="3076576" cy="1143998"/>
        </a:xfrm>
        <a:prstGeom prst="rect">
          <a:avLst/>
        </a:prstGeom>
      </xdr:spPr>
    </xdr:pic>
    <xdr:clientData/>
  </xdr:twoCellAnchor>
  <xdr:oneCellAnchor>
    <xdr:from>
      <xdr:col>6</xdr:col>
      <xdr:colOff>79130</xdr:colOff>
      <xdr:row>56</xdr:row>
      <xdr:rowOff>5495</xdr:rowOff>
    </xdr:from>
    <xdr:ext cx="2941028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7B79A61-1E45-43C8-BADF-39EE8596606E}"/>
                </a:ext>
              </a:extLst>
            </xdr:cNvPr>
            <xdr:cNvSpPr txBox="1"/>
          </xdr:nvSpPr>
          <xdr:spPr>
            <a:xfrm>
              <a:off x="8737355" y="13350020"/>
              <a:ext cx="2941028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0,5+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𝑥𝑙𝑔𝑥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=0,77569±0,0000063 </m:t>
                        </m:r>
                      </m:e>
                    </m:nary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7B79A61-1E45-43C8-BADF-39EE8596606E}"/>
                </a:ext>
              </a:extLst>
            </xdr:cNvPr>
            <xdr:cNvSpPr txBox="1"/>
          </xdr:nvSpPr>
          <xdr:spPr>
            <a:xfrm>
              <a:off x="8737355" y="13350020"/>
              <a:ext cx="2941028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∫</a:t>
              </a:r>
              <a:r>
                <a:rPr lang="en-US" sz="1100" b="0" i="0">
                  <a:latin typeface="Cambria Math" panose="02040503050406030204" pitchFamily="18" charset="0"/>
                </a:rPr>
                <a:t>_1^2▒〖0,5+𝑥𝑙𝑔𝑥=0,77569±0,0000063 〗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13</xdr:col>
      <xdr:colOff>488705</xdr:colOff>
      <xdr:row>64</xdr:row>
      <xdr:rowOff>167420</xdr:rowOff>
    </xdr:from>
    <xdr:ext cx="3464170" cy="37959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4809549-88E7-4D2F-8F77-9CFA52E9DAD8}"/>
                </a:ext>
              </a:extLst>
            </xdr:cNvPr>
            <xdr:cNvSpPr txBox="1"/>
          </xdr:nvSpPr>
          <xdr:spPr>
            <a:xfrm>
              <a:off x="13518905" y="15197870"/>
              <a:ext cx="346417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0,5+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𝑥𝑙𝑔𝑥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=0,7763391±0,00000000352606 </m:t>
                        </m:r>
                      </m:e>
                    </m:nary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4809549-88E7-4D2F-8F77-9CFA52E9DAD8}"/>
                </a:ext>
              </a:extLst>
            </xdr:cNvPr>
            <xdr:cNvSpPr txBox="1"/>
          </xdr:nvSpPr>
          <xdr:spPr>
            <a:xfrm>
              <a:off x="13518905" y="15197870"/>
              <a:ext cx="346417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∫</a:t>
              </a:r>
              <a:r>
                <a:rPr lang="en-US" sz="1100" b="0" i="0">
                  <a:latin typeface="Cambria Math" panose="02040503050406030204" pitchFamily="18" charset="0"/>
                </a:rPr>
                <a:t>_1^2▒〖0,5+𝑥𝑙𝑔𝑥=0,7763391±0,00000000352606 〗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4"/>
  <sheetViews>
    <sheetView tabSelected="1" topLeftCell="C29" zoomScaleNormal="100" workbookViewId="0">
      <selection activeCell="D46" sqref="D46:H46"/>
    </sheetView>
  </sheetViews>
  <sheetFormatPr defaultRowHeight="15" x14ac:dyDescent="0.25"/>
  <cols>
    <col min="1" max="1" width="18.42578125" customWidth="1"/>
    <col min="2" max="2" width="15.42578125" customWidth="1"/>
    <col min="3" max="3" width="52.5703125" customWidth="1"/>
    <col min="5" max="5" width="23.28515625" customWidth="1"/>
    <col min="6" max="6" width="11" bestFit="1" customWidth="1"/>
    <col min="9" max="9" width="9.85546875" customWidth="1"/>
    <col min="13" max="13" width="10" customWidth="1"/>
    <col min="15" max="15" width="12" bestFit="1" customWidth="1"/>
  </cols>
  <sheetData>
    <row r="1" spans="1:15" ht="18.75" x14ac:dyDescent="0.25">
      <c r="A1" s="27" t="s">
        <v>2</v>
      </c>
      <c r="B1" s="27" t="s">
        <v>0</v>
      </c>
      <c r="C1" s="27" t="s">
        <v>4</v>
      </c>
    </row>
    <row r="2" spans="1:15" ht="51.75" customHeight="1" x14ac:dyDescent="0.25">
      <c r="A2" s="27" t="s">
        <v>3</v>
      </c>
      <c r="B2" s="27" t="s">
        <v>1</v>
      </c>
      <c r="C2" s="27" t="s">
        <v>5</v>
      </c>
    </row>
    <row r="3" spans="1:15" ht="18.75" x14ac:dyDescent="0.3">
      <c r="D3" s="14"/>
      <c r="E3" s="15" t="s">
        <v>11</v>
      </c>
      <c r="F3" s="16" t="s">
        <v>15</v>
      </c>
      <c r="G3" s="16" t="s">
        <v>15</v>
      </c>
      <c r="H3" s="16" t="s">
        <v>15</v>
      </c>
      <c r="I3" s="16" t="s">
        <v>15</v>
      </c>
      <c r="J3" s="16" t="s">
        <v>15</v>
      </c>
      <c r="K3" s="16" t="s">
        <v>15</v>
      </c>
      <c r="L3" s="16" t="s">
        <v>15</v>
      </c>
      <c r="M3" s="16" t="s">
        <v>15</v>
      </c>
      <c r="N3" s="16" t="s">
        <v>15</v>
      </c>
      <c r="O3" s="17" t="s">
        <v>12</v>
      </c>
    </row>
    <row r="4" spans="1:15" ht="18.75" x14ac:dyDescent="0.3">
      <c r="D4" s="18" t="s">
        <v>10</v>
      </c>
      <c r="E4" s="19">
        <v>1</v>
      </c>
      <c r="F4" s="19">
        <v>1.1000000000000001</v>
      </c>
      <c r="G4" s="19">
        <v>1.2</v>
      </c>
      <c r="H4" s="19">
        <v>1.3</v>
      </c>
      <c r="I4" s="19">
        <v>1.4</v>
      </c>
      <c r="J4" s="19">
        <v>1.5</v>
      </c>
      <c r="K4" s="19">
        <v>1.6</v>
      </c>
      <c r="L4" s="19">
        <v>1.7</v>
      </c>
      <c r="M4" s="19">
        <v>1.8</v>
      </c>
      <c r="N4" s="19">
        <v>1.9</v>
      </c>
      <c r="O4" s="20">
        <v>2</v>
      </c>
    </row>
    <row r="5" spans="1:15" ht="18.75" x14ac:dyDescent="0.25">
      <c r="D5" s="21"/>
      <c r="E5" s="22">
        <v>0.9</v>
      </c>
    </row>
    <row r="6" spans="1:15" ht="18.75" x14ac:dyDescent="0.3">
      <c r="D6" s="23" t="s">
        <v>11</v>
      </c>
      <c r="E6" s="24">
        <v>1</v>
      </c>
      <c r="G6" s="11" t="s">
        <v>16</v>
      </c>
      <c r="H6" s="12" t="s">
        <v>17</v>
      </c>
      <c r="I6" s="13" t="s">
        <v>18</v>
      </c>
      <c r="L6" s="11" t="s">
        <v>16</v>
      </c>
      <c r="M6" s="12" t="s">
        <v>17</v>
      </c>
      <c r="N6" s="13" t="s">
        <v>18</v>
      </c>
    </row>
    <row r="7" spans="1:15" ht="18.75" x14ac:dyDescent="0.3">
      <c r="D7" s="23" t="s">
        <v>14</v>
      </c>
      <c r="E7" s="24">
        <v>1.1000000000000001</v>
      </c>
      <c r="G7" s="5">
        <f t="shared" ref="G7:G16" si="0">B14*(E7-E6)</f>
        <v>5.0000000000000044E-2</v>
      </c>
      <c r="H7" s="6">
        <f t="shared" ref="H7:H16" si="1">B15*(E7-E6)</f>
        <v>5.4553195367404807E-2</v>
      </c>
      <c r="I7" s="7">
        <f>(0.5+((E6+E5)/2)*LOG10(((E6+E5)/2)))*(E6-E5)</f>
        <v>4.7883742502440527E-2</v>
      </c>
      <c r="L7" s="5">
        <f>B26*(E20-E19)</f>
        <v>2.5000000000000022E-2</v>
      </c>
      <c r="M7" s="6">
        <f>B27*(E20-E19)</f>
        <v>2.6112438201171772E-2</v>
      </c>
      <c r="N7" s="7">
        <f>(0.5+((E19+E18)/2)*LOG10(((E19+E18)/2)))*(E19-E18)</f>
        <v>2.4463975015303691E-2</v>
      </c>
    </row>
    <row r="8" spans="1:15" ht="18.75" x14ac:dyDescent="0.3">
      <c r="D8" s="23" t="s">
        <v>14</v>
      </c>
      <c r="E8" s="24">
        <v>1.2</v>
      </c>
      <c r="G8" s="5">
        <f t="shared" si="0"/>
        <v>5.4553195367404689E-2</v>
      </c>
      <c r="H8" s="6">
        <f t="shared" si="1"/>
        <v>5.9501749525714895E-2</v>
      </c>
      <c r="I8" s="7">
        <f t="shared" ref="I8:I16" si="2">(0.5+((E7+E6)/2)*LOG10(((E7+E6)/2)))*(E7-E6)</f>
        <v>5.2224876402343544E-2</v>
      </c>
      <c r="L8" s="5">
        <f t="shared" ref="L8:L26" si="3">B27*(E21-E20)</f>
        <v>2.6112438201171772E-2</v>
      </c>
      <c r="M8" s="6">
        <f t="shared" ref="M8:M26" si="4">B28*(E21-E20)</f>
        <v>2.7276597683702403E-2</v>
      </c>
      <c r="N8" s="7">
        <f t="shared" ref="N8:N26" si="5">(0.5+((E20+E19)/2)*LOG10(((E20+E19)/2)))*(E20-E19)</f>
        <v>2.5549598101328393E-2</v>
      </c>
    </row>
    <row r="9" spans="1:15" ht="18.75" x14ac:dyDescent="0.3">
      <c r="D9" s="23" t="s">
        <v>14</v>
      </c>
      <c r="E9" s="24">
        <v>1.3</v>
      </c>
      <c r="G9" s="5">
        <f t="shared" si="0"/>
        <v>5.9501749525715027E-2</v>
      </c>
      <c r="H9" s="6">
        <f t="shared" si="1"/>
        <v>6.4812635799888843E-2</v>
      </c>
      <c r="I9" s="7">
        <f t="shared" si="2"/>
        <v>5.698025164066526E-2</v>
      </c>
      <c r="L9" s="5">
        <f t="shared" si="3"/>
        <v>2.7276597683702282E-2</v>
      </c>
      <c r="M9" s="6">
        <f t="shared" si="4"/>
        <v>2.8490125820332567E-2</v>
      </c>
      <c r="N9" s="7">
        <f t="shared" si="5"/>
        <v>2.6688204953524825E-2</v>
      </c>
    </row>
    <row r="10" spans="1:15" ht="18.75" x14ac:dyDescent="0.3">
      <c r="A10" s="28" t="s">
        <v>6</v>
      </c>
      <c r="B10" s="29">
        <f>0.5*2 + (2*2*LN(2))/(2*LN(10))-(2*2)/(4*LN(10))</f>
        <v>1.1677655094247106</v>
      </c>
      <c r="D10" s="23" t="s">
        <v>14</v>
      </c>
      <c r="E10" s="24">
        <v>1.4</v>
      </c>
      <c r="G10" s="5">
        <f t="shared" si="0"/>
        <v>6.4812635799888704E-2</v>
      </c>
      <c r="H10" s="6">
        <f t="shared" si="1"/>
        <v>7.0457924994953222E-2</v>
      </c>
      <c r="I10" s="7">
        <f t="shared" si="2"/>
        <v>6.2113751626007109E-2</v>
      </c>
      <c r="L10" s="5">
        <f t="shared" si="3"/>
        <v>2.8490125820332692E-2</v>
      </c>
      <c r="M10" s="6">
        <f t="shared" si="4"/>
        <v>2.9750874762857513E-2</v>
      </c>
      <c r="N10" s="7">
        <f t="shared" si="5"/>
        <v>2.7877329387665097E-2</v>
      </c>
    </row>
    <row r="11" spans="1:15" ht="18.75" x14ac:dyDescent="0.3">
      <c r="A11" s="30" t="s">
        <v>7</v>
      </c>
      <c r="B11" s="7">
        <f>0.5*1 + (1*1*LN(1))/(2*LN(10))-(1*1)/(4*LN(10))</f>
        <v>0.39142637952418707</v>
      </c>
      <c r="D11" s="23" t="s">
        <v>14</v>
      </c>
      <c r="E11" s="24">
        <v>1.5</v>
      </c>
      <c r="G11" s="5">
        <f t="shared" si="0"/>
        <v>7.0457924994953375E-2</v>
      </c>
      <c r="H11" s="6">
        <f t="shared" si="1"/>
        <v>7.6413688858352244E-2</v>
      </c>
      <c r="I11" s="7">
        <f t="shared" si="2"/>
        <v>6.759505874682574E-2</v>
      </c>
      <c r="L11" s="5">
        <f t="shared" si="3"/>
        <v>2.9750874762857513E-2</v>
      </c>
      <c r="M11" s="6">
        <f t="shared" si="4"/>
        <v>3.1056875813003555E-2</v>
      </c>
      <c r="N11" s="7">
        <f t="shared" si="5"/>
        <v>2.9114724663205631E-2</v>
      </c>
    </row>
    <row r="12" spans="1:15" ht="18.75" x14ac:dyDescent="0.3">
      <c r="A12" s="31" t="s">
        <v>8</v>
      </c>
      <c r="B12" s="10">
        <f>B10-B11</f>
        <v>0.77633912990052356</v>
      </c>
      <c r="D12" s="23" t="s">
        <v>14</v>
      </c>
      <c r="E12" s="24">
        <v>1.6</v>
      </c>
      <c r="G12" s="5">
        <f t="shared" si="0"/>
        <v>7.6413688858352244E-2</v>
      </c>
      <c r="H12" s="6">
        <f t="shared" si="1"/>
        <v>8.2659197224948036E-2</v>
      </c>
      <c r="I12" s="7">
        <f t="shared" si="2"/>
        <v>7.3398360324071418E-2</v>
      </c>
      <c r="L12" s="5">
        <f t="shared" si="3"/>
        <v>3.1056875813003555E-2</v>
      </c>
      <c r="M12" s="6">
        <f t="shared" si="4"/>
        <v>3.2406317899944422E-2</v>
      </c>
      <c r="N12" s="7">
        <f t="shared" si="5"/>
        <v>3.0398335432908794E-2</v>
      </c>
    </row>
    <row r="13" spans="1:15" ht="18.75" x14ac:dyDescent="0.3">
      <c r="D13" s="23" t="s">
        <v>14</v>
      </c>
      <c r="E13" s="24">
        <v>1.7</v>
      </c>
      <c r="G13" s="5">
        <f t="shared" si="0"/>
        <v>8.2659197224947856E-2</v>
      </c>
      <c r="H13" s="6">
        <f t="shared" si="1"/>
        <v>8.9176316634306446E-2</v>
      </c>
      <c r="I13" s="7">
        <f t="shared" si="2"/>
        <v>7.9501413216395256E-2</v>
      </c>
      <c r="L13" s="5">
        <f t="shared" si="3"/>
        <v>3.2406317899944422E-2</v>
      </c>
      <c r="M13" s="6">
        <f t="shared" si="4"/>
        <v>3.3797529373412946E-2</v>
      </c>
      <c r="N13" s="7">
        <f t="shared" si="5"/>
        <v>3.1726274279085864E-2</v>
      </c>
    </row>
    <row r="14" spans="1:15" ht="18.75" x14ac:dyDescent="0.3">
      <c r="A14" s="28" t="s">
        <v>9</v>
      </c>
      <c r="B14" s="4">
        <f t="shared" ref="B14:B24" si="6">0.5+E6*LOG10(E6)</f>
        <v>0.5</v>
      </c>
      <c r="D14" s="23" t="s">
        <v>14</v>
      </c>
      <c r="E14" s="24">
        <v>1.8</v>
      </c>
      <c r="G14" s="5">
        <f t="shared" si="0"/>
        <v>8.917631663430664E-2</v>
      </c>
      <c r="H14" s="6">
        <f t="shared" si="1"/>
        <v>9.594905091859518E-2</v>
      </c>
      <c r="I14" s="7">
        <f t="shared" si="2"/>
        <v>8.5884850795294412E-2</v>
      </c>
      <c r="L14" s="5">
        <f t="shared" si="3"/>
        <v>3.3797529373412794E-2</v>
      </c>
      <c r="M14" s="6">
        <f t="shared" si="4"/>
        <v>3.5228962497476535E-2</v>
      </c>
      <c r="N14" s="7">
        <f t="shared" si="5"/>
        <v>3.30968019355748E-2</v>
      </c>
    </row>
    <row r="15" spans="1:15" ht="18.75" x14ac:dyDescent="0.3">
      <c r="A15" s="30" t="s">
        <v>14</v>
      </c>
      <c r="B15" s="7">
        <f t="shared" si="6"/>
        <v>0.54553195367404761</v>
      </c>
      <c r="D15" s="23" t="s">
        <v>14</v>
      </c>
      <c r="E15" s="24">
        <v>1.9</v>
      </c>
      <c r="G15" s="5">
        <f t="shared" si="0"/>
        <v>9.5949050918594958E-2</v>
      </c>
      <c r="H15" s="6">
        <f t="shared" si="1"/>
        <v>0.10296318418103735</v>
      </c>
      <c r="I15" s="7">
        <f t="shared" si="2"/>
        <v>9.2531658520101603E-2</v>
      </c>
      <c r="L15" s="5">
        <f t="shared" si="3"/>
        <v>3.5228962497476687E-2</v>
      </c>
      <c r="M15" s="6">
        <f t="shared" si="4"/>
        <v>3.6699180162035709E-2</v>
      </c>
      <c r="N15" s="7">
        <f t="shared" si="5"/>
        <v>3.450831049893173E-2</v>
      </c>
    </row>
    <row r="16" spans="1:15" ht="18.75" x14ac:dyDescent="0.3">
      <c r="A16" s="30" t="s">
        <v>14</v>
      </c>
      <c r="B16" s="7">
        <f t="shared" si="6"/>
        <v>0.59501749525714975</v>
      </c>
      <c r="D16" s="25" t="s">
        <v>12</v>
      </c>
      <c r="E16" s="26">
        <v>2</v>
      </c>
      <c r="G16" s="8">
        <f t="shared" si="0"/>
        <v>0.10296318418103759</v>
      </c>
      <c r="H16" s="9">
        <f t="shared" si="1"/>
        <v>0.11020599913279634</v>
      </c>
      <c r="I16" s="10">
        <f t="shared" si="2"/>
        <v>9.9426769754557429E-2</v>
      </c>
      <c r="L16" s="5">
        <f t="shared" si="3"/>
        <v>3.6699180162035709E-2</v>
      </c>
      <c r="M16" s="6">
        <f t="shared" si="4"/>
        <v>3.8206844429176122E-2</v>
      </c>
      <c r="N16" s="7">
        <f t="shared" si="5"/>
        <v>3.5959309084547718E-2</v>
      </c>
    </row>
    <row r="17" spans="1:14" ht="18.75" x14ac:dyDescent="0.25">
      <c r="A17" s="30" t="s">
        <v>14</v>
      </c>
      <c r="B17" s="7">
        <f t="shared" si="6"/>
        <v>0.64812635799888785</v>
      </c>
      <c r="G17" s="3">
        <f>SUM(G7:G16)</f>
        <v>0.74648694350520106</v>
      </c>
      <c r="H17" s="3">
        <f t="shared" ref="H17:I17" si="7">SUM(H7:H16)</f>
        <v>0.8066929426379974</v>
      </c>
      <c r="I17" s="3">
        <f t="shared" si="7"/>
        <v>0.71754073352870229</v>
      </c>
      <c r="J17" s="2" t="s">
        <v>19</v>
      </c>
      <c r="L17" s="5">
        <f t="shared" si="3"/>
        <v>3.8206844429176122E-2</v>
      </c>
      <c r="M17" s="6">
        <f t="shared" si="4"/>
        <v>3.9750706608197628E-2</v>
      </c>
      <c r="N17" s="7">
        <f t="shared" si="5"/>
        <v>3.7448411498170943E-2</v>
      </c>
    </row>
    <row r="18" spans="1:14" ht="18.75" x14ac:dyDescent="0.3">
      <c r="A18" s="30" t="s">
        <v>14</v>
      </c>
      <c r="B18" s="7">
        <f t="shared" si="6"/>
        <v>0.70457924994953314</v>
      </c>
      <c r="D18" s="33"/>
      <c r="E18" s="34">
        <v>0.95</v>
      </c>
      <c r="L18" s="5">
        <f t="shared" si="3"/>
        <v>3.9750706608197628E-2</v>
      </c>
      <c r="M18" s="6">
        <f t="shared" si="4"/>
        <v>4.1329598612474018E-2</v>
      </c>
      <c r="N18" s="7">
        <f t="shared" si="5"/>
        <v>3.8974325580813887E-2</v>
      </c>
    </row>
    <row r="19" spans="1:14" ht="18.75" x14ac:dyDescent="0.3">
      <c r="A19" s="30" t="s">
        <v>14</v>
      </c>
      <c r="B19" s="7">
        <f t="shared" si="6"/>
        <v>0.7641368885835218</v>
      </c>
      <c r="D19" s="23" t="s">
        <v>11</v>
      </c>
      <c r="E19" s="24">
        <v>1</v>
      </c>
      <c r="L19" s="5">
        <f t="shared" si="3"/>
        <v>4.1329598612473838E-2</v>
      </c>
      <c r="M19" s="6">
        <f t="shared" si="4"/>
        <v>4.2942425397647116E-2</v>
      </c>
      <c r="N19" s="7">
        <f t="shared" si="5"/>
        <v>4.0535843952392563E-2</v>
      </c>
    </row>
    <row r="20" spans="1:14" ht="18.75" x14ac:dyDescent="0.3">
      <c r="A20" s="30" t="s">
        <v>14</v>
      </c>
      <c r="B20" s="7">
        <f t="shared" si="6"/>
        <v>0.82659197224947967</v>
      </c>
      <c r="D20" s="23" t="s">
        <v>14</v>
      </c>
      <c r="E20" s="24">
        <v>1.05</v>
      </c>
      <c r="L20" s="5">
        <f t="shared" si="3"/>
        <v>4.2942425397647303E-2</v>
      </c>
      <c r="M20" s="6">
        <f t="shared" si="4"/>
        <v>4.458815831715332E-2</v>
      </c>
      <c r="N20" s="7">
        <f t="shared" si="5"/>
        <v>4.2131835931834921E-2</v>
      </c>
    </row>
    <row r="21" spans="1:14" ht="18.75" x14ac:dyDescent="0.3">
      <c r="A21" s="30" t="s">
        <v>14</v>
      </c>
      <c r="B21" s="7">
        <f t="shared" si="6"/>
        <v>0.89176316634306563</v>
      </c>
      <c r="D21" s="23" t="s">
        <v>14</v>
      </c>
      <c r="E21" s="24">
        <v>1.1000000000000001</v>
      </c>
      <c r="L21" s="5">
        <f t="shared" si="3"/>
        <v>4.458815831715332E-2</v>
      </c>
      <c r="M21" s="6">
        <f t="shared" si="4"/>
        <v>4.6265829260050802E-2</v>
      </c>
      <c r="N21" s="7">
        <f t="shared" si="5"/>
        <v>4.3761240452477396E-2</v>
      </c>
    </row>
    <row r="22" spans="1:14" ht="18.75" x14ac:dyDescent="0.3">
      <c r="A22" s="30" t="s">
        <v>14</v>
      </c>
      <c r="B22" s="7">
        <f t="shared" si="6"/>
        <v>0.95949050918595091</v>
      </c>
      <c r="D22" s="23" t="s">
        <v>14</v>
      </c>
      <c r="E22" s="24">
        <v>1.1499999999999999</v>
      </c>
      <c r="L22" s="5">
        <f t="shared" si="3"/>
        <v>4.6265829260050802E-2</v>
      </c>
      <c r="M22" s="6">
        <f t="shared" si="4"/>
        <v>4.797452545929759E-2</v>
      </c>
      <c r="N22" s="7">
        <f t="shared" si="5"/>
        <v>4.5423059824051558E-2</v>
      </c>
    </row>
    <row r="23" spans="1:14" ht="18.75" x14ac:dyDescent="0.3">
      <c r="A23" s="30" t="s">
        <v>14</v>
      </c>
      <c r="B23" s="7">
        <f t="shared" si="6"/>
        <v>1.0296318418103749</v>
      </c>
      <c r="D23" s="23" t="s">
        <v>14</v>
      </c>
      <c r="E23" s="24">
        <v>1.2</v>
      </c>
      <c r="L23" s="5">
        <f t="shared" si="3"/>
        <v>4.797452545929759E-2</v>
      </c>
      <c r="M23" s="6">
        <f t="shared" si="4"/>
        <v>4.9713384877278825E-2</v>
      </c>
      <c r="N23" s="7">
        <f t="shared" si="5"/>
        <v>4.7116354218461304E-2</v>
      </c>
    </row>
    <row r="24" spans="1:14" ht="18.75" x14ac:dyDescent="0.3">
      <c r="A24" s="31" t="s">
        <v>13</v>
      </c>
      <c r="B24" s="10">
        <f t="shared" si="6"/>
        <v>1.1020599913279625</v>
      </c>
      <c r="D24" s="23" t="s">
        <v>14</v>
      </c>
      <c r="E24" s="24">
        <v>1.25</v>
      </c>
      <c r="L24" s="5">
        <f t="shared" si="3"/>
        <v>4.9713384877278603E-2</v>
      </c>
      <c r="M24" s="6">
        <f t="shared" si="4"/>
        <v>5.1481592090518564E-2</v>
      </c>
      <c r="N24" s="7">
        <f t="shared" si="5"/>
        <v>4.8840236777315083E-2</v>
      </c>
    </row>
    <row r="25" spans="1:14" ht="18.75" x14ac:dyDescent="0.3">
      <c r="A25" s="1"/>
      <c r="D25" s="23" t="s">
        <v>14</v>
      </c>
      <c r="E25" s="24">
        <v>1.3</v>
      </c>
      <c r="L25" s="5">
        <f t="shared" si="3"/>
        <v>5.1481592090518793E-2</v>
      </c>
      <c r="M25" s="6">
        <f t="shared" si="4"/>
        <v>5.3278374607845548E-2</v>
      </c>
      <c r="N25" s="7">
        <f t="shared" si="5"/>
        <v>5.059386925597522E-2</v>
      </c>
    </row>
    <row r="26" spans="1:14" ht="16.5" customHeight="1" x14ac:dyDescent="0.3">
      <c r="A26" s="35" t="s">
        <v>9</v>
      </c>
      <c r="B26" s="4">
        <f>0.5+E19*LOG10(E19)</f>
        <v>0.5</v>
      </c>
      <c r="D26" s="23" t="s">
        <v>14</v>
      </c>
      <c r="E26" s="24">
        <v>1.35</v>
      </c>
      <c r="L26" s="5">
        <f t="shared" si="3"/>
        <v>5.3278374607845548E-2</v>
      </c>
      <c r="M26" s="6">
        <f t="shared" si="4"/>
        <v>5.5102999566398171E-2</v>
      </c>
      <c r="N26" s="7">
        <f t="shared" si="5"/>
        <v>5.2376458132535046E-2</v>
      </c>
    </row>
    <row r="27" spans="1:14" ht="18.75" x14ac:dyDescent="0.3">
      <c r="A27" s="36" t="s">
        <v>14</v>
      </c>
      <c r="B27" s="7">
        <f t="shared" ref="B27:B44" si="8">0.5+E20*LOG10(E20)</f>
        <v>0.52224876402343501</v>
      </c>
      <c r="D27" s="23" t="s">
        <v>14</v>
      </c>
      <c r="E27" s="24">
        <v>1.4</v>
      </c>
      <c r="K27" s="38" t="s">
        <v>19</v>
      </c>
      <c r="L27" s="39">
        <f>SUM(L7:L26)</f>
        <v>0.76135034187357709</v>
      </c>
      <c r="M27" s="39">
        <f t="shared" ref="M27:N27" si="9">SUM(M7:M26)</f>
        <v>0.79145334143997526</v>
      </c>
      <c r="N27" s="40">
        <f t="shared" si="9"/>
        <v>0.74658449897610446</v>
      </c>
    </row>
    <row r="28" spans="1:14" ht="18.75" x14ac:dyDescent="0.3">
      <c r="A28" s="36" t="s">
        <v>14</v>
      </c>
      <c r="B28" s="7">
        <f t="shared" si="8"/>
        <v>0.54553195367404761</v>
      </c>
      <c r="D28" s="23" t="s">
        <v>14</v>
      </c>
      <c r="E28" s="24">
        <v>1.45</v>
      </c>
    </row>
    <row r="29" spans="1:14" ht="18.75" x14ac:dyDescent="0.3">
      <c r="A29" s="36" t="s">
        <v>14</v>
      </c>
      <c r="B29" s="7">
        <f t="shared" si="8"/>
        <v>0.56980251640665336</v>
      </c>
      <c r="D29" s="23" t="s">
        <v>14</v>
      </c>
      <c r="E29" s="24">
        <v>1.5</v>
      </c>
    </row>
    <row r="30" spans="1:14" ht="18.75" x14ac:dyDescent="0.3">
      <c r="A30" s="36" t="s">
        <v>14</v>
      </c>
      <c r="B30" s="7">
        <f t="shared" si="8"/>
        <v>0.59501749525714975</v>
      </c>
      <c r="D30" s="23" t="s">
        <v>14</v>
      </c>
      <c r="E30" s="24">
        <v>1.55</v>
      </c>
    </row>
    <row r="31" spans="1:14" ht="18.75" x14ac:dyDescent="0.3">
      <c r="A31" s="36" t="s">
        <v>14</v>
      </c>
      <c r="B31" s="7">
        <f t="shared" si="8"/>
        <v>0.62113751626007052</v>
      </c>
      <c r="D31" s="23" t="s">
        <v>14</v>
      </c>
      <c r="E31" s="24">
        <v>1.6</v>
      </c>
      <c r="K31" s="41" t="s">
        <v>20</v>
      </c>
      <c r="L31">
        <f>ABS(L27-G17)</f>
        <v>1.4863398368376024E-2</v>
      </c>
      <c r="M31">
        <f t="shared" ref="M31" si="10">ABS(M27-H17)</f>
        <v>1.5239601198022146E-2</v>
      </c>
      <c r="N31">
        <f>ABS(N27-I17)/3</f>
        <v>9.6812551491340573E-3</v>
      </c>
    </row>
    <row r="32" spans="1:14" ht="18.75" x14ac:dyDescent="0.3">
      <c r="A32" s="36" t="s">
        <v>14</v>
      </c>
      <c r="B32" s="7">
        <f t="shared" si="8"/>
        <v>0.64812635799888785</v>
      </c>
      <c r="D32" s="23" t="s">
        <v>14</v>
      </c>
      <c r="E32" s="24">
        <v>1.65</v>
      </c>
    </row>
    <row r="33" spans="1:15" ht="18.75" x14ac:dyDescent="0.3">
      <c r="A33" s="36" t="s">
        <v>14</v>
      </c>
      <c r="B33" s="7">
        <f t="shared" si="8"/>
        <v>0.67595058746825831</v>
      </c>
      <c r="D33" s="23" t="s">
        <v>14</v>
      </c>
      <c r="E33" s="24">
        <v>1.7</v>
      </c>
      <c r="H33" s="52" t="s">
        <v>21</v>
      </c>
      <c r="I33" s="52"/>
      <c r="J33" s="52"/>
      <c r="K33" s="52"/>
    </row>
    <row r="34" spans="1:15" ht="18.75" x14ac:dyDescent="0.3">
      <c r="A34" s="36" t="s">
        <v>14</v>
      </c>
      <c r="B34" s="7">
        <f t="shared" si="8"/>
        <v>0.70457924994953314</v>
      </c>
      <c r="D34" s="23" t="s">
        <v>14</v>
      </c>
      <c r="E34" s="24">
        <v>1.75</v>
      </c>
      <c r="G34" s="46"/>
      <c r="H34" s="47"/>
      <c r="I34" s="47"/>
      <c r="J34" s="47"/>
      <c r="K34" s="48"/>
    </row>
    <row r="35" spans="1:15" ht="18.75" x14ac:dyDescent="0.3">
      <c r="A35" s="36" t="s">
        <v>14</v>
      </c>
      <c r="B35" s="7">
        <f t="shared" si="8"/>
        <v>0.73398360324071354</v>
      </c>
      <c r="D35" s="23" t="s">
        <v>14</v>
      </c>
      <c r="E35" s="24">
        <v>1.8</v>
      </c>
      <c r="G35" s="49"/>
      <c r="H35" s="50"/>
      <c r="I35" s="50"/>
      <c r="J35" s="50"/>
      <c r="K35" s="51"/>
    </row>
    <row r="36" spans="1:15" ht="18.75" x14ac:dyDescent="0.3">
      <c r="A36" s="36" t="s">
        <v>14</v>
      </c>
      <c r="B36" s="7">
        <f t="shared" si="8"/>
        <v>0.7641368885835218</v>
      </c>
      <c r="D36" s="23" t="s">
        <v>14</v>
      </c>
      <c r="E36" s="24">
        <v>1.85</v>
      </c>
    </row>
    <row r="37" spans="1:15" ht="18.75" x14ac:dyDescent="0.3">
      <c r="A37" s="36" t="s">
        <v>14</v>
      </c>
      <c r="B37" s="7">
        <f t="shared" si="8"/>
        <v>0.79501413216395189</v>
      </c>
      <c r="D37" s="23" t="s">
        <v>14</v>
      </c>
      <c r="E37" s="24">
        <v>1.9</v>
      </c>
      <c r="G37" s="46"/>
      <c r="H37" s="47"/>
      <c r="I37" s="47"/>
      <c r="J37" s="47"/>
      <c r="K37" s="48"/>
    </row>
    <row r="38" spans="1:15" ht="18.75" x14ac:dyDescent="0.3">
      <c r="A38" s="36" t="s">
        <v>14</v>
      </c>
      <c r="B38" s="7">
        <f t="shared" si="8"/>
        <v>0.82659197224947967</v>
      </c>
      <c r="D38" s="23" t="s">
        <v>14</v>
      </c>
      <c r="E38" s="24">
        <v>1.95</v>
      </c>
      <c r="G38" s="49"/>
      <c r="H38" s="50"/>
      <c r="I38" s="50"/>
      <c r="J38" s="50"/>
      <c r="K38" s="51"/>
    </row>
    <row r="39" spans="1:15" ht="18.75" x14ac:dyDescent="0.3">
      <c r="A39" s="36" t="s">
        <v>14</v>
      </c>
      <c r="B39" s="7">
        <f t="shared" si="8"/>
        <v>0.85884850795294532</v>
      </c>
      <c r="D39" s="25" t="s">
        <v>12</v>
      </c>
      <c r="E39" s="26">
        <v>2</v>
      </c>
    </row>
    <row r="40" spans="1:15" ht="18.75" x14ac:dyDescent="0.3">
      <c r="A40" s="36" t="s">
        <v>14</v>
      </c>
      <c r="B40" s="7">
        <f t="shared" si="8"/>
        <v>0.89176316634306563</v>
      </c>
      <c r="D40" s="32"/>
      <c r="G40" s="46"/>
      <c r="H40" s="47"/>
      <c r="I40" s="47"/>
      <c r="J40" s="47"/>
      <c r="K40" s="48"/>
    </row>
    <row r="41" spans="1:15" ht="18.75" x14ac:dyDescent="0.25">
      <c r="A41" s="36" t="s">
        <v>14</v>
      </c>
      <c r="B41" s="7">
        <f t="shared" si="8"/>
        <v>0.92531658520101523</v>
      </c>
      <c r="G41" s="49"/>
      <c r="H41" s="50"/>
      <c r="I41" s="50"/>
      <c r="J41" s="50"/>
      <c r="K41" s="51"/>
    </row>
    <row r="42" spans="1:15" ht="18.75" x14ac:dyDescent="0.25">
      <c r="A42" s="36" t="s">
        <v>14</v>
      </c>
      <c r="B42" s="7">
        <f t="shared" si="8"/>
        <v>0.95949050918595091</v>
      </c>
    </row>
    <row r="43" spans="1:15" ht="18.75" x14ac:dyDescent="0.25">
      <c r="A43" s="36" t="s">
        <v>14</v>
      </c>
      <c r="B43" s="7">
        <f t="shared" si="8"/>
        <v>0.99426769754557565</v>
      </c>
    </row>
    <row r="44" spans="1:15" ht="18.75" x14ac:dyDescent="0.25">
      <c r="A44" s="36" t="s">
        <v>14</v>
      </c>
      <c r="B44" s="7">
        <f t="shared" si="8"/>
        <v>1.0296318418103749</v>
      </c>
    </row>
    <row r="45" spans="1:15" ht="18.75" x14ac:dyDescent="0.25">
      <c r="A45" s="36" t="s">
        <v>14</v>
      </c>
      <c r="B45" s="7">
        <f>0.5+E38*LOG10(E38)</f>
        <v>1.06556749215691</v>
      </c>
    </row>
    <row r="46" spans="1:15" ht="18.75" x14ac:dyDescent="0.3">
      <c r="A46" s="37" t="s">
        <v>13</v>
      </c>
      <c r="B46" s="10">
        <f>0.5+E39*LOG10(E39)</f>
        <v>1.1020599913279625</v>
      </c>
      <c r="D46" s="45"/>
      <c r="E46" s="45"/>
      <c r="F46" s="45"/>
      <c r="G46" s="45"/>
      <c r="H46" s="45"/>
    </row>
    <row r="47" spans="1:15" x14ac:dyDescent="0.25">
      <c r="D47" t="s">
        <v>22</v>
      </c>
      <c r="E47">
        <v>1</v>
      </c>
      <c r="F47">
        <v>1.1000000000000001</v>
      </c>
      <c r="G47">
        <v>1.2</v>
      </c>
      <c r="H47">
        <v>1.3</v>
      </c>
      <c r="I47">
        <v>1.4</v>
      </c>
      <c r="J47">
        <v>1.5</v>
      </c>
      <c r="K47">
        <v>1.6</v>
      </c>
      <c r="L47">
        <v>1.7</v>
      </c>
      <c r="M47">
        <v>1.8</v>
      </c>
      <c r="N47">
        <v>1.9</v>
      </c>
      <c r="O47">
        <v>2</v>
      </c>
    </row>
    <row r="48" spans="1:15" x14ac:dyDescent="0.25">
      <c r="D48" t="s">
        <v>0</v>
      </c>
      <c r="E48">
        <f>0.5+E47*LOG10(E47)</f>
        <v>0.5</v>
      </c>
      <c r="F48">
        <f t="shared" ref="F48:O48" si="11">0.5+F47*LOG10(F47)</f>
        <v>0.54553195367404761</v>
      </c>
      <c r="G48">
        <f t="shared" si="11"/>
        <v>0.59501749525714975</v>
      </c>
      <c r="H48">
        <f t="shared" si="11"/>
        <v>0.64812635799888785</v>
      </c>
      <c r="I48">
        <f t="shared" si="11"/>
        <v>0.70457924994953314</v>
      </c>
      <c r="J48">
        <f t="shared" si="11"/>
        <v>0.7641368885835218</v>
      </c>
      <c r="K48">
        <f t="shared" si="11"/>
        <v>0.82659197224947967</v>
      </c>
      <c r="L48">
        <f t="shared" si="11"/>
        <v>0.89176316634306563</v>
      </c>
      <c r="M48">
        <f t="shared" si="11"/>
        <v>0.95949050918595091</v>
      </c>
      <c r="N48">
        <f t="shared" si="11"/>
        <v>1.0296318418103749</v>
      </c>
      <c r="O48">
        <f t="shared" si="11"/>
        <v>1.1020599913279625</v>
      </c>
    </row>
    <row r="49" spans="4:27" ht="18.75" x14ac:dyDescent="0.3">
      <c r="D49" t="s">
        <v>23</v>
      </c>
      <c r="E49">
        <f>0.1*(E48+F48)/2</f>
        <v>5.2276597683702387E-2</v>
      </c>
      <c r="F49">
        <f t="shared" ref="F49:M49" si="12">0.1*(F48+G48)/2</f>
        <v>5.7027472446559868E-2</v>
      </c>
      <c r="G49">
        <f t="shared" si="12"/>
        <v>6.215719266280189E-2</v>
      </c>
      <c r="H49">
        <f t="shared" si="12"/>
        <v>6.7635280397421046E-2</v>
      </c>
      <c r="I49">
        <f t="shared" si="12"/>
        <v>7.3435806926652747E-2</v>
      </c>
      <c r="J49">
        <f t="shared" si="12"/>
        <v>7.9536443041650084E-2</v>
      </c>
      <c r="K49">
        <f t="shared" si="12"/>
        <v>8.5917756929627276E-2</v>
      </c>
      <c r="L49">
        <f t="shared" si="12"/>
        <v>9.2562683776450827E-2</v>
      </c>
      <c r="M49">
        <f t="shared" si="12"/>
        <v>9.94561175498163E-2</v>
      </c>
      <c r="N49">
        <f>0.1*(N48+O48)/2</f>
        <v>0.10658459165691687</v>
      </c>
      <c r="P49">
        <f>SUM(E49:N49)</f>
        <v>0.77658994307159934</v>
      </c>
      <c r="Q49" s="41" t="s">
        <v>24</v>
      </c>
    </row>
    <row r="51" spans="4:27" x14ac:dyDescent="0.25">
      <c r="D51" t="s">
        <v>22</v>
      </c>
      <c r="E51">
        <v>1</v>
      </c>
      <c r="F51">
        <v>1.05</v>
      </c>
      <c r="G51">
        <v>1.1000000000000001</v>
      </c>
      <c r="H51">
        <v>1.1499999999999999</v>
      </c>
      <c r="I51">
        <v>1.2</v>
      </c>
      <c r="J51">
        <v>1.25</v>
      </c>
      <c r="K51">
        <v>1.3</v>
      </c>
      <c r="L51">
        <v>1.35</v>
      </c>
      <c r="M51">
        <v>1.4</v>
      </c>
      <c r="N51">
        <v>1.45</v>
      </c>
      <c r="O51">
        <v>1.5</v>
      </c>
      <c r="P51">
        <v>1.55</v>
      </c>
      <c r="Q51">
        <v>1.6</v>
      </c>
      <c r="R51">
        <v>1.65</v>
      </c>
      <c r="S51">
        <v>1.7</v>
      </c>
      <c r="T51">
        <v>1.75</v>
      </c>
      <c r="U51">
        <v>1.8</v>
      </c>
      <c r="V51">
        <v>1.85</v>
      </c>
      <c r="W51">
        <v>1.9</v>
      </c>
      <c r="X51">
        <v>1.95</v>
      </c>
      <c r="Y51">
        <v>2</v>
      </c>
    </row>
    <row r="52" spans="4:27" x14ac:dyDescent="0.25">
      <c r="D52" t="s">
        <v>0</v>
      </c>
      <c r="E52">
        <f>0.5+E51*LOG10(E51)</f>
        <v>0.5</v>
      </c>
      <c r="F52">
        <f t="shared" ref="F52:X52" si="13">0.5+F51*LOG10(F51)</f>
        <v>0.52224876402343501</v>
      </c>
      <c r="G52">
        <f t="shared" si="13"/>
        <v>0.54553195367404761</v>
      </c>
      <c r="H52">
        <f t="shared" si="13"/>
        <v>0.56980251640665336</v>
      </c>
      <c r="I52">
        <f t="shared" si="13"/>
        <v>0.59501749525714975</v>
      </c>
      <c r="J52">
        <f t="shared" si="13"/>
        <v>0.62113751626007052</v>
      </c>
      <c r="K52">
        <f t="shared" si="13"/>
        <v>0.64812635799888785</v>
      </c>
      <c r="L52">
        <f t="shared" si="13"/>
        <v>0.67595058746825831</v>
      </c>
      <c r="M52">
        <f t="shared" si="13"/>
        <v>0.70457924994953314</v>
      </c>
      <c r="N52">
        <f t="shared" si="13"/>
        <v>0.73398360324071354</v>
      </c>
      <c r="O52">
        <f t="shared" si="13"/>
        <v>0.7641368885835218</v>
      </c>
      <c r="P52">
        <f t="shared" si="13"/>
        <v>0.79501413216395189</v>
      </c>
      <c r="Q52">
        <f t="shared" si="13"/>
        <v>0.82659197224947967</v>
      </c>
      <c r="R52">
        <f t="shared" si="13"/>
        <v>0.85884850795294532</v>
      </c>
      <c r="S52">
        <f t="shared" si="13"/>
        <v>0.89176316634306563</v>
      </c>
      <c r="T52">
        <f t="shared" si="13"/>
        <v>0.92531658520101523</v>
      </c>
      <c r="U52">
        <f t="shared" si="13"/>
        <v>0.95949050918595091</v>
      </c>
      <c r="V52">
        <f t="shared" si="13"/>
        <v>0.99426769754557565</v>
      </c>
      <c r="W52">
        <f t="shared" si="13"/>
        <v>1.0296318418103749</v>
      </c>
      <c r="X52">
        <f t="shared" si="13"/>
        <v>1.06556749215691</v>
      </c>
      <c r="Y52">
        <f>0.5+Y51*LOG10(Y51)</f>
        <v>1.1020599913279625</v>
      </c>
    </row>
    <row r="53" spans="4:27" ht="18.75" x14ac:dyDescent="0.3">
      <c r="D53" t="s">
        <v>23</v>
      </c>
      <c r="E53">
        <f>0.05*(E52+F52)/2</f>
        <v>2.5556219100585878E-2</v>
      </c>
      <c r="F53">
        <f t="shared" ref="F53:X53" si="14">0.05*(F52+G52)/2</f>
        <v>2.669451794243707E-2</v>
      </c>
      <c r="G53">
        <f t="shared" si="14"/>
        <v>2.7883361752017524E-2</v>
      </c>
      <c r="H53">
        <f t="shared" si="14"/>
        <v>2.9120500291595075E-2</v>
      </c>
      <c r="I53">
        <f t="shared" si="14"/>
        <v>3.0403875287930506E-2</v>
      </c>
      <c r="J53">
        <f t="shared" si="14"/>
        <v>3.1731596856473962E-2</v>
      </c>
      <c r="K53">
        <f t="shared" si="14"/>
        <v>3.3101923636678653E-2</v>
      </c>
      <c r="L53">
        <f t="shared" si="14"/>
        <v>3.4513245935444789E-2</v>
      </c>
      <c r="M53">
        <f t="shared" si="14"/>
        <v>3.5964071329756167E-2</v>
      </c>
      <c r="N53">
        <f t="shared" si="14"/>
        <v>3.7453012295605881E-2</v>
      </c>
      <c r="O53">
        <f t="shared" si="14"/>
        <v>3.8978775518686844E-2</v>
      </c>
      <c r="P53">
        <f t="shared" si="14"/>
        <v>4.0540152610335792E-2</v>
      </c>
      <c r="Q53">
        <f t="shared" si="14"/>
        <v>4.2136012005060626E-2</v>
      </c>
      <c r="R53">
        <f t="shared" si="14"/>
        <v>4.3765291857400274E-2</v>
      </c>
      <c r="S53">
        <f t="shared" si="14"/>
        <v>4.5426993788602023E-2</v>
      </c>
      <c r="T53">
        <f t="shared" si="14"/>
        <v>4.7120177359674158E-2</v>
      </c>
      <c r="U53">
        <f t="shared" si="14"/>
        <v>4.884395516828817E-2</v>
      </c>
      <c r="V53">
        <f t="shared" si="14"/>
        <v>5.0597488483898771E-2</v>
      </c>
      <c r="W53">
        <f t="shared" si="14"/>
        <v>5.2379983349182126E-2</v>
      </c>
      <c r="X53">
        <f t="shared" si="14"/>
        <v>5.4190687087121818E-2</v>
      </c>
      <c r="Z53">
        <f>SUM(E53:X53)</f>
        <v>0.77640184165677606</v>
      </c>
      <c r="AA53" s="41" t="s">
        <v>24</v>
      </c>
    </row>
    <row r="55" spans="4:27" x14ac:dyDescent="0.25">
      <c r="D55" s="43" t="s">
        <v>25</v>
      </c>
      <c r="E55" s="44">
        <f>ABS(P49-Z53)/3</f>
        <v>6.2700471607760974E-5</v>
      </c>
      <c r="F55">
        <v>6.2700000000000001E-6</v>
      </c>
    </row>
    <row r="57" spans="4:27" x14ac:dyDescent="0.25">
      <c r="G57" s="45"/>
      <c r="H57" s="45"/>
      <c r="I57" s="45"/>
      <c r="J57" s="45"/>
      <c r="K57" s="45"/>
    </row>
    <row r="58" spans="4:27" x14ac:dyDescent="0.25">
      <c r="G58" s="45"/>
      <c r="H58" s="45"/>
      <c r="I58" s="45"/>
      <c r="J58" s="45"/>
      <c r="K58" s="45"/>
    </row>
    <row r="61" spans="4:27" ht="27.75" customHeight="1" x14ac:dyDescent="0.25">
      <c r="E61" s="42"/>
      <c r="F61" s="42" t="s">
        <v>22</v>
      </c>
      <c r="H61" t="s">
        <v>0</v>
      </c>
      <c r="I61" s="53" t="s">
        <v>26</v>
      </c>
      <c r="K61" s="42" t="s">
        <v>22</v>
      </c>
      <c r="L61" t="s">
        <v>0</v>
      </c>
      <c r="M61" s="54" t="s">
        <v>28</v>
      </c>
      <c r="O61" t="s">
        <v>29</v>
      </c>
    </row>
    <row r="62" spans="4:27" x14ac:dyDescent="0.25">
      <c r="E62" s="42">
        <v>0</v>
      </c>
      <c r="F62" s="42">
        <v>1</v>
      </c>
      <c r="H62">
        <f>0.5+F62*LOG10(F62)</f>
        <v>0.5</v>
      </c>
      <c r="I62">
        <f>(0.05/3)*(H62+4*H63+H64)</f>
        <v>5.2242116829463128E-2</v>
      </c>
      <c r="K62" s="42">
        <v>1</v>
      </c>
      <c r="L62">
        <f>0.5+K62*LOG10(K62)</f>
        <v>0.5</v>
      </c>
      <c r="M62">
        <f>(0.025/3)*(L62+4*L63+L64)</f>
        <v>2.555180510108087E-2</v>
      </c>
      <c r="O62">
        <f>ABS(M104-I84)/3</f>
        <v>3.5260597404847735E-9</v>
      </c>
    </row>
    <row r="63" spans="4:27" x14ac:dyDescent="0.25">
      <c r="E63" s="42">
        <v>1</v>
      </c>
      <c r="F63" s="42">
        <v>1.05</v>
      </c>
      <c r="H63">
        <f t="shared" ref="H63:H82" si="15">0.5+F63*LOG10(F63)</f>
        <v>0.52224876402343501</v>
      </c>
      <c r="K63" s="42">
        <v>1.0249999999999999</v>
      </c>
      <c r="L63">
        <f t="shared" ref="L63:L102" si="16">0.5+K63*LOG10(K63)</f>
        <v>0.51099196202656738</v>
      </c>
      <c r="O63">
        <v>3.5260600000000001E-9</v>
      </c>
    </row>
    <row r="64" spans="4:27" x14ac:dyDescent="0.25">
      <c r="E64" s="42">
        <v>2</v>
      </c>
      <c r="F64" s="42">
        <v>1.1000000000000001</v>
      </c>
      <c r="H64">
        <f t="shared" si="15"/>
        <v>0.54553195367404761</v>
      </c>
      <c r="I64">
        <f t="shared" ref="I63:I82" si="17">(0.05/3)*(H64+4*H65+H66)</f>
        <v>5.6995991909296849E-2</v>
      </c>
      <c r="K64" s="42">
        <v>1.05</v>
      </c>
      <c r="L64">
        <f t="shared" si="16"/>
        <v>0.52224876402343501</v>
      </c>
      <c r="M64">
        <f t="shared" ref="M63:M102" si="18">(0.025/3)*(L64+4*L65+L66)</f>
        <v>2.6690309283162222E-2</v>
      </c>
    </row>
    <row r="65" spans="5:19" x14ac:dyDescent="0.25">
      <c r="E65" s="42">
        <v>3</v>
      </c>
      <c r="F65" s="42">
        <v>1.1499999999999999</v>
      </c>
      <c r="H65">
        <f t="shared" si="15"/>
        <v>0.56980251640665336</v>
      </c>
      <c r="K65" s="42">
        <v>1.075</v>
      </c>
      <c r="L65">
        <f t="shared" si="16"/>
        <v>0.53376409907049593</v>
      </c>
    </row>
    <row r="66" spans="5:19" x14ac:dyDescent="0.25">
      <c r="E66" s="42">
        <v>4</v>
      </c>
      <c r="F66" s="42">
        <v>1.2</v>
      </c>
      <c r="H66">
        <f t="shared" si="15"/>
        <v>0.59501749525714975</v>
      </c>
      <c r="I66">
        <f t="shared" si="17"/>
        <v>6.212823197160533E-2</v>
      </c>
      <c r="K66" s="42">
        <v>1.1000000000000001</v>
      </c>
      <c r="L66">
        <f t="shared" si="16"/>
        <v>0.54553195367404761</v>
      </c>
      <c r="M66">
        <f t="shared" si="18"/>
        <v>2.7879340175782641E-2</v>
      </c>
      <c r="O66" s="45"/>
      <c r="P66" s="45"/>
      <c r="Q66" s="45"/>
      <c r="R66" s="45"/>
      <c r="S66" s="45"/>
    </row>
    <row r="67" spans="5:19" x14ac:dyDescent="0.25">
      <c r="E67" s="42">
        <v>5</v>
      </c>
      <c r="F67" s="42">
        <v>1.25</v>
      </c>
      <c r="H67">
        <f t="shared" si="15"/>
        <v>0.62113751626007052</v>
      </c>
      <c r="K67" s="42">
        <v>1.125</v>
      </c>
      <c r="L67">
        <f t="shared" si="16"/>
        <v>0.5575465877533039</v>
      </c>
      <c r="O67" s="45"/>
      <c r="P67" s="45"/>
      <c r="Q67" s="45"/>
      <c r="R67" s="45"/>
      <c r="S67" s="45"/>
    </row>
    <row r="68" spans="5:19" x14ac:dyDescent="0.25">
      <c r="E68" s="42">
        <v>6</v>
      </c>
      <c r="F68" s="42">
        <v>1.3</v>
      </c>
      <c r="H68">
        <f t="shared" si="15"/>
        <v>0.64812635799888785</v>
      </c>
      <c r="I68">
        <f t="shared" si="17"/>
        <v>6.7608465963690897E-2</v>
      </c>
      <c r="K68" s="42">
        <v>1.1499999999999999</v>
      </c>
      <c r="L68">
        <f t="shared" si="16"/>
        <v>0.56980251640665336</v>
      </c>
      <c r="M68">
        <f t="shared" si="18"/>
        <v>2.9116649872668765E-2</v>
      </c>
    </row>
    <row r="69" spans="5:19" x14ac:dyDescent="0.25">
      <c r="E69" s="42">
        <v>7</v>
      </c>
      <c r="F69" s="42">
        <v>1.35</v>
      </c>
      <c r="H69">
        <f t="shared" si="15"/>
        <v>0.67595058746825831</v>
      </c>
      <c r="K69" s="42">
        <v>1.175</v>
      </c>
      <c r="L69">
        <f t="shared" si="16"/>
        <v>0.5822944932641122</v>
      </c>
    </row>
    <row r="70" spans="5:19" x14ac:dyDescent="0.25">
      <c r="E70" s="42">
        <v>8</v>
      </c>
      <c r="F70" s="42">
        <v>1.4</v>
      </c>
      <c r="H70">
        <f t="shared" si="15"/>
        <v>0.70457924994953314</v>
      </c>
      <c r="I70">
        <f t="shared" si="17"/>
        <v>7.3410842524931824E-2</v>
      </c>
      <c r="K70" s="42">
        <v>1.2</v>
      </c>
      <c r="L70">
        <f t="shared" si="16"/>
        <v>0.59501749525714975</v>
      </c>
      <c r="M70">
        <f t="shared" si="18"/>
        <v>3.0400182051249346E-2</v>
      </c>
    </row>
    <row r="71" spans="5:19" x14ac:dyDescent="0.25">
      <c r="E71" s="42">
        <v>9</v>
      </c>
      <c r="F71" s="42">
        <v>1.45</v>
      </c>
      <c r="H71">
        <f t="shared" si="15"/>
        <v>0.73398360324071354</v>
      </c>
      <c r="K71" s="42">
        <v>1.2250000000000001</v>
      </c>
      <c r="L71">
        <f t="shared" si="16"/>
        <v>0.60796670865817537</v>
      </c>
    </row>
    <row r="72" spans="5:19" x14ac:dyDescent="0.25">
      <c r="E72" s="42">
        <v>10</v>
      </c>
      <c r="F72" s="42">
        <v>1.5</v>
      </c>
      <c r="H72">
        <f t="shared" si="15"/>
        <v>0.7641368885835218</v>
      </c>
      <c r="I72">
        <f t="shared" si="17"/>
        <v>7.951308982481349E-2</v>
      </c>
      <c r="K72" s="42">
        <v>1.25</v>
      </c>
      <c r="L72">
        <f t="shared" si="16"/>
        <v>0.62113751626007052</v>
      </c>
      <c r="M72">
        <f t="shared" si="18"/>
        <v>3.1728048471548545E-2</v>
      </c>
    </row>
    <row r="73" spans="5:19" x14ac:dyDescent="0.25">
      <c r="E73" s="42">
        <v>11</v>
      </c>
      <c r="F73" s="42">
        <v>1.55</v>
      </c>
      <c r="H73">
        <f t="shared" si="15"/>
        <v>0.79501413216395189</v>
      </c>
      <c r="K73" s="42">
        <v>1.2749999999999999</v>
      </c>
      <c r="L73">
        <f t="shared" si="16"/>
        <v>0.63452548558171673</v>
      </c>
    </row>
    <row r="74" spans="5:19" x14ac:dyDescent="0.25">
      <c r="E74" s="42">
        <v>12</v>
      </c>
      <c r="F74" s="42">
        <v>1.6</v>
      </c>
      <c r="H74">
        <f t="shared" si="15"/>
        <v>0.82659197224947967</v>
      </c>
      <c r="I74">
        <f t="shared" si="17"/>
        <v>8.5895819506738774E-2</v>
      </c>
      <c r="K74" s="42">
        <v>1.3</v>
      </c>
      <c r="L74">
        <f t="shared" si="16"/>
        <v>0.64812635799888785</v>
      </c>
      <c r="M74">
        <f t="shared" si="18"/>
        <v>3.3098509169276064E-2</v>
      </c>
    </row>
    <row r="75" spans="5:19" x14ac:dyDescent="0.25">
      <c r="E75" s="42">
        <v>13</v>
      </c>
      <c r="F75" s="42">
        <v>1.65</v>
      </c>
      <c r="H75">
        <f t="shared" si="15"/>
        <v>0.85884850795294532</v>
      </c>
      <c r="K75" s="42">
        <v>1.325</v>
      </c>
      <c r="L75">
        <f t="shared" si="16"/>
        <v>0.66193603871149531</v>
      </c>
    </row>
    <row r="76" spans="5:19" x14ac:dyDescent="0.25">
      <c r="E76" s="42">
        <v>14</v>
      </c>
      <c r="F76" s="42">
        <v>1.7</v>
      </c>
      <c r="H76">
        <f t="shared" si="15"/>
        <v>0.89176316634306563</v>
      </c>
      <c r="I76">
        <f t="shared" si="17"/>
        <v>9.2542000272217956E-2</v>
      </c>
      <c r="K76" s="42">
        <v>1.35</v>
      </c>
      <c r="L76">
        <f t="shared" si="16"/>
        <v>0.67595058746825831</v>
      </c>
      <c r="M76">
        <f t="shared" si="18"/>
        <v>3.4509955644436159E-2</v>
      </c>
    </row>
    <row r="77" spans="5:19" x14ac:dyDescent="0.25">
      <c r="E77" s="42">
        <v>15</v>
      </c>
      <c r="F77" s="42">
        <v>1.75</v>
      </c>
      <c r="H77">
        <f t="shared" si="15"/>
        <v>0.92531658520101523</v>
      </c>
      <c r="K77" s="42">
        <v>1.375</v>
      </c>
      <c r="L77">
        <f t="shared" si="16"/>
        <v>0.69016620997863698</v>
      </c>
    </row>
    <row r="78" spans="5:19" x14ac:dyDescent="0.25">
      <c r="E78" s="42">
        <v>16</v>
      </c>
      <c r="F78" s="42">
        <v>1.8</v>
      </c>
      <c r="H78">
        <f t="shared" si="15"/>
        <v>0.95949050918595091</v>
      </c>
      <c r="I78">
        <f t="shared" si="17"/>
        <v>9.9436552352977145E-2</v>
      </c>
      <c r="K78" s="42">
        <v>1.4</v>
      </c>
      <c r="L78">
        <f t="shared" si="16"/>
        <v>0.70457924994953314</v>
      </c>
      <c r="M78">
        <f t="shared" si="18"/>
        <v>3.5960896499617187E-2</v>
      </c>
    </row>
    <row r="79" spans="5:19" x14ac:dyDescent="0.25">
      <c r="E79" s="42">
        <v>17</v>
      </c>
      <c r="F79" s="42">
        <v>1.85</v>
      </c>
      <c r="H79">
        <f t="shared" si="15"/>
        <v>0.99426769754557565</v>
      </c>
      <c r="K79" s="42">
        <v>1.425</v>
      </c>
      <c r="L79">
        <f t="shared" si="16"/>
        <v>0.71918618169095383</v>
      </c>
    </row>
    <row r="80" spans="5:19" x14ac:dyDescent="0.25">
      <c r="E80" s="42">
        <v>18</v>
      </c>
      <c r="F80" s="42">
        <v>1.9</v>
      </c>
      <c r="H80">
        <f t="shared" si="15"/>
        <v>1.0296318418103749</v>
      </c>
      <c r="I80">
        <f t="shared" si="17"/>
        <v>0.10656603002943295</v>
      </c>
      <c r="K80" s="42">
        <v>1.45</v>
      </c>
      <c r="L80">
        <f t="shared" si="16"/>
        <v>0.73398360324071354</v>
      </c>
      <c r="M80">
        <f t="shared" si="18"/>
        <v>3.7449945097315904E-2</v>
      </c>
    </row>
    <row r="81" spans="5:13" x14ac:dyDescent="0.25">
      <c r="E81" s="42">
        <v>19</v>
      </c>
      <c r="F81" s="42">
        <v>1.95</v>
      </c>
      <c r="H81">
        <f t="shared" si="15"/>
        <v>1.06556749215691</v>
      </c>
      <c r="K81" s="42">
        <v>1.4750000000000001</v>
      </c>
      <c r="L81">
        <f t="shared" si="16"/>
        <v>0.74896822996341816</v>
      </c>
    </row>
    <row r="82" spans="5:13" x14ac:dyDescent="0.25">
      <c r="E82" s="42">
        <v>20</v>
      </c>
      <c r="F82" s="42">
        <v>2</v>
      </c>
      <c r="H82">
        <f t="shared" si="15"/>
        <v>1.1020599913279625</v>
      </c>
      <c r="K82" s="42">
        <v>1.5</v>
      </c>
      <c r="L82">
        <f t="shared" si="16"/>
        <v>0.7641368885835218</v>
      </c>
      <c r="M82">
        <f t="shared" si="18"/>
        <v>3.8975808893438185E-2</v>
      </c>
    </row>
    <row r="83" spans="5:13" x14ac:dyDescent="0.25">
      <c r="E83" s="42">
        <v>21</v>
      </c>
      <c r="F83" s="42"/>
      <c r="K83" s="42">
        <v>1.5249999999999999</v>
      </c>
      <c r="L83">
        <f t="shared" si="16"/>
        <v>0.77948651161627702</v>
      </c>
    </row>
    <row r="84" spans="5:13" x14ac:dyDescent="0.25">
      <c r="E84" s="42">
        <v>22</v>
      </c>
      <c r="F84" s="42"/>
      <c r="H84" s="43" t="s">
        <v>27</v>
      </c>
      <c r="I84">
        <f>SUM(I62:I82)</f>
        <v>0.77633914118516834</v>
      </c>
      <c r="K84" s="42">
        <v>1.55</v>
      </c>
      <c r="L84">
        <f t="shared" si="16"/>
        <v>0.79501413216395189</v>
      </c>
      <c r="M84">
        <f t="shared" si="18"/>
        <v>4.0537280171706949E-2</v>
      </c>
    </row>
    <row r="85" spans="5:13" x14ac:dyDescent="0.25">
      <c r="E85" s="42">
        <v>23</v>
      </c>
      <c r="F85" s="42"/>
      <c r="K85" s="42">
        <v>1.575</v>
      </c>
      <c r="L85">
        <f t="shared" si="16"/>
        <v>0.81071687904785039</v>
      </c>
    </row>
    <row r="86" spans="5:13" x14ac:dyDescent="0.25">
      <c r="E86" s="42">
        <v>24</v>
      </c>
      <c r="F86" s="42"/>
      <c r="K86" s="42">
        <v>1.6</v>
      </c>
      <c r="L86">
        <f t="shared" si="16"/>
        <v>0.82659197224947967</v>
      </c>
      <c r="M86">
        <f t="shared" si="18"/>
        <v>4.2133227956243594E-2</v>
      </c>
    </row>
    <row r="87" spans="5:13" x14ac:dyDescent="0.25">
      <c r="E87" s="42">
        <v>25</v>
      </c>
      <c r="F87" s="42"/>
      <c r="K87" s="42">
        <v>1.625</v>
      </c>
      <c r="L87">
        <f t="shared" si="16"/>
        <v>0.84263671863670142</v>
      </c>
    </row>
    <row r="88" spans="5:13" x14ac:dyDescent="0.25">
      <c r="E88" s="42">
        <v>26</v>
      </c>
      <c r="F88" s="42"/>
      <c r="K88" s="42">
        <v>1.65</v>
      </c>
      <c r="L88">
        <f t="shared" si="16"/>
        <v>0.85884850795294532</v>
      </c>
      <c r="M88">
        <f t="shared" si="18"/>
        <v>4.3762590920785008E-2</v>
      </c>
    </row>
    <row r="89" spans="5:13" x14ac:dyDescent="0.25">
      <c r="E89" s="42">
        <v>27</v>
      </c>
      <c r="F89" s="42"/>
      <c r="K89" s="42">
        <v>1.675</v>
      </c>
      <c r="L89">
        <f t="shared" si="16"/>
        <v>0.87522480904954736</v>
      </c>
    </row>
    <row r="90" spans="5:13" x14ac:dyDescent="0.25">
      <c r="E90" s="42">
        <v>28</v>
      </c>
      <c r="F90" s="42"/>
      <c r="K90" s="42">
        <v>1.7</v>
      </c>
      <c r="L90">
        <f t="shared" si="16"/>
        <v>0.89176316634306563</v>
      </c>
      <c r="M90">
        <f t="shared" si="18"/>
        <v>4.5424371145568347E-2</v>
      </c>
    </row>
    <row r="91" spans="5:13" x14ac:dyDescent="0.25">
      <c r="E91" s="42">
        <v>29</v>
      </c>
      <c r="F91" s="42"/>
      <c r="K91" s="42">
        <v>1.7250000000000001</v>
      </c>
      <c r="L91">
        <f t="shared" si="16"/>
        <v>0.9084611964810303</v>
      </c>
    </row>
    <row r="92" spans="5:13" x14ac:dyDescent="0.25">
      <c r="E92" s="42">
        <v>30</v>
      </c>
      <c r="F92" s="42"/>
      <c r="K92" s="42">
        <v>1.75</v>
      </c>
      <c r="L92">
        <f t="shared" si="16"/>
        <v>0.92531658520101523</v>
      </c>
      <c r="M92">
        <f t="shared" si="18"/>
        <v>4.7117628598865563E-2</v>
      </c>
    </row>
    <row r="93" spans="5:13" x14ac:dyDescent="0.25">
      <c r="E93" s="42">
        <v>31</v>
      </c>
      <c r="F93" s="42"/>
      <c r="K93" s="42">
        <v>1.7749999999999999</v>
      </c>
      <c r="L93">
        <f t="shared" si="16"/>
        <v>0.9423270843692253</v>
      </c>
    </row>
    <row r="94" spans="5:13" x14ac:dyDescent="0.25">
      <c r="E94" s="42">
        <v>32</v>
      </c>
      <c r="F94" s="42"/>
      <c r="K94" s="42">
        <v>1.8</v>
      </c>
      <c r="L94">
        <f t="shared" si="16"/>
        <v>0.95949050918595091</v>
      </c>
      <c r="M94">
        <f t="shared" si="18"/>
        <v>4.8841476240972737E-2</v>
      </c>
    </row>
    <row r="95" spans="5:13" x14ac:dyDescent="0.25">
      <c r="E95" s="42">
        <v>33</v>
      </c>
      <c r="F95" s="42"/>
      <c r="K95" s="42">
        <v>1.825</v>
      </c>
      <c r="L95">
        <f t="shared" si="16"/>
        <v>0.97680473554630054</v>
      </c>
    </row>
    <row r="96" spans="5:13" x14ac:dyDescent="0.25">
      <c r="E96" s="42">
        <v>34</v>
      </c>
      <c r="F96" s="42"/>
      <c r="K96" s="42">
        <v>1.85</v>
      </c>
      <c r="L96">
        <f t="shared" si="16"/>
        <v>0.99426769754557565</v>
      </c>
      <c r="M96">
        <f t="shared" si="18"/>
        <v>5.0595075665283186E-2</v>
      </c>
    </row>
    <row r="97" spans="5:13" x14ac:dyDescent="0.25">
      <c r="E97" s="42">
        <v>35</v>
      </c>
      <c r="F97" s="42"/>
      <c r="K97" s="42">
        <v>1.875</v>
      </c>
      <c r="L97">
        <f t="shared" si="16"/>
        <v>1.011877385119508</v>
      </c>
    </row>
    <row r="98" spans="5:13" x14ac:dyDescent="0.25">
      <c r="E98" s="42">
        <v>36</v>
      </c>
      <c r="F98" s="42"/>
      <c r="K98" s="42">
        <v>1.9</v>
      </c>
      <c r="L98">
        <f t="shared" si="16"/>
        <v>1.0296318418103749</v>
      </c>
      <c r="M98">
        <f t="shared" si="18"/>
        <v>5.2377633204750702E-2</v>
      </c>
    </row>
    <row r="99" spans="5:13" x14ac:dyDescent="0.25">
      <c r="E99" s="42">
        <v>37</v>
      </c>
      <c r="F99" s="42"/>
      <c r="K99" s="42">
        <v>1.925</v>
      </c>
      <c r="L99">
        <f t="shared" si="16"/>
        <v>1.0475291626507</v>
      </c>
    </row>
    <row r="100" spans="5:13" x14ac:dyDescent="0.25">
      <c r="E100" s="42">
        <v>38</v>
      </c>
      <c r="F100" s="42"/>
      <c r="K100" s="42">
        <v>1.95</v>
      </c>
      <c r="L100">
        <f t="shared" si="16"/>
        <v>1.06556749215691</v>
      </c>
      <c r="M100">
        <f t="shared" si="18"/>
        <v>5.4188396443237148E-2</v>
      </c>
    </row>
    <row r="101" spans="5:13" x14ac:dyDescent="0.25">
      <c r="E101" s="42">
        <v>39</v>
      </c>
      <c r="F101" s="42"/>
      <c r="K101" s="42">
        <v>1.9750000000000001</v>
      </c>
      <c r="L101">
        <f t="shared" si="16"/>
        <v>1.0837450224258962</v>
      </c>
    </row>
    <row r="102" spans="5:13" x14ac:dyDescent="0.25">
      <c r="E102" s="42">
        <v>40</v>
      </c>
      <c r="K102" s="42">
        <v>2</v>
      </c>
      <c r="L102">
        <f t="shared" si="16"/>
        <v>1.1020599913279625</v>
      </c>
    </row>
    <row r="103" spans="5:13" x14ac:dyDescent="0.25">
      <c r="E103" s="42"/>
    </row>
    <row r="104" spans="5:13" x14ac:dyDescent="0.25">
      <c r="L104" s="43" t="s">
        <v>27</v>
      </c>
      <c r="M104">
        <f>SUM(M62:M100)</f>
        <v>0.77633913060698911</v>
      </c>
    </row>
  </sheetData>
  <mergeCells count="7">
    <mergeCell ref="O66:S67"/>
    <mergeCell ref="G57:K58"/>
    <mergeCell ref="G34:K35"/>
    <mergeCell ref="G37:K38"/>
    <mergeCell ref="G40:K41"/>
    <mergeCell ref="H33:K33"/>
    <mergeCell ref="D46:H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2025-04-07T10:04:30Z</dcterms:modified>
</cp:coreProperties>
</file>