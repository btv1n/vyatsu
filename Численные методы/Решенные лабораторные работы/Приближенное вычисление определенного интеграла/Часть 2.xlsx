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G:\Вуззззз\Численные методы\Семестр 2\Лаб1\"/>
    </mc:Choice>
  </mc:AlternateContent>
  <xr:revisionPtr revIDLastSave="0" documentId="13_ncr:1_{F01E9F35-9F35-4ECB-A05E-8B08D4B6CC1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9" i="1" l="1"/>
  <c r="H59" i="1"/>
  <c r="G59" i="1"/>
  <c r="Z49" i="1"/>
  <c r="G49" i="1"/>
  <c r="G43" i="1"/>
  <c r="G32" i="1"/>
  <c r="AA16" i="1"/>
  <c r="Q10" i="1"/>
  <c r="G26" i="1"/>
  <c r="V49" i="1"/>
  <c r="H78" i="1" a="1"/>
  <c r="H78" i="1" s="1"/>
  <c r="H76" i="1"/>
  <c r="I76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Z76" i="1"/>
  <c r="AA76" i="1"/>
  <c r="AA75" i="1"/>
  <c r="H75" i="1"/>
  <c r="I75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Z75" i="1"/>
  <c r="G75" i="1"/>
  <c r="G76" i="1"/>
  <c r="I73" i="1"/>
  <c r="H73" i="1"/>
  <c r="R74" i="1"/>
  <c r="S74" i="1"/>
  <c r="T74" i="1"/>
  <c r="U74" i="1"/>
  <c r="V74" i="1"/>
  <c r="W74" i="1"/>
  <c r="X74" i="1"/>
  <c r="Y74" i="1"/>
  <c r="Z74" i="1"/>
  <c r="AA74" i="1"/>
  <c r="R73" i="1"/>
  <c r="S73" i="1"/>
  <c r="T73" i="1"/>
  <c r="U73" i="1"/>
  <c r="V73" i="1"/>
  <c r="W73" i="1"/>
  <c r="X73" i="1"/>
  <c r="Y73" i="1"/>
  <c r="Z73" i="1"/>
  <c r="AA73" i="1"/>
  <c r="AB72" i="1"/>
  <c r="I72" i="1"/>
  <c r="K72" i="1"/>
  <c r="M72" i="1"/>
  <c r="O72" i="1"/>
  <c r="Q72" i="1"/>
  <c r="S72" i="1"/>
  <c r="U72" i="1"/>
  <c r="W72" i="1"/>
  <c r="Y72" i="1"/>
  <c r="G72" i="1"/>
  <c r="H71" i="1"/>
  <c r="I71" i="1"/>
  <c r="J71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AA71" i="1"/>
  <c r="G71" i="1"/>
  <c r="I70" i="1"/>
  <c r="J70" i="1" s="1"/>
  <c r="K70" i="1" s="1"/>
  <c r="L70" i="1" s="1"/>
  <c r="M70" i="1" s="1"/>
  <c r="N70" i="1" s="1"/>
  <c r="O70" i="1" s="1"/>
  <c r="P70" i="1" s="1"/>
  <c r="Q70" i="1" s="1"/>
  <c r="H70" i="1"/>
  <c r="H58" i="1"/>
  <c r="Z69" i="1"/>
  <c r="AA69" i="1" s="1"/>
  <c r="S69" i="1"/>
  <c r="T69" i="1"/>
  <c r="U69" i="1"/>
  <c r="V69" i="1" s="1"/>
  <c r="W69" i="1" s="1"/>
  <c r="X69" i="1" s="1"/>
  <c r="Y69" i="1" s="1"/>
  <c r="R69" i="1"/>
  <c r="G74" i="1"/>
  <c r="G70" i="1"/>
  <c r="H62" i="1"/>
  <c r="Q62" i="1"/>
  <c r="G62" i="1"/>
  <c r="H61" i="1"/>
  <c r="Q61" i="1"/>
  <c r="G61" i="1"/>
  <c r="Q74" i="1" l="1"/>
  <c r="R70" i="1"/>
  <c r="S70" i="1" s="1"/>
  <c r="T70" i="1" s="1"/>
  <c r="U70" i="1" s="1"/>
  <c r="V70" i="1" s="1"/>
  <c r="W70" i="1" s="1"/>
  <c r="X70" i="1" s="1"/>
  <c r="Y70" i="1" s="1"/>
  <c r="Z70" i="1" s="1"/>
  <c r="AA70" i="1" s="1"/>
  <c r="Q73" i="1"/>
  <c r="H74" i="1"/>
  <c r="G73" i="1"/>
  <c r="H31" i="1"/>
  <c r="H32" i="1" s="1"/>
  <c r="H33" i="1" s="1"/>
  <c r="H25" i="1"/>
  <c r="H26" i="1" s="1"/>
  <c r="Q59" i="1"/>
  <c r="G58" i="1"/>
  <c r="G42" i="1"/>
  <c r="G16" i="1"/>
  <c r="G17" i="1" s="1"/>
  <c r="D10" i="1"/>
  <c r="D14" i="1"/>
  <c r="D17" i="1" s="1"/>
  <c r="H42" i="1"/>
  <c r="I42" i="1" s="1"/>
  <c r="I43" i="1" s="1"/>
  <c r="G10" i="1"/>
  <c r="G60" i="1" l="1"/>
  <c r="I74" i="1"/>
  <c r="I31" i="1"/>
  <c r="G44" i="1"/>
  <c r="G50" i="1"/>
  <c r="H48" i="1"/>
  <c r="H43" i="1"/>
  <c r="H44" i="1" s="1"/>
  <c r="G11" i="1"/>
  <c r="H9" i="1"/>
  <c r="I9" i="1" s="1"/>
  <c r="I10" i="1" s="1"/>
  <c r="I11" i="1" s="1"/>
  <c r="I25" i="1"/>
  <c r="I26" i="1" s="1"/>
  <c r="I27" i="1" s="1"/>
  <c r="J31" i="1"/>
  <c r="K31" i="1" s="1"/>
  <c r="H15" i="1"/>
  <c r="H27" i="1"/>
  <c r="I32" i="1"/>
  <c r="I33" i="1" s="1"/>
  <c r="J42" i="1"/>
  <c r="J43" i="1" s="1"/>
  <c r="I44" i="1"/>
  <c r="J73" i="1" l="1"/>
  <c r="J74" i="1"/>
  <c r="J25" i="1"/>
  <c r="K25" i="1" s="1"/>
  <c r="J9" i="1"/>
  <c r="J10" i="1" s="1"/>
  <c r="J11" i="1" s="1"/>
  <c r="H49" i="1"/>
  <c r="H50" i="1" s="1"/>
  <c r="I48" i="1"/>
  <c r="I49" i="1" s="1"/>
  <c r="I50" i="1" s="1"/>
  <c r="H10" i="1"/>
  <c r="H11" i="1" s="1"/>
  <c r="I58" i="1"/>
  <c r="K42" i="1"/>
  <c r="K43" i="1" s="1"/>
  <c r="J48" i="1"/>
  <c r="J49" i="1" s="1"/>
  <c r="J32" i="1"/>
  <c r="J33" i="1" s="1"/>
  <c r="K44" i="1"/>
  <c r="L42" i="1"/>
  <c r="L43" i="1" s="1"/>
  <c r="J44" i="1"/>
  <c r="I15" i="1"/>
  <c r="J15" i="1" s="1"/>
  <c r="K15" i="1" s="1"/>
  <c r="L15" i="1" s="1"/>
  <c r="M15" i="1" s="1"/>
  <c r="N15" i="1" s="1"/>
  <c r="O15" i="1" s="1"/>
  <c r="P15" i="1" s="1"/>
  <c r="Q15" i="1" s="1"/>
  <c r="H16" i="1"/>
  <c r="H17" i="1" s="1"/>
  <c r="K32" i="1"/>
  <c r="K33" i="1" s="1"/>
  <c r="L31" i="1"/>
  <c r="K9" i="1"/>
  <c r="J26" i="1"/>
  <c r="J27" i="1" s="1"/>
  <c r="I61" i="1" l="1"/>
  <c r="I62" i="1"/>
  <c r="K73" i="1"/>
  <c r="K74" i="1"/>
  <c r="H60" i="1"/>
  <c r="I16" i="1"/>
  <c r="I17" i="1" s="1"/>
  <c r="J58" i="1"/>
  <c r="L44" i="1"/>
  <c r="M42" i="1"/>
  <c r="M43" i="1" s="1"/>
  <c r="M44" i="1" s="1"/>
  <c r="K48" i="1"/>
  <c r="K49" i="1" s="1"/>
  <c r="J50" i="1"/>
  <c r="R15" i="1"/>
  <c r="Q16" i="1"/>
  <c r="Q17" i="1" s="1"/>
  <c r="M31" i="1"/>
  <c r="L32" i="1"/>
  <c r="L33" i="1" s="1"/>
  <c r="J16" i="1"/>
  <c r="J17" i="1" s="1"/>
  <c r="L9" i="1"/>
  <c r="K10" i="1"/>
  <c r="K11" i="1" s="1"/>
  <c r="L25" i="1"/>
  <c r="K26" i="1"/>
  <c r="K27" i="1" s="1"/>
  <c r="J59" i="1" l="1"/>
  <c r="I60" i="1" s="1"/>
  <c r="J61" i="1"/>
  <c r="J62" i="1"/>
  <c r="L73" i="1"/>
  <c r="L74" i="1"/>
  <c r="N42" i="1"/>
  <c r="N43" i="1" s="1"/>
  <c r="N44" i="1" s="1"/>
  <c r="K58" i="1"/>
  <c r="K50" i="1"/>
  <c r="L48" i="1"/>
  <c r="L49" i="1" s="1"/>
  <c r="S15" i="1"/>
  <c r="R16" i="1"/>
  <c r="R17" i="1" s="1"/>
  <c r="M32" i="1"/>
  <c r="M33" i="1" s="1"/>
  <c r="N31" i="1"/>
  <c r="K16" i="1"/>
  <c r="K17" i="1" s="1"/>
  <c r="M9" i="1"/>
  <c r="L10" i="1"/>
  <c r="L11" i="1" s="1"/>
  <c r="M25" i="1"/>
  <c r="L26" i="1"/>
  <c r="L27" i="1" s="1"/>
  <c r="K59" i="1" l="1"/>
  <c r="K62" i="1"/>
  <c r="K61" i="1"/>
  <c r="M73" i="1"/>
  <c r="M74" i="1"/>
  <c r="J60" i="1"/>
  <c r="O42" i="1"/>
  <c r="O43" i="1" s="1"/>
  <c r="O44" i="1" s="1"/>
  <c r="L58" i="1"/>
  <c r="L50" i="1"/>
  <c r="M48" i="1"/>
  <c r="M49" i="1" s="1"/>
  <c r="T15" i="1"/>
  <c r="S16" i="1"/>
  <c r="S17" i="1" s="1"/>
  <c r="N32" i="1"/>
  <c r="N33" i="1" s="1"/>
  <c r="O31" i="1"/>
  <c r="L16" i="1"/>
  <c r="L17" i="1" s="1"/>
  <c r="N9" i="1"/>
  <c r="M10" i="1"/>
  <c r="M11" i="1" s="1"/>
  <c r="N25" i="1"/>
  <c r="M26" i="1"/>
  <c r="M27" i="1" s="1"/>
  <c r="L59" i="1" l="1"/>
  <c r="L61" i="1"/>
  <c r="L62" i="1"/>
  <c r="N73" i="1"/>
  <c r="N74" i="1"/>
  <c r="K60" i="1"/>
  <c r="P42" i="1"/>
  <c r="M58" i="1"/>
  <c r="M50" i="1"/>
  <c r="N48" i="1"/>
  <c r="N49" i="1" s="1"/>
  <c r="U15" i="1"/>
  <c r="T16" i="1"/>
  <c r="T17" i="1" s="1"/>
  <c r="O32" i="1"/>
  <c r="O33" i="1" s="1"/>
  <c r="P31" i="1"/>
  <c r="M16" i="1"/>
  <c r="M17" i="1" s="1"/>
  <c r="O9" i="1"/>
  <c r="N10" i="1"/>
  <c r="N11" i="1" s="1"/>
  <c r="O25" i="1"/>
  <c r="N26" i="1"/>
  <c r="N27" i="1" s="1"/>
  <c r="M59" i="1" l="1"/>
  <c r="M62" i="1"/>
  <c r="M61" i="1"/>
  <c r="O73" i="1"/>
  <c r="O74" i="1"/>
  <c r="P43" i="1"/>
  <c r="P44" i="1" s="1"/>
  <c r="R44" i="1" s="1"/>
  <c r="Q42" i="1"/>
  <c r="L60" i="1"/>
  <c r="N58" i="1"/>
  <c r="N50" i="1"/>
  <c r="O48" i="1"/>
  <c r="O49" i="1" s="1"/>
  <c r="V15" i="1"/>
  <c r="U16" i="1"/>
  <c r="U17" i="1" s="1"/>
  <c r="P32" i="1"/>
  <c r="P33" i="1" s="1"/>
  <c r="Q31" i="1"/>
  <c r="N16" i="1"/>
  <c r="N17" i="1" s="1"/>
  <c r="P9" i="1"/>
  <c r="O10" i="1"/>
  <c r="O11" i="1" s="1"/>
  <c r="O26" i="1"/>
  <c r="O27" i="1" s="1"/>
  <c r="P25" i="1"/>
  <c r="N59" i="1" l="1"/>
  <c r="N62" i="1"/>
  <c r="N61" i="1"/>
  <c r="P74" i="1"/>
  <c r="P73" i="1"/>
  <c r="M60" i="1"/>
  <c r="P10" i="1"/>
  <c r="P11" i="1" s="1"/>
  <c r="R11" i="1" s="1"/>
  <c r="Q9" i="1"/>
  <c r="O58" i="1"/>
  <c r="O50" i="1"/>
  <c r="P48" i="1"/>
  <c r="P49" i="1" s="1"/>
  <c r="W15" i="1"/>
  <c r="V16" i="1"/>
  <c r="V17" i="1" s="1"/>
  <c r="Q32" i="1"/>
  <c r="Q33" i="1" s="1"/>
  <c r="R31" i="1"/>
  <c r="O16" i="1"/>
  <c r="O17" i="1" s="1"/>
  <c r="P16" i="1"/>
  <c r="P17" i="1" s="1"/>
  <c r="Q25" i="1"/>
  <c r="Q26" i="1" s="1"/>
  <c r="Q27" i="1" s="1"/>
  <c r="P26" i="1"/>
  <c r="P27" i="1" s="1"/>
  <c r="O59" i="1" l="1"/>
  <c r="O62" i="1"/>
  <c r="O61" i="1"/>
  <c r="N60" i="1"/>
  <c r="P58" i="1"/>
  <c r="Q48" i="1"/>
  <c r="Q49" i="1" s="1"/>
  <c r="P50" i="1"/>
  <c r="X15" i="1"/>
  <c r="W16" i="1"/>
  <c r="W17" i="1" s="1"/>
  <c r="S31" i="1"/>
  <c r="R32" i="1"/>
  <c r="R33" i="1" s="1"/>
  <c r="R27" i="1"/>
  <c r="P59" i="1" l="1"/>
  <c r="P60" i="1" s="1"/>
  <c r="P61" i="1"/>
  <c r="P62" i="1"/>
  <c r="H64" i="1" s="1" a="1"/>
  <c r="H64" i="1" s="1"/>
  <c r="O60" i="1"/>
  <c r="R60" i="1" s="1"/>
  <c r="R48" i="1"/>
  <c r="R49" i="1" s="1"/>
  <c r="Q50" i="1"/>
  <c r="Y15" i="1"/>
  <c r="X16" i="1"/>
  <c r="X17" i="1" s="1"/>
  <c r="T31" i="1"/>
  <c r="S32" i="1"/>
  <c r="S33" i="1" s="1"/>
  <c r="S48" i="1" l="1"/>
  <c r="S49" i="1" s="1"/>
  <c r="R50" i="1"/>
  <c r="Z15" i="1"/>
  <c r="Y16" i="1"/>
  <c r="Y17" i="1" s="1"/>
  <c r="U31" i="1"/>
  <c r="T32" i="1"/>
  <c r="T33" i="1" s="1"/>
  <c r="Z16" i="1" l="1"/>
  <c r="Z17" i="1" s="1"/>
  <c r="AA15" i="1"/>
  <c r="S50" i="1"/>
  <c r="T48" i="1"/>
  <c r="T49" i="1" s="1"/>
  <c r="AB17" i="1"/>
  <c r="H19" i="1" s="1"/>
  <c r="V31" i="1"/>
  <c r="U32" i="1"/>
  <c r="U33" i="1" s="1"/>
  <c r="U48" i="1" l="1"/>
  <c r="U49" i="1" s="1"/>
  <c r="T50" i="1"/>
  <c r="V32" i="1"/>
  <c r="V33" i="1" s="1"/>
  <c r="W31" i="1"/>
  <c r="V48" i="1" l="1"/>
  <c r="U50" i="1"/>
  <c r="X31" i="1"/>
  <c r="W32" i="1"/>
  <c r="W33" i="1" s="1"/>
  <c r="V50" i="1" l="1"/>
  <c r="W48" i="1"/>
  <c r="W49" i="1" s="1"/>
  <c r="X32" i="1"/>
  <c r="X33" i="1" s="1"/>
  <c r="Y31" i="1"/>
  <c r="W50" i="1" l="1"/>
  <c r="X48" i="1"/>
  <c r="X49" i="1" s="1"/>
  <c r="Z31" i="1"/>
  <c r="Y32" i="1"/>
  <c r="Y33" i="1" s="1"/>
  <c r="X50" i="1" l="1"/>
  <c r="Y48" i="1"/>
  <c r="Y49" i="1" s="1"/>
  <c r="AA31" i="1"/>
  <c r="AA32" i="1" s="1"/>
  <c r="AA33" i="1" s="1"/>
  <c r="Z32" i="1"/>
  <c r="Z33" i="1" s="1"/>
  <c r="Y50" i="1" l="1"/>
  <c r="Z48" i="1"/>
  <c r="AA48" i="1" s="1"/>
  <c r="AB33" i="1"/>
  <c r="H35" i="1" s="1"/>
  <c r="Z50" i="1" l="1"/>
  <c r="AB50" i="1" l="1"/>
  <c r="H5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<sst xmlns="http://schemas.openxmlformats.org/spreadsheetml/2006/main" count="79" uniqueCount="38">
  <si>
    <t>Интеграл</t>
  </si>
  <si>
    <t>Значение вычисленное методом quad библиотеки scipy</t>
  </si>
  <si>
    <t>Погрешность</t>
  </si>
  <si>
    <t>0,0000000</t>
  </si>
  <si>
    <t>По формулам прямоуольников</t>
  </si>
  <si>
    <t>x</t>
  </si>
  <si>
    <t>f(x)</t>
  </si>
  <si>
    <t>Количество частей n</t>
  </si>
  <si>
    <t>S</t>
  </si>
  <si>
    <t>Сумма S</t>
  </si>
  <si>
    <t>Шаг h</t>
  </si>
  <si>
    <t>Левых прямоугольников с шагом h=0,1</t>
  </si>
  <si>
    <t>Левых прямоугольников с шагом h=0,05</t>
  </si>
  <si>
    <t>Погрешность Рунге</t>
  </si>
  <si>
    <t>Правило Рунге</t>
  </si>
  <si>
    <t>Правый/левый прямоугольник</t>
  </si>
  <si>
    <t>Центральный прямоугольник/трапеции</t>
  </si>
  <si>
    <t>p</t>
  </si>
  <si>
    <t>Правых прямоугольников с шагом h=0,05</t>
  </si>
  <si>
    <t>Правых прямоугольников с шагом h=0,1</t>
  </si>
  <si>
    <t>Центральных прямоугольников с шагом h=0,1</t>
  </si>
  <si>
    <t>Центральных прямоугольников с шагом h=0,05</t>
  </si>
  <si>
    <t>По формуле трапеции</t>
  </si>
  <si>
    <t>i</t>
  </si>
  <si>
    <t>Метод Симпсона</t>
  </si>
  <si>
    <t>y'(x)</t>
  </si>
  <si>
    <t>y(x)</t>
  </si>
  <si>
    <t>y''(x)</t>
  </si>
  <si>
    <t xml:space="preserve"> </t>
  </si>
  <si>
    <t>f'(x)</t>
  </si>
  <si>
    <t>f''(x)</t>
  </si>
  <si>
    <t>По формуле Симпсона</t>
  </si>
  <si>
    <t>f'''(x)</t>
  </si>
  <si>
    <t>f''''(x)</t>
  </si>
  <si>
    <t>y'''(x)</t>
  </si>
  <si>
    <t>y''''(x)</t>
  </si>
  <si>
    <t>y(x+0,05)</t>
  </si>
  <si>
    <t>y(x+0,025)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</si>
</sst>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/>
    <xf numFmtId="0" fontId="0" fillId="0" borderId="3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" xfId="0" applyBorder="1" applyAlignment="1">
      <alignment horizontal="center" vertical="center"/>
    </xf>
    <xf numFmtId="0" fontId="1" fillId="0" borderId="1" xfId="0" applyFont="1" applyBorder="1"/>
    <xf numFmtId="0" fontId="1" fillId="0" borderId="9" xfId="0" applyFont="1" applyBorder="1"/>
    <xf numFmtId="0" fontId="1" fillId="0" borderId="2" xfId="0" applyFont="1" applyBorder="1" applyAlignment="1">
      <alignment horizontal="center" vertical="center"/>
    </xf>
    <xf numFmtId="0" fontId="0" fillId="0" borderId="10" xfId="0" applyBorder="1"/>
    <xf numFmtId="0" fontId="1" fillId="0" borderId="4" xfId="0" applyFont="1" applyBorder="1" applyAlignment="1">
      <alignment horizontal="center" vertical="center"/>
    </xf>
    <xf numFmtId="0" fontId="0" fillId="0" borderId="11" xfId="0" applyBorder="1"/>
    <xf numFmtId="0" fontId="1" fillId="0" borderId="4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1" fillId="0" borderId="4" xfId="0" applyFont="1" applyBorder="1"/>
    <xf numFmtId="49" fontId="0" fillId="0" borderId="11" xfId="0" applyNumberFormat="1" applyBorder="1" applyAlignment="1">
      <alignment horizontal="center" vertical="center"/>
    </xf>
    <xf numFmtId="0" fontId="0" fillId="0" borderId="1" xfId="0" applyBorder="1" applyAlignment="1">
      <alignment horizontal="left"/>
    </xf>
    <xf numFmtId="164" fontId="0" fillId="0" borderId="1" xfId="0" applyNumberFormat="1" applyBorder="1"/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2" xfId="0" applyFont="1" applyBorder="1"/>
    <xf numFmtId="164" fontId="0" fillId="0" borderId="12" xfId="0" applyNumberFormat="1" applyBorder="1"/>
    <xf numFmtId="0" fontId="1" fillId="0" borderId="14" xfId="0" applyFont="1" applyBorder="1"/>
    <xf numFmtId="0" fontId="0" fillId="0" borderId="14" xfId="0" applyBorder="1"/>
    <xf numFmtId="2" fontId="0" fillId="0" borderId="1" xfId="0" applyNumberFormat="1" applyBorder="1"/>
    <xf numFmtId="0" fontId="3" fillId="0" borderId="11" xfId="0" applyFont="1" applyBorder="1" applyAlignment="1">
      <alignment vertical="center" wrapText="1"/>
    </xf>
    <xf numFmtId="0" fontId="1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981075</xdr:colOff>
      <xdr:row>0</xdr:row>
      <xdr:rowOff>0</xdr:rowOff>
    </xdr:from>
    <xdr:ext cx="1085850" cy="38023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9ABAFF7-1AB1-450A-860F-03B0235F8452}"/>
                </a:ext>
              </a:extLst>
            </xdr:cNvPr>
            <xdr:cNvSpPr txBox="1"/>
          </xdr:nvSpPr>
          <xdr:spPr>
            <a:xfrm>
              <a:off x="2886075" y="0"/>
              <a:ext cx="1085850" cy="3802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en-US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p>
                      <m:e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0,37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𝑒</m:t>
                            </m:r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𝑠𝑖𝑛𝑥</m:t>
                            </m:r>
                          </m:sup>
                        </m:sSup>
                      </m:e>
                    </m:nary>
                    <m:r>
                      <a:rPr lang="en-US" sz="1100" b="0" i="1">
                        <a:latin typeface="Cambria Math" panose="02040503050406030204" pitchFamily="18" charset="0"/>
                      </a:rPr>
                      <m:t>𝑑𝑥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9ABAFF7-1AB1-450A-860F-03B0235F8452}"/>
                </a:ext>
              </a:extLst>
            </xdr:cNvPr>
            <xdr:cNvSpPr txBox="1"/>
          </xdr:nvSpPr>
          <xdr:spPr>
            <a:xfrm>
              <a:off x="2886075" y="0"/>
              <a:ext cx="1085850" cy="3802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ru-RU" sz="1100" i="0">
                  <a:latin typeface="Cambria Math" panose="02040503050406030204" pitchFamily="18" charset="0"/>
                </a:rPr>
                <a:t>∫</a:t>
              </a:r>
              <a:r>
                <a:rPr lang="en-US" sz="1100" b="0" i="0">
                  <a:latin typeface="Cambria Math" panose="02040503050406030204" pitchFamily="18" charset="0"/>
                </a:rPr>
                <a:t>_0^1▒〖0,37𝑒〗^𝑠𝑖𝑛𝑥  𝑑𝑥</a:t>
              </a:r>
              <a:endParaRPr lang="ru-RU" sz="1100"/>
            </a:p>
          </xdr:txBody>
        </xdr:sp>
      </mc:Fallback>
    </mc:AlternateContent>
    <xdr:clientData/>
  </xdr:oneCellAnchor>
  <xdr:twoCellAnchor editAs="oneCell">
    <xdr:from>
      <xdr:col>0</xdr:col>
      <xdr:colOff>0</xdr:colOff>
      <xdr:row>8</xdr:row>
      <xdr:rowOff>9524</xdr:rowOff>
    </xdr:from>
    <xdr:to>
      <xdr:col>1</xdr:col>
      <xdr:colOff>3809048</xdr:colOff>
      <xdr:row>37</xdr:row>
      <xdr:rowOff>121981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75C6811D-9506-4E5F-9D78-89A09EE986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86633"/>
          <a:ext cx="5714048" cy="5730324"/>
        </a:xfrm>
        <a:prstGeom prst="rect">
          <a:avLst/>
        </a:prstGeom>
      </xdr:spPr>
    </xdr:pic>
    <xdr:clientData/>
  </xdr:twoCellAnchor>
  <xdr:oneCellAnchor>
    <xdr:from>
      <xdr:col>1</xdr:col>
      <xdr:colOff>1009650</xdr:colOff>
      <xdr:row>1</xdr:row>
      <xdr:rowOff>104775</xdr:rowOff>
    </xdr:from>
    <xdr:ext cx="1085850" cy="18133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F7DA10D2-7369-4FD3-ACB7-772D7DA7E372}"/>
                </a:ext>
              </a:extLst>
            </xdr:cNvPr>
            <xdr:cNvSpPr txBox="1"/>
          </xdr:nvSpPr>
          <xdr:spPr>
            <a:xfrm>
              <a:off x="2914650" y="523875"/>
              <a:ext cx="1085850" cy="1813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0,37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𝑒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𝑠𝑖𝑛𝑥</m:t>
                        </m:r>
                      </m:sup>
                    </m:sSup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F7DA10D2-7369-4FD3-ACB7-772D7DA7E372}"/>
                </a:ext>
              </a:extLst>
            </xdr:cNvPr>
            <xdr:cNvSpPr txBox="1"/>
          </xdr:nvSpPr>
          <xdr:spPr>
            <a:xfrm>
              <a:off x="2914650" y="523875"/>
              <a:ext cx="1085850" cy="1813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〖0,37𝑒〗^𝑠𝑖𝑛𝑥</a:t>
              </a:r>
              <a:endParaRPr lang="ru-RU" sz="1100"/>
            </a:p>
          </xdr:txBody>
        </xdr:sp>
      </mc:Fallback>
    </mc:AlternateContent>
    <xdr:clientData/>
  </xdr:oneCellAnchor>
  <xdr:twoCellAnchor editAs="oneCell">
    <xdr:from>
      <xdr:col>18</xdr:col>
      <xdr:colOff>128308</xdr:colOff>
      <xdr:row>6</xdr:row>
      <xdr:rowOff>55789</xdr:rowOff>
    </xdr:from>
    <xdr:to>
      <xdr:col>19</xdr:col>
      <xdr:colOff>294154</xdr:colOff>
      <xdr:row>11</xdr:row>
      <xdr:rowOff>152384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82184F4A-FC29-44CE-83D1-2BB36F6CAA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436043" y="2039230"/>
          <a:ext cx="1095935" cy="1057377"/>
        </a:xfrm>
        <a:prstGeom prst="rect">
          <a:avLst/>
        </a:prstGeom>
      </xdr:spPr>
    </xdr:pic>
    <xdr:clientData/>
  </xdr:twoCellAnchor>
  <xdr:twoCellAnchor editAs="oneCell">
    <xdr:from>
      <xdr:col>18</xdr:col>
      <xdr:colOff>87007</xdr:colOff>
      <xdr:row>21</xdr:row>
      <xdr:rowOff>71952</xdr:rowOff>
    </xdr:from>
    <xdr:to>
      <xdr:col>19</xdr:col>
      <xdr:colOff>299758</xdr:colOff>
      <xdr:row>26</xdr:row>
      <xdr:rowOff>118887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052AA59-C02F-4921-9006-E4E95B24DB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394742" y="4912893"/>
          <a:ext cx="1142840" cy="999435"/>
        </a:xfrm>
        <a:prstGeom prst="rect">
          <a:avLst/>
        </a:prstGeom>
      </xdr:spPr>
    </xdr:pic>
    <xdr:clientData/>
  </xdr:twoCellAnchor>
  <xdr:twoCellAnchor editAs="oneCell">
    <xdr:from>
      <xdr:col>18</xdr:col>
      <xdr:colOff>125659</xdr:colOff>
      <xdr:row>38</xdr:row>
      <xdr:rowOff>127556</xdr:rowOff>
    </xdr:from>
    <xdr:to>
      <xdr:col>19</xdr:col>
      <xdr:colOff>318613</xdr:colOff>
      <xdr:row>44</xdr:row>
      <xdr:rowOff>32085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A3B594A2-2C4E-4A31-A266-48BBF03300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487386" y="8249783"/>
          <a:ext cx="1128136" cy="1047529"/>
        </a:xfrm>
        <a:prstGeom prst="rect">
          <a:avLst/>
        </a:prstGeom>
      </xdr:spPr>
    </xdr:pic>
    <xdr:clientData/>
  </xdr:twoCellAnchor>
  <xdr:oneCellAnchor>
    <xdr:from>
      <xdr:col>5</xdr:col>
      <xdr:colOff>31358</xdr:colOff>
      <xdr:row>1</xdr:row>
      <xdr:rowOff>22663</xdr:rowOff>
    </xdr:from>
    <xdr:ext cx="864276" cy="32611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78DBF2FD-1C77-4EFD-9FC4-3A9D048A8792}"/>
                </a:ext>
              </a:extLst>
            </xdr:cNvPr>
            <xdr:cNvSpPr txBox="1"/>
          </xdr:nvSpPr>
          <xdr:spPr>
            <a:xfrm>
              <a:off x="8164880" y="660424"/>
              <a:ext cx="864276" cy="3261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𝑅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≈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begChr m:val="|"/>
                            <m:endChr m:val="|"/>
                            <m:ctrlPr>
                              <a:rPr lang="ru-RU" sz="11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𝐼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sub>
                            </m:s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𝐼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sub>
                            </m:sSub>
                          </m:e>
                        </m:d>
                      </m:num>
                      <m:den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𝑝</m:t>
                            </m:r>
                          </m:sup>
                        </m:s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den>
                    </m:f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78DBF2FD-1C77-4EFD-9FC4-3A9D048A8792}"/>
                </a:ext>
              </a:extLst>
            </xdr:cNvPr>
            <xdr:cNvSpPr txBox="1"/>
          </xdr:nvSpPr>
          <xdr:spPr>
            <a:xfrm>
              <a:off x="8164880" y="660424"/>
              <a:ext cx="864276" cy="3261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𝑅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≈</a:t>
              </a:r>
              <a:r>
                <a:rPr lang="ru-RU" sz="1100" i="0">
                  <a:latin typeface="Cambria Math" panose="02040503050406030204" pitchFamily="18" charset="0"/>
                </a:rPr>
                <a:t>|</a:t>
              </a:r>
              <a:r>
                <a:rPr lang="en-US" sz="1100" b="0" i="0">
                  <a:latin typeface="Cambria Math" panose="02040503050406030204" pitchFamily="18" charset="0"/>
                </a:rPr>
                <a:t>𝐼_2𝑛−𝐼_𝑛</a:t>
              </a:r>
              <a:r>
                <a:rPr lang="ru-RU" sz="1100" b="0" i="0">
                  <a:latin typeface="Cambria Math" panose="02040503050406030204" pitchFamily="18" charset="0"/>
                </a:rPr>
                <a:t> |</a:t>
              </a:r>
              <a:r>
                <a:rPr lang="en-US" sz="1100" b="0" i="0">
                  <a:latin typeface="Cambria Math" panose="02040503050406030204" pitchFamily="18" charset="0"/>
                </a:rPr>
                <a:t>/(2^𝑝−1)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11</xdr:col>
      <xdr:colOff>221974</xdr:colOff>
      <xdr:row>18</xdr:row>
      <xdr:rowOff>106018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5E69075E-E872-4122-BCB7-A837AF75B0CD}"/>
            </a:ext>
          </a:extLst>
        </xdr:cNvPr>
        <xdr:cNvSpPr txBox="1"/>
      </xdr:nvSpPr>
      <xdr:spPr>
        <a:xfrm>
          <a:off x="14103626" y="438812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12</xdr:col>
      <xdr:colOff>538368</xdr:colOff>
      <xdr:row>18</xdr:row>
      <xdr:rowOff>91108</xdr:rowOff>
    </xdr:from>
    <xdr:ext cx="2708413" cy="2295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735C3FF8-DE99-4FCA-9EBC-699A20E2D4F6}"/>
                </a:ext>
              </a:extLst>
            </xdr:cNvPr>
            <xdr:cNvSpPr txBox="1"/>
          </xdr:nvSpPr>
          <xdr:spPr>
            <a:xfrm>
              <a:off x="15355955" y="4373217"/>
              <a:ext cx="2708413" cy="2295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nary>
                    <m:naryPr>
                      <m:ctrlPr>
                        <a:rPr lang="ru-RU" sz="1100" i="1">
                          <a:latin typeface="Cambria Math" panose="02040503050406030204" pitchFamily="18" charset="0"/>
                        </a:rPr>
                      </m:ctrlPr>
                    </m:naryPr>
                    <m:sub>
                      <m:r>
                        <m:rPr>
                          <m:brk m:alnAt="23"/>
                        </m:rPr>
                        <a:rPr lang="en-US" sz="1100" b="0" i="1">
                          <a:latin typeface="Cambria Math" panose="02040503050406030204" pitchFamily="18" charset="0"/>
                        </a:rPr>
                        <m:t>0</m:t>
                      </m:r>
                    </m:sub>
                    <m:sup>
                      <m:r>
                        <a:rPr lang="en-US" sz="1100" b="0" i="1">
                          <a:latin typeface="Cambria Math" panose="02040503050406030204" pitchFamily="18" charset="0"/>
                        </a:rPr>
                        <m:t>1</m:t>
                      </m:r>
                    </m:sup>
                    <m:e>
                      <m:sSup>
                        <m:sSupPr>
                          <m:ctrlPr>
                            <a:rPr lang="en-US" sz="1100" b="0" i="1">
                              <a:latin typeface="Cambria Math" panose="02040503050406030204" pitchFamily="18" charset="0"/>
                            </a:rPr>
                          </m:ctrlPr>
                        </m:sSupPr>
                        <m:e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0,37</m:t>
                          </m:r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𝑒</m:t>
                          </m:r>
                        </m:e>
                        <m:sup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𝑠𝑖𝑛𝑥</m:t>
                          </m:r>
                        </m:sup>
                      </m:sSup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𝑑𝑥</m:t>
                      </m:r>
                    </m:e>
                  </m:nary>
                  <m:r>
                    <a:rPr lang="en-US" sz="1100" b="0" i="1">
                      <a:latin typeface="Cambria Math" panose="02040503050406030204" pitchFamily="18" charset="0"/>
                    </a:rPr>
                    <m:t>=0,592</m:t>
                  </m:r>
                  <m:r>
                    <a:rPr lang="en-US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±0,012</m:t>
                  </m:r>
                </m:oMath>
              </a14:m>
              <a:r>
                <a:rPr lang="en-US" sz="1100"/>
                <a:t> </a:t>
              </a:r>
              <a:endParaRPr lang="ru-RU" sz="1100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735C3FF8-DE99-4FCA-9EBC-699A20E2D4F6}"/>
                </a:ext>
              </a:extLst>
            </xdr:cNvPr>
            <xdr:cNvSpPr txBox="1"/>
          </xdr:nvSpPr>
          <xdr:spPr>
            <a:xfrm>
              <a:off x="15355955" y="4373217"/>
              <a:ext cx="2708413" cy="2295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ru-RU" sz="1100" i="0">
                  <a:latin typeface="Cambria Math" panose="02040503050406030204" pitchFamily="18" charset="0"/>
                </a:rPr>
                <a:t>∫</a:t>
              </a:r>
              <a:r>
                <a:rPr lang="en-US" sz="1100" b="0" i="0">
                  <a:latin typeface="Cambria Math" panose="02040503050406030204" pitchFamily="18" charset="0"/>
                </a:rPr>
                <a:t>_0^1▒〖〖0,37𝑒〗^𝑠𝑖𝑛𝑥 𝑑𝑥〗=0,592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±0,012</a:t>
              </a:r>
              <a:r>
                <a:rPr lang="en-US" sz="1100"/>
                <a:t> 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11</xdr:col>
      <xdr:colOff>221974</xdr:colOff>
      <xdr:row>34</xdr:row>
      <xdr:rowOff>106018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C31B7CC9-8137-4BE2-B208-584566436EA5}"/>
            </a:ext>
          </a:extLst>
        </xdr:cNvPr>
        <xdr:cNvSpPr txBox="1"/>
      </xdr:nvSpPr>
      <xdr:spPr>
        <a:xfrm>
          <a:off x="14050033" y="437545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12</xdr:col>
      <xdr:colOff>71643</xdr:colOff>
      <xdr:row>34</xdr:row>
      <xdr:rowOff>5383</xdr:rowOff>
    </xdr:from>
    <xdr:ext cx="2708413" cy="38023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37C7ECF0-9291-45F8-8D35-48D82FEE8137}"/>
                </a:ext>
              </a:extLst>
            </xdr:cNvPr>
            <xdr:cNvSpPr txBox="1"/>
          </xdr:nvSpPr>
          <xdr:spPr>
            <a:xfrm>
              <a:off x="14863968" y="7358683"/>
              <a:ext cx="2708413" cy="3802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en-US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p>
                      <m:e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0,37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𝑒</m:t>
                            </m:r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𝑠𝑖𝑛𝑥</m:t>
                            </m:r>
                          </m:sup>
                        </m:s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𝑑𝑥</m:t>
                        </m:r>
                      </m:e>
                    </m:nary>
                    <m:r>
                      <a:rPr lang="en-US" sz="1100" b="0" i="1">
                        <a:latin typeface="Cambria Math" panose="02040503050406030204" pitchFamily="18" charset="0"/>
                      </a:rPr>
                      <m:t>=0,</m:t>
                    </m:r>
                    <m:r>
                      <a:rPr lang="ru-RU" sz="1100" b="0" i="1">
                        <a:latin typeface="Cambria Math" panose="02040503050406030204" pitchFamily="18" charset="0"/>
                      </a:rPr>
                      <m:t>616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±0,0</m:t>
                    </m:r>
                    <m:r>
                      <a:rPr lang="ru-RU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12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37C7ECF0-9291-45F8-8D35-48D82FEE8137}"/>
                </a:ext>
              </a:extLst>
            </xdr:cNvPr>
            <xdr:cNvSpPr txBox="1"/>
          </xdr:nvSpPr>
          <xdr:spPr>
            <a:xfrm>
              <a:off x="14863968" y="7358683"/>
              <a:ext cx="2708413" cy="3802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ru-RU" sz="1100" i="0">
                  <a:latin typeface="Cambria Math" panose="02040503050406030204" pitchFamily="18" charset="0"/>
                </a:rPr>
                <a:t>∫</a:t>
              </a:r>
              <a:r>
                <a:rPr lang="en-US" sz="1100" b="0" i="0">
                  <a:latin typeface="Cambria Math" panose="02040503050406030204" pitchFamily="18" charset="0"/>
                </a:rPr>
                <a:t>_0^1▒〖〖0,37𝑒〗^𝑠𝑖𝑛𝑥 𝑑𝑥〗=0,</a:t>
              </a:r>
              <a:r>
                <a:rPr lang="ru-RU" sz="1100" b="0" i="0">
                  <a:latin typeface="Cambria Math" panose="02040503050406030204" pitchFamily="18" charset="0"/>
                </a:rPr>
                <a:t>616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±0,0</a:t>
              </a:r>
              <a:r>
                <a:rPr lang="ru-RU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12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11</xdr:col>
      <xdr:colOff>221974</xdr:colOff>
      <xdr:row>51</xdr:row>
      <xdr:rowOff>106018</xdr:rowOff>
    </xdr:from>
    <xdr:ext cx="65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BDB878FD-0C18-423C-AA03-5E2B070FEFDA}"/>
            </a:ext>
          </a:extLst>
        </xdr:cNvPr>
        <xdr:cNvSpPr txBox="1"/>
      </xdr:nvSpPr>
      <xdr:spPr>
        <a:xfrm>
          <a:off x="14050033" y="745707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12</xdr:col>
      <xdr:colOff>71643</xdr:colOff>
      <xdr:row>51</xdr:row>
      <xdr:rowOff>5383</xdr:rowOff>
    </xdr:from>
    <xdr:ext cx="2708413" cy="38023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E30BE7C6-FA1D-47A7-925C-1DB49005241F}"/>
                </a:ext>
              </a:extLst>
            </xdr:cNvPr>
            <xdr:cNvSpPr txBox="1"/>
          </xdr:nvSpPr>
          <xdr:spPr>
            <a:xfrm>
              <a:off x="14829790" y="7356442"/>
              <a:ext cx="2708413" cy="3802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en-US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p>
                      <m:e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0,37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𝑒</m:t>
                            </m:r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𝑠𝑖𝑛𝑥</m:t>
                            </m:r>
                          </m:sup>
                        </m:s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𝑑𝑥</m:t>
                        </m:r>
                      </m:e>
                    </m:nary>
                    <m:r>
                      <a:rPr lang="en-US" sz="1100" b="0" i="1">
                        <a:latin typeface="Cambria Math" panose="02040503050406030204" pitchFamily="18" charset="0"/>
                      </a:rPr>
                      <m:t>=0,</m:t>
                    </m:r>
                    <m:r>
                      <a:rPr lang="ru-RU" sz="1100" b="0" i="1">
                        <a:latin typeface="Cambria Math" panose="02040503050406030204" pitchFamily="18" charset="0"/>
                      </a:rPr>
                      <m:t>603782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±0,00</m:t>
                    </m:r>
                    <m:r>
                      <a:rPr lang="ru-RU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000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98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E30BE7C6-FA1D-47A7-925C-1DB49005241F}"/>
                </a:ext>
              </a:extLst>
            </xdr:cNvPr>
            <xdr:cNvSpPr txBox="1"/>
          </xdr:nvSpPr>
          <xdr:spPr>
            <a:xfrm>
              <a:off x="14829790" y="7356442"/>
              <a:ext cx="2708413" cy="3802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ru-RU" sz="1100" i="0">
                  <a:latin typeface="Cambria Math" panose="02040503050406030204" pitchFamily="18" charset="0"/>
                </a:rPr>
                <a:t>∫</a:t>
              </a:r>
              <a:r>
                <a:rPr lang="en-US" sz="1100" b="0" i="0">
                  <a:latin typeface="Cambria Math" panose="02040503050406030204" pitchFamily="18" charset="0"/>
                </a:rPr>
                <a:t>_0^1▒〖〖0,37𝑒〗^𝑠𝑖𝑛𝑥 𝑑𝑥〗=0,</a:t>
              </a:r>
              <a:r>
                <a:rPr lang="ru-RU" sz="1100" b="0" i="0">
                  <a:latin typeface="Cambria Math" panose="02040503050406030204" pitchFamily="18" charset="0"/>
                </a:rPr>
                <a:t>603782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±0,00</a:t>
              </a:r>
              <a:r>
                <a:rPr lang="ru-RU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000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98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</xdr:col>
      <xdr:colOff>1376155</xdr:colOff>
      <xdr:row>4</xdr:row>
      <xdr:rowOff>1242</xdr:rowOff>
    </xdr:from>
    <xdr:ext cx="1085850" cy="18133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F011B4CC-E084-47A7-8353-2F38EAC064B9}"/>
                </a:ext>
              </a:extLst>
            </xdr:cNvPr>
            <xdr:cNvSpPr txBox="1"/>
          </xdr:nvSpPr>
          <xdr:spPr>
            <a:xfrm>
              <a:off x="3281155" y="1616351"/>
              <a:ext cx="1085850" cy="1813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0,37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𝑒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𝑠𝑖𝑛𝑥</m:t>
                        </m:r>
                      </m:sup>
                    </m:sSup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𝑐𝑜𝑠𝑥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F011B4CC-E084-47A7-8353-2F38EAC064B9}"/>
                </a:ext>
              </a:extLst>
            </xdr:cNvPr>
            <xdr:cNvSpPr txBox="1"/>
          </xdr:nvSpPr>
          <xdr:spPr>
            <a:xfrm>
              <a:off x="3281155" y="1616351"/>
              <a:ext cx="1085850" cy="1813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〖0,37𝑒〗^𝑠𝑖𝑛𝑥 𝑐𝑜𝑠𝑥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</xdr:col>
      <xdr:colOff>947530</xdr:colOff>
      <xdr:row>5</xdr:row>
      <xdr:rowOff>1242</xdr:rowOff>
    </xdr:from>
    <xdr:ext cx="2057400" cy="18133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42EA054D-4DDC-4F4B-B9EC-0F54E59702F4}"/>
                </a:ext>
              </a:extLst>
            </xdr:cNvPr>
            <xdr:cNvSpPr txBox="1"/>
          </xdr:nvSpPr>
          <xdr:spPr>
            <a:xfrm>
              <a:off x="2852530" y="1806851"/>
              <a:ext cx="2057400" cy="1813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0,37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𝑒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𝑠𝑖𝑛𝑥</m:t>
                        </m:r>
                      </m:sup>
                    </m:sSup>
                    <m:func>
                      <m:func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uncPr>
                      <m:fName>
                        <m:sSup>
                          <m:sSup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m:rPr>
                                <m:sty m:val="p"/>
                              </m:rPr>
                              <a:rPr lang="en-US" sz="11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cos</m:t>
                            </m:r>
                          </m:e>
                          <m:sup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fName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</m:func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−0,37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𝑒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𝑠𝑖𝑛𝑥</m:t>
                        </m:r>
                      </m:sup>
                    </m:sSup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𝑠𝑖𝑛𝑥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42EA054D-4DDC-4F4B-B9EC-0F54E59702F4}"/>
                </a:ext>
              </a:extLst>
            </xdr:cNvPr>
            <xdr:cNvSpPr txBox="1"/>
          </xdr:nvSpPr>
          <xdr:spPr>
            <a:xfrm>
              <a:off x="2852530" y="1806851"/>
              <a:ext cx="2057400" cy="1813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〖0,37𝑒〗^𝑠𝑖𝑛𝑥  cos^2⁡𝑥−0,37𝑒^𝑠𝑖𝑛𝑥 𝑠𝑖𝑛𝑥 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11</xdr:col>
      <xdr:colOff>932815</xdr:colOff>
      <xdr:row>63</xdr:row>
      <xdr:rowOff>12667</xdr:rowOff>
    </xdr:from>
    <xdr:ext cx="2708413" cy="38023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064C0E3E-5E2B-4A1A-9A90-9A1128943D0F}"/>
                </a:ext>
              </a:extLst>
            </xdr:cNvPr>
            <xdr:cNvSpPr txBox="1"/>
          </xdr:nvSpPr>
          <xdr:spPr>
            <a:xfrm>
              <a:off x="13762990" y="12909517"/>
              <a:ext cx="2708413" cy="3802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en-US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p>
                      <m:e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0,37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𝑒</m:t>
                            </m:r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𝑠𝑖𝑛𝑥</m:t>
                            </m:r>
                          </m:sup>
                        </m:s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𝑑𝑥</m:t>
                        </m:r>
                      </m:e>
                    </m:nary>
                    <m:r>
                      <a:rPr lang="en-US" sz="1100" b="0" i="1">
                        <a:latin typeface="Cambria Math" panose="02040503050406030204" pitchFamily="18" charset="0"/>
                      </a:rPr>
                      <m:t>=0,</m:t>
                    </m:r>
                    <m:r>
                      <a:rPr lang="ru-RU" sz="1100" b="0" i="1">
                        <a:latin typeface="Cambria Math" panose="02040503050406030204" pitchFamily="18" charset="0"/>
                      </a:rPr>
                      <m:t>603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87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±0,00</m:t>
                    </m:r>
                    <m:r>
                      <a:rPr lang="ru-RU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0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39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064C0E3E-5E2B-4A1A-9A90-9A1128943D0F}"/>
                </a:ext>
              </a:extLst>
            </xdr:cNvPr>
            <xdr:cNvSpPr txBox="1"/>
          </xdr:nvSpPr>
          <xdr:spPr>
            <a:xfrm>
              <a:off x="13762990" y="12909517"/>
              <a:ext cx="2708413" cy="3802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ru-RU" sz="1100" i="0">
                  <a:latin typeface="Cambria Math" panose="02040503050406030204" pitchFamily="18" charset="0"/>
                </a:rPr>
                <a:t>∫</a:t>
              </a:r>
              <a:r>
                <a:rPr lang="en-US" sz="1100" b="0" i="0">
                  <a:latin typeface="Cambria Math" panose="02040503050406030204" pitchFamily="18" charset="0"/>
                </a:rPr>
                <a:t>_0^1▒〖〖0,37𝑒〗^𝑠𝑖𝑛𝑥 𝑑𝑥〗=0,</a:t>
              </a:r>
              <a:r>
                <a:rPr lang="ru-RU" sz="1100" b="0" i="0">
                  <a:latin typeface="Cambria Math" panose="02040503050406030204" pitchFamily="18" charset="0"/>
                </a:rPr>
                <a:t>603</a:t>
              </a:r>
              <a:r>
                <a:rPr lang="en-US" sz="1100" b="0" i="0">
                  <a:latin typeface="Cambria Math" panose="02040503050406030204" pitchFamily="18" charset="0"/>
                </a:rPr>
                <a:t>87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±0,00</a:t>
              </a:r>
              <a:r>
                <a:rPr lang="ru-RU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0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39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</xdr:col>
      <xdr:colOff>770282</xdr:colOff>
      <xdr:row>5</xdr:row>
      <xdr:rowOff>186358</xdr:rowOff>
    </xdr:from>
    <xdr:ext cx="2451653" cy="18133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E1A5E6B8-57CD-43D6-BB61-BDE69238C919}"/>
                </a:ext>
              </a:extLst>
            </xdr:cNvPr>
            <xdr:cNvSpPr txBox="1"/>
          </xdr:nvSpPr>
          <xdr:spPr>
            <a:xfrm>
              <a:off x="2675282" y="1991967"/>
              <a:ext cx="2451653" cy="1813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0,37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𝑒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𝑠𝑖𝑛𝑥</m:t>
                        </m:r>
                      </m:sup>
                    </m:sSup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func>
                      <m:func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uncPr>
                      <m:fName>
                        <m:sSup>
                          <m:sSup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m:rPr>
                                <m:sty m:val="p"/>
                              </m:rPr>
                              <a:rPr lang="en-US" sz="11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cos</m:t>
                            </m:r>
                          </m:e>
                          <m:sup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3</m:t>
                            </m:r>
                          </m:sup>
                        </m:sSup>
                      </m:fName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</m:func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−3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𝑐𝑜𝑠𝑥𝑠𝑖𝑛𝑥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𝑐𝑜𝑠𝑥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)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E1A5E6B8-57CD-43D6-BB61-BDE69238C919}"/>
                </a:ext>
              </a:extLst>
            </xdr:cNvPr>
            <xdr:cNvSpPr txBox="1"/>
          </xdr:nvSpPr>
          <xdr:spPr>
            <a:xfrm>
              <a:off x="2675282" y="1991967"/>
              <a:ext cx="2451653" cy="1813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〖0,37𝑒〗^𝑠𝑖𝑛𝑥 (cos^3⁡𝑥−3𝑐𝑜𝑠𝑥𝑠𝑖𝑛𝑥−𝑐𝑜𝑠𝑥 )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</xdr:col>
      <xdr:colOff>0</xdr:colOff>
      <xdr:row>7</xdr:row>
      <xdr:rowOff>7454</xdr:rowOff>
    </xdr:from>
    <xdr:ext cx="3793434" cy="18133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86F76A2A-CC7C-4405-AEF4-3F9527856AB9}"/>
                </a:ext>
              </a:extLst>
            </xdr:cNvPr>
            <xdr:cNvSpPr txBox="1"/>
          </xdr:nvSpPr>
          <xdr:spPr>
            <a:xfrm>
              <a:off x="1905000" y="2194063"/>
              <a:ext cx="3793434" cy="1813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0,37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𝑒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𝑠𝑖𝑛𝑥</m:t>
                        </m:r>
                      </m:sup>
                    </m:sSup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func>
                      <m:func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uncPr>
                      <m:fName>
                        <m:sSup>
                          <m:sSup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m:rPr>
                                <m:sty m:val="p"/>
                              </m:rPr>
                              <a:rPr lang="en-US" sz="11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cos</m:t>
                            </m:r>
                          </m:e>
                          <m:sup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4</m:t>
                            </m:r>
                          </m:sup>
                        </m:sSup>
                      </m:fName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</m:func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−6</m:t>
                    </m:r>
                    <m:func>
                      <m:func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uncPr>
                      <m:fName>
                        <m:sSup>
                          <m:sSup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m:rPr>
                                <m:sty m:val="p"/>
                              </m:rPr>
                              <a:rPr lang="en-US" sz="11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cos</m:t>
                            </m:r>
                          </m:e>
                          <m:sup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fName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</m:func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𝑠𝑖𝑛𝑥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−4</m:t>
                    </m:r>
                    <m:func>
                      <m:func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uncPr>
                      <m:fName>
                        <m:sSup>
                          <m:sSup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m:rPr>
                                <m:sty m:val="p"/>
                              </m:rPr>
                              <a:rPr lang="en-US" sz="11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cos</m:t>
                            </m:r>
                          </m:e>
                          <m:sup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fName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</m:func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+3</m:t>
                    </m:r>
                    <m:func>
                      <m:func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uncPr>
                      <m:fName>
                        <m:sSup>
                          <m:sSup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m:rPr>
                                <m:sty m:val="p"/>
                              </m:rPr>
                              <a:rPr lang="en-US" sz="11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sin</m:t>
                            </m:r>
                          </m:e>
                          <m:sup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fName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𝑠𝑖𝑛𝑥</m:t>
                        </m:r>
                      </m:e>
                    </m:func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86F76A2A-CC7C-4405-AEF4-3F9527856AB9}"/>
                </a:ext>
              </a:extLst>
            </xdr:cNvPr>
            <xdr:cNvSpPr txBox="1"/>
          </xdr:nvSpPr>
          <xdr:spPr>
            <a:xfrm>
              <a:off x="1905000" y="2194063"/>
              <a:ext cx="3793434" cy="1813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〖0,37𝑒〗^𝑠𝑖𝑛𝑥 (cos^4⁡𝑥−6 cos^2⁡𝑥 𝑠𝑖𝑛𝑥−4 cos^2⁡𝑥+3 sin^2⁡〖𝑥+𝑠𝑖𝑛𝑥〗)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11</xdr:col>
      <xdr:colOff>932815</xdr:colOff>
      <xdr:row>77</xdr:row>
      <xdr:rowOff>12667</xdr:rowOff>
    </xdr:from>
    <xdr:ext cx="2708413" cy="38023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0C7C39AE-E3F8-47EF-BA29-2A460F722CF4}"/>
                </a:ext>
              </a:extLst>
            </xdr:cNvPr>
            <xdr:cNvSpPr txBox="1"/>
          </xdr:nvSpPr>
          <xdr:spPr>
            <a:xfrm>
              <a:off x="13787424" y="12908689"/>
              <a:ext cx="2708413" cy="3802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en-US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p>
                      <m:e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0,37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𝑒</m:t>
                            </m:r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𝑠𝑖𝑛𝑥</m:t>
                            </m:r>
                          </m:sup>
                        </m:s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𝑑𝑥</m:t>
                        </m:r>
                      </m:e>
                    </m:nary>
                    <m:r>
                      <a:rPr lang="en-US" sz="1100" b="0" i="1">
                        <a:latin typeface="Cambria Math" panose="02040503050406030204" pitchFamily="18" charset="0"/>
                      </a:rPr>
                      <m:t>=0,</m:t>
                    </m:r>
                    <m:r>
                      <a:rPr lang="ru-RU" sz="1100" b="0" i="1">
                        <a:latin typeface="Cambria Math" panose="02040503050406030204" pitchFamily="18" charset="0"/>
                      </a:rPr>
                      <m:t>603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7917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±0,00</m:t>
                    </m:r>
                    <m:r>
                      <a:rPr lang="ru-RU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0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0001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0C7C39AE-E3F8-47EF-BA29-2A460F722CF4}"/>
                </a:ext>
              </a:extLst>
            </xdr:cNvPr>
            <xdr:cNvSpPr txBox="1"/>
          </xdr:nvSpPr>
          <xdr:spPr>
            <a:xfrm>
              <a:off x="13787424" y="12908689"/>
              <a:ext cx="2708413" cy="3802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ru-RU" sz="1100" i="0">
                  <a:latin typeface="Cambria Math" panose="02040503050406030204" pitchFamily="18" charset="0"/>
                </a:rPr>
                <a:t>∫</a:t>
              </a:r>
              <a:r>
                <a:rPr lang="en-US" sz="1100" b="0" i="0">
                  <a:latin typeface="Cambria Math" panose="02040503050406030204" pitchFamily="18" charset="0"/>
                </a:rPr>
                <a:t>_0^1▒〖〖0,37𝑒〗^𝑠𝑖𝑛𝑥 𝑑𝑥〗=0,</a:t>
              </a:r>
              <a:r>
                <a:rPr lang="ru-RU" sz="1100" b="0" i="0">
                  <a:latin typeface="Cambria Math" panose="02040503050406030204" pitchFamily="18" charset="0"/>
                </a:rPr>
                <a:t>603</a:t>
              </a:r>
              <a:r>
                <a:rPr lang="en-US" sz="1100" b="0" i="0">
                  <a:latin typeface="Cambria Math" panose="02040503050406030204" pitchFamily="18" charset="0"/>
                </a:rPr>
                <a:t>7917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±0,00</a:t>
              </a:r>
              <a:r>
                <a:rPr lang="ru-RU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0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0001</a:t>
              </a:r>
              <a:endParaRPr lang="ru-RU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79"/>
  <sheetViews>
    <sheetView tabSelected="1" zoomScale="85" zoomScaleNormal="85" workbookViewId="0">
      <selection activeCell="F13" sqref="F13:AA13"/>
    </sheetView>
  </sheetViews>
  <sheetFormatPr defaultRowHeight="15" x14ac:dyDescent="0.25"/>
  <cols>
    <col min="1" max="1" width="28.5703125" customWidth="1"/>
    <col min="2" max="2" width="57.28515625" customWidth="1"/>
    <col min="3" max="3" width="6.28515625" customWidth="1"/>
    <col min="4" max="4" width="19.5703125" customWidth="1"/>
    <col min="5" max="5" width="6.28515625" customWidth="1"/>
    <col min="6" max="7" width="14" customWidth="1"/>
    <col min="8" max="8" width="15.140625" customWidth="1"/>
    <col min="9" max="9" width="14.85546875" customWidth="1"/>
    <col min="10" max="28" width="14" customWidth="1"/>
  </cols>
  <sheetData>
    <row r="1" spans="1:36" ht="33" customHeight="1" x14ac:dyDescent="0.25">
      <c r="A1" s="12" t="s">
        <v>0</v>
      </c>
      <c r="B1" s="13"/>
      <c r="C1" s="3"/>
      <c r="D1" s="4"/>
      <c r="E1" s="4"/>
      <c r="F1" s="23" t="s">
        <v>14</v>
      </c>
      <c r="H1" s="44" t="s">
        <v>17</v>
      </c>
      <c r="I1" s="44"/>
      <c r="J1" s="44"/>
    </row>
    <row r="2" spans="1:36" ht="30" customHeight="1" x14ac:dyDescent="0.25">
      <c r="A2" s="14" t="s">
        <v>6</v>
      </c>
      <c r="B2" s="15"/>
      <c r="D2" s="4"/>
      <c r="E2" s="4"/>
      <c r="F2" s="2"/>
      <c r="H2" s="22" t="s">
        <v>15</v>
      </c>
      <c r="I2" s="22" t="s">
        <v>16</v>
      </c>
      <c r="J2" s="22" t="s">
        <v>24</v>
      </c>
    </row>
    <row r="3" spans="1:36" ht="48.75" customHeight="1" x14ac:dyDescent="0.25">
      <c r="A3" s="16" t="s">
        <v>1</v>
      </c>
      <c r="B3" s="17">
        <v>0.60379179999999999</v>
      </c>
      <c r="C3" s="4"/>
      <c r="D3" s="4"/>
      <c r="E3" s="4"/>
      <c r="H3" s="9">
        <v>1</v>
      </c>
      <c r="I3" s="9">
        <v>2</v>
      </c>
      <c r="J3" s="9">
        <v>4</v>
      </c>
      <c r="AG3" s="1"/>
      <c r="AJ3" s="1"/>
    </row>
    <row r="4" spans="1:36" x14ac:dyDescent="0.25">
      <c r="A4" s="18" t="s">
        <v>2</v>
      </c>
      <c r="B4" s="19" t="s">
        <v>3</v>
      </c>
    </row>
    <row r="5" spans="1:36" x14ac:dyDescent="0.25">
      <c r="A5" s="14" t="s">
        <v>29</v>
      </c>
      <c r="B5" s="15"/>
      <c r="E5" s="4"/>
      <c r="F5" s="4"/>
      <c r="G5" s="4"/>
    </row>
    <row r="6" spans="1:36" x14ac:dyDescent="0.25">
      <c r="A6" s="14" t="s">
        <v>30</v>
      </c>
      <c r="B6" s="15"/>
      <c r="D6" s="2" t="s">
        <v>7</v>
      </c>
      <c r="E6" s="4"/>
      <c r="F6" s="39" t="s">
        <v>4</v>
      </c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</row>
    <row r="7" spans="1:36" x14ac:dyDescent="0.25">
      <c r="A7" s="16" t="s">
        <v>32</v>
      </c>
      <c r="B7" s="29"/>
      <c r="D7" s="20">
        <v>10</v>
      </c>
      <c r="E7" s="4"/>
      <c r="F7" s="32" t="s">
        <v>11</v>
      </c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</row>
    <row r="8" spans="1:36" ht="15.75" thickBot="1" x14ac:dyDescent="0.3">
      <c r="A8" s="30" t="s">
        <v>33</v>
      </c>
      <c r="B8" s="31"/>
      <c r="E8" s="4"/>
      <c r="F8" s="10" t="s">
        <v>23</v>
      </c>
      <c r="G8">
        <v>0</v>
      </c>
      <c r="H8" s="2">
        <v>1</v>
      </c>
      <c r="I8" s="2">
        <v>2</v>
      </c>
      <c r="J8" s="2">
        <v>3</v>
      </c>
      <c r="K8" s="2">
        <v>4</v>
      </c>
      <c r="L8" s="2">
        <v>5</v>
      </c>
      <c r="M8" s="2">
        <v>6</v>
      </c>
      <c r="N8" s="2">
        <v>7</v>
      </c>
      <c r="O8" s="2">
        <v>8</v>
      </c>
      <c r="P8" s="2">
        <v>9</v>
      </c>
      <c r="Q8" s="2">
        <v>10</v>
      </c>
    </row>
    <row r="9" spans="1:36" x14ac:dyDescent="0.25">
      <c r="A9" s="6"/>
      <c r="B9" s="5"/>
      <c r="D9" s="2" t="s">
        <v>10</v>
      </c>
      <c r="E9" s="4"/>
      <c r="F9" s="10" t="s">
        <v>5</v>
      </c>
      <c r="G9" s="2">
        <v>0</v>
      </c>
      <c r="H9" s="2">
        <f t="shared" ref="H9:Q9" si="0">G9+$D$10</f>
        <v>0.1</v>
      </c>
      <c r="I9" s="2">
        <f t="shared" si="0"/>
        <v>0.2</v>
      </c>
      <c r="J9" s="2">
        <f t="shared" si="0"/>
        <v>0.30000000000000004</v>
      </c>
      <c r="K9" s="2">
        <f t="shared" si="0"/>
        <v>0.4</v>
      </c>
      <c r="L9" s="2">
        <f t="shared" si="0"/>
        <v>0.5</v>
      </c>
      <c r="M9" s="2">
        <f t="shared" si="0"/>
        <v>0.6</v>
      </c>
      <c r="N9" s="2">
        <f t="shared" si="0"/>
        <v>0.7</v>
      </c>
      <c r="O9" s="2">
        <f t="shared" si="0"/>
        <v>0.79999999999999993</v>
      </c>
      <c r="P9" s="2">
        <f t="shared" si="0"/>
        <v>0.89999999999999991</v>
      </c>
      <c r="Q9" s="2">
        <f t="shared" si="0"/>
        <v>0.99999999999999989</v>
      </c>
    </row>
    <row r="10" spans="1:36" x14ac:dyDescent="0.25">
      <c r="A10" s="6"/>
      <c r="B10" s="5"/>
      <c r="D10" s="2">
        <f>1/D7</f>
        <v>0.1</v>
      </c>
      <c r="E10" s="4"/>
      <c r="F10" s="10" t="s">
        <v>26</v>
      </c>
      <c r="G10" s="21">
        <f t="shared" ref="G10:Q10" si="1">0.37*EXP(SIN(G9))</f>
        <v>0.37</v>
      </c>
      <c r="H10" s="21">
        <f t="shared" si="1"/>
        <v>0.40884512722272498</v>
      </c>
      <c r="I10" s="21">
        <f t="shared" si="1"/>
        <v>0.45131806572022898</v>
      </c>
      <c r="J10" s="21">
        <f t="shared" si="1"/>
        <v>0.49721534018071184</v>
      </c>
      <c r="K10" s="21">
        <f t="shared" si="1"/>
        <v>0.54616512018491947</v>
      </c>
      <c r="L10" s="21">
        <f t="shared" si="1"/>
        <v>0.59760412968357102</v>
      </c>
      <c r="M10" s="21">
        <f t="shared" si="1"/>
        <v>0.65076297293378726</v>
      </c>
      <c r="N10" s="21">
        <f t="shared" si="1"/>
        <v>0.70466371772309011</v>
      </c>
      <c r="O10" s="21">
        <f t="shared" si="1"/>
        <v>0.75813320056078137</v>
      </c>
      <c r="P10" s="21">
        <f t="shared" si="1"/>
        <v>0.80983450766370679</v>
      </c>
      <c r="Q10" s="21">
        <f t="shared" si="1"/>
        <v>0.85831742514486564</v>
      </c>
      <c r="R10" s="10" t="s">
        <v>9</v>
      </c>
    </row>
    <row r="11" spans="1:36" x14ac:dyDescent="0.25">
      <c r="A11" s="6"/>
      <c r="B11" s="5"/>
      <c r="E11" s="4"/>
      <c r="F11" s="10" t="s">
        <v>8</v>
      </c>
      <c r="G11" s="21">
        <f t="shared" ref="G11:P11" si="2">G10*$D$10</f>
        <v>3.6999999999999998E-2</v>
      </c>
      <c r="H11" s="21">
        <f t="shared" si="2"/>
        <v>4.0884512722272504E-2</v>
      </c>
      <c r="I11" s="21">
        <f t="shared" si="2"/>
        <v>4.5131806572022898E-2</v>
      </c>
      <c r="J11" s="21">
        <f t="shared" si="2"/>
        <v>4.9721534018071188E-2</v>
      </c>
      <c r="K11" s="21">
        <f t="shared" si="2"/>
        <v>5.461651201849195E-2</v>
      </c>
      <c r="L11" s="21">
        <f t="shared" si="2"/>
        <v>5.9760412968357102E-2</v>
      </c>
      <c r="M11" s="21">
        <f t="shared" si="2"/>
        <v>6.5076297293378729E-2</v>
      </c>
      <c r="N11" s="21">
        <f t="shared" si="2"/>
        <v>7.0466371772309008E-2</v>
      </c>
      <c r="O11" s="21">
        <f t="shared" si="2"/>
        <v>7.5813320056078146E-2</v>
      </c>
      <c r="P11" s="21">
        <f t="shared" si="2"/>
        <v>8.0983450766370688E-2</v>
      </c>
      <c r="Q11" s="21"/>
      <c r="R11" s="21">
        <f>SUM(G11:P11)</f>
        <v>0.57945421818735221</v>
      </c>
    </row>
    <row r="12" spans="1:36" x14ac:dyDescent="0.25">
      <c r="A12" s="6"/>
      <c r="B12" s="5"/>
      <c r="E12" s="4"/>
    </row>
    <row r="13" spans="1:36" x14ac:dyDescent="0.25">
      <c r="A13" s="6"/>
      <c r="B13" s="5"/>
      <c r="D13" s="2" t="s">
        <v>7</v>
      </c>
      <c r="E13" s="4"/>
      <c r="F13" s="32" t="s">
        <v>12</v>
      </c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1:36" x14ac:dyDescent="0.25">
      <c r="A14" s="6"/>
      <c r="B14" s="5"/>
      <c r="D14" s="20">
        <f>D7*2</f>
        <v>20</v>
      </c>
      <c r="E14" s="4"/>
      <c r="F14" s="10" t="s">
        <v>23</v>
      </c>
      <c r="G14">
        <v>0</v>
      </c>
      <c r="H14" s="2">
        <v>1</v>
      </c>
      <c r="I14" s="2">
        <v>2</v>
      </c>
      <c r="J14" s="2">
        <v>3</v>
      </c>
      <c r="K14" s="2">
        <v>4</v>
      </c>
      <c r="L14" s="2">
        <v>5</v>
      </c>
      <c r="M14" s="2">
        <v>6</v>
      </c>
      <c r="N14" s="2">
        <v>7</v>
      </c>
      <c r="O14" s="2">
        <v>8</v>
      </c>
      <c r="P14" s="2">
        <v>9</v>
      </c>
      <c r="Q14" s="2">
        <v>10</v>
      </c>
      <c r="R14" s="2">
        <v>11</v>
      </c>
      <c r="S14" s="2">
        <v>12</v>
      </c>
      <c r="T14" s="2">
        <v>13</v>
      </c>
      <c r="U14" s="2">
        <v>14</v>
      </c>
      <c r="V14" s="2">
        <v>15</v>
      </c>
      <c r="W14" s="2">
        <v>16</v>
      </c>
      <c r="X14" s="2">
        <v>17</v>
      </c>
      <c r="Y14" s="2">
        <v>18</v>
      </c>
      <c r="Z14" s="2">
        <v>19</v>
      </c>
      <c r="AA14" s="2">
        <v>20</v>
      </c>
    </row>
    <row r="15" spans="1:36" x14ac:dyDescent="0.25">
      <c r="A15" s="6"/>
      <c r="B15" s="5"/>
      <c r="E15" s="4"/>
      <c r="F15" s="10" t="s">
        <v>5</v>
      </c>
      <c r="G15" s="2">
        <v>0</v>
      </c>
      <c r="H15" s="2">
        <f>G15+$D$17</f>
        <v>0.05</v>
      </c>
      <c r="I15" s="2">
        <f t="shared" ref="I15:AA15" si="3">H15+$D$17</f>
        <v>0.1</v>
      </c>
      <c r="J15" s="2">
        <f t="shared" si="3"/>
        <v>0.15000000000000002</v>
      </c>
      <c r="K15" s="2">
        <f t="shared" si="3"/>
        <v>0.2</v>
      </c>
      <c r="L15" s="2">
        <f t="shared" si="3"/>
        <v>0.25</v>
      </c>
      <c r="M15" s="2">
        <f t="shared" si="3"/>
        <v>0.3</v>
      </c>
      <c r="N15" s="2">
        <f t="shared" si="3"/>
        <v>0.35</v>
      </c>
      <c r="O15" s="2">
        <f t="shared" si="3"/>
        <v>0.39999999999999997</v>
      </c>
      <c r="P15" s="2">
        <f t="shared" si="3"/>
        <v>0.44999999999999996</v>
      </c>
      <c r="Q15" s="2">
        <f t="shared" si="3"/>
        <v>0.49999999999999994</v>
      </c>
      <c r="R15" s="2">
        <f t="shared" si="3"/>
        <v>0.54999999999999993</v>
      </c>
      <c r="S15" s="2">
        <f t="shared" si="3"/>
        <v>0.6</v>
      </c>
      <c r="T15" s="2">
        <f t="shared" si="3"/>
        <v>0.65</v>
      </c>
      <c r="U15" s="2">
        <f t="shared" si="3"/>
        <v>0.70000000000000007</v>
      </c>
      <c r="V15" s="2">
        <f t="shared" si="3"/>
        <v>0.75000000000000011</v>
      </c>
      <c r="W15" s="2">
        <f t="shared" si="3"/>
        <v>0.80000000000000016</v>
      </c>
      <c r="X15" s="2">
        <f t="shared" si="3"/>
        <v>0.8500000000000002</v>
      </c>
      <c r="Y15" s="2">
        <f t="shared" si="3"/>
        <v>0.90000000000000024</v>
      </c>
      <c r="Z15" s="2">
        <f t="shared" si="3"/>
        <v>0.95000000000000029</v>
      </c>
      <c r="AA15" s="2">
        <f t="shared" si="3"/>
        <v>1.0000000000000002</v>
      </c>
    </row>
    <row r="16" spans="1:36" x14ac:dyDescent="0.25">
      <c r="A16" s="6"/>
      <c r="B16" s="5"/>
      <c r="D16" s="2" t="s">
        <v>10</v>
      </c>
      <c r="E16" s="4"/>
      <c r="F16" s="10" t="s">
        <v>26</v>
      </c>
      <c r="G16" s="21">
        <f>0.37*EXP(SIN(G15))</f>
        <v>0.37</v>
      </c>
      <c r="H16" s="21">
        <f>0.37*EXP(SIN(H15))</f>
        <v>0.38896220320836777</v>
      </c>
      <c r="I16" s="21">
        <f t="shared" ref="I16:AA16" si="4">0.37*EXP(SIN(I15))</f>
        <v>0.40884512722272498</v>
      </c>
      <c r="J16" s="21">
        <f t="shared" si="4"/>
        <v>0.42963720278719819</v>
      </c>
      <c r="K16" s="21">
        <f t="shared" si="4"/>
        <v>0.45131806572022898</v>
      </c>
      <c r="L16" s="21">
        <f t="shared" si="4"/>
        <v>0.47385765225434467</v>
      </c>
      <c r="M16" s="21">
        <f t="shared" si="4"/>
        <v>0.49721534018071173</v>
      </c>
      <c r="N16" s="21">
        <f t="shared" si="4"/>
        <v>0.52133916221487953</v>
      </c>
      <c r="O16" s="21">
        <f t="shared" si="4"/>
        <v>0.54616512018491936</v>
      </c>
      <c r="P16" s="21">
        <f t="shared" si="4"/>
        <v>0.57161663019728493</v>
      </c>
      <c r="Q16" s="21">
        <f t="shared" si="4"/>
        <v>0.59760412968357102</v>
      </c>
      <c r="R16" s="21">
        <f t="shared" si="4"/>
        <v>0.62402487700436149</v>
      </c>
      <c r="S16" s="21">
        <f t="shared" si="4"/>
        <v>0.65076297293378726</v>
      </c>
      <c r="T16" s="21">
        <f t="shared" si="4"/>
        <v>0.67768963074901967</v>
      </c>
      <c r="U16" s="21">
        <f t="shared" si="4"/>
        <v>0.70466371772309022</v>
      </c>
      <c r="V16" s="21">
        <f t="shared" si="4"/>
        <v>0.73153258554060197</v>
      </c>
      <c r="W16" s="21">
        <f t="shared" si="4"/>
        <v>0.75813320056078159</v>
      </c>
      <c r="X16" s="21">
        <f t="shared" si="4"/>
        <v>0.78429357704846281</v>
      </c>
      <c r="Y16" s="21">
        <f t="shared" si="4"/>
        <v>0.80983450766370702</v>
      </c>
      <c r="Z16" s="21">
        <f t="shared" si="4"/>
        <v>0.8345715759027349</v>
      </c>
      <c r="AA16" s="21">
        <f t="shared" si="4"/>
        <v>0.85831742514486575</v>
      </c>
      <c r="AB16" s="10" t="s">
        <v>9</v>
      </c>
    </row>
    <row r="17" spans="1:28" x14ac:dyDescent="0.25">
      <c r="A17" s="6"/>
      <c r="B17" s="5"/>
      <c r="D17" s="2">
        <f>1/D14</f>
        <v>0.05</v>
      </c>
      <c r="E17" s="4"/>
      <c r="F17" s="10" t="s">
        <v>8</v>
      </c>
      <c r="G17" s="21">
        <f>G16*$D$17</f>
        <v>1.8499999999999999E-2</v>
      </c>
      <c r="H17" s="21">
        <f t="shared" ref="H17:Z17" si="5">H16*$D$17</f>
        <v>1.9448110160418391E-2</v>
      </c>
      <c r="I17" s="21">
        <f t="shared" si="5"/>
        <v>2.0442256361136252E-2</v>
      </c>
      <c r="J17" s="21">
        <f t="shared" si="5"/>
        <v>2.1481860139359911E-2</v>
      </c>
      <c r="K17" s="21">
        <f t="shared" si="5"/>
        <v>2.2565903286011449E-2</v>
      </c>
      <c r="L17" s="21">
        <f t="shared" si="5"/>
        <v>2.3692882612717237E-2</v>
      </c>
      <c r="M17" s="21">
        <f t="shared" si="5"/>
        <v>2.4860767009035587E-2</v>
      </c>
      <c r="N17" s="21">
        <f t="shared" si="5"/>
        <v>2.6066958110743978E-2</v>
      </c>
      <c r="O17" s="21">
        <f t="shared" si="5"/>
        <v>2.7308256009245968E-2</v>
      </c>
      <c r="P17" s="21">
        <f t="shared" si="5"/>
        <v>2.8580831509864249E-2</v>
      </c>
      <c r="Q17" s="21">
        <f t="shared" si="5"/>
        <v>2.9880206484178551E-2</v>
      </c>
      <c r="R17" s="21">
        <f t="shared" si="5"/>
        <v>3.1201243850218077E-2</v>
      </c>
      <c r="S17" s="21">
        <f t="shared" si="5"/>
        <v>3.2538148646689365E-2</v>
      </c>
      <c r="T17" s="21">
        <f t="shared" si="5"/>
        <v>3.3884481537450988E-2</v>
      </c>
      <c r="U17" s="21">
        <f t="shared" si="5"/>
        <v>3.5233185886154511E-2</v>
      </c>
      <c r="V17" s="21">
        <f t="shared" si="5"/>
        <v>3.65766292770301E-2</v>
      </c>
      <c r="W17" s="21">
        <f t="shared" si="5"/>
        <v>3.790666002803908E-2</v>
      </c>
      <c r="X17" s="21">
        <f t="shared" si="5"/>
        <v>3.9214678852423142E-2</v>
      </c>
      <c r="Y17" s="21">
        <f t="shared" si="5"/>
        <v>4.0491725383185351E-2</v>
      </c>
      <c r="Z17" s="21">
        <f t="shared" si="5"/>
        <v>4.172857879513675E-2</v>
      </c>
      <c r="AA17" s="2"/>
      <c r="AB17" s="21">
        <f>SUM(G17:Z17)</f>
        <v>0.59160336393903901</v>
      </c>
    </row>
    <row r="18" spans="1:28" ht="15.75" thickBot="1" x14ac:dyDescent="0.3">
      <c r="A18" s="6"/>
      <c r="B18" s="5"/>
      <c r="E18" s="4"/>
    </row>
    <row r="19" spans="1:28" x14ac:dyDescent="0.25">
      <c r="A19" s="6"/>
      <c r="B19" s="5"/>
      <c r="E19" s="4"/>
      <c r="F19" s="43" t="s">
        <v>13</v>
      </c>
      <c r="G19" s="43"/>
      <c r="H19" s="2">
        <f>ABS(AB17-R11)/(POWER(2,H3)-1)</f>
        <v>1.2149145751686796E-2</v>
      </c>
      <c r="L19" s="33"/>
      <c r="M19" s="34"/>
      <c r="N19" s="34"/>
      <c r="O19" s="34"/>
      <c r="P19" s="35"/>
    </row>
    <row r="20" spans="1:28" ht="15.75" thickBot="1" x14ac:dyDescent="0.3">
      <c r="A20" s="6"/>
      <c r="B20" s="5"/>
      <c r="E20" s="4"/>
      <c r="L20" s="36"/>
      <c r="M20" s="37"/>
      <c r="N20" s="37"/>
      <c r="O20" s="37"/>
      <c r="P20" s="38"/>
    </row>
    <row r="21" spans="1:28" x14ac:dyDescent="0.25">
      <c r="A21" s="6"/>
      <c r="B21" s="5"/>
      <c r="E21" s="4"/>
    </row>
    <row r="22" spans="1:28" x14ac:dyDescent="0.25">
      <c r="A22" s="6"/>
      <c r="B22" s="5"/>
      <c r="E22" s="4"/>
    </row>
    <row r="23" spans="1:28" x14ac:dyDescent="0.25">
      <c r="A23" s="6"/>
      <c r="B23" s="5"/>
      <c r="E23" s="4"/>
      <c r="F23" s="32" t="s">
        <v>19</v>
      </c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</row>
    <row r="24" spans="1:28" x14ac:dyDescent="0.25">
      <c r="A24" s="6"/>
      <c r="B24" s="5"/>
      <c r="C24" s="4"/>
      <c r="E24" s="4"/>
      <c r="F24" s="10" t="s">
        <v>23</v>
      </c>
      <c r="G24" s="2">
        <v>0</v>
      </c>
      <c r="H24" s="2">
        <v>1</v>
      </c>
      <c r="I24" s="2">
        <v>2</v>
      </c>
      <c r="J24" s="2">
        <v>3</v>
      </c>
      <c r="K24" s="2">
        <v>4</v>
      </c>
      <c r="L24" s="2">
        <v>5</v>
      </c>
      <c r="M24" s="2">
        <v>6</v>
      </c>
      <c r="N24" s="2">
        <v>7</v>
      </c>
      <c r="O24" s="2">
        <v>8</v>
      </c>
      <c r="P24" s="2">
        <v>9</v>
      </c>
      <c r="Q24" s="2">
        <v>10</v>
      </c>
    </row>
    <row r="25" spans="1:28" x14ac:dyDescent="0.25">
      <c r="A25" s="6"/>
      <c r="B25" s="5"/>
      <c r="C25" s="4"/>
      <c r="F25" s="10" t="s">
        <v>5</v>
      </c>
      <c r="G25" s="2">
        <v>0</v>
      </c>
      <c r="H25" s="2">
        <f>G25+$D$10</f>
        <v>0.1</v>
      </c>
      <c r="I25" s="2">
        <f>H25+$D$10</f>
        <v>0.2</v>
      </c>
      <c r="J25" s="2">
        <f t="shared" ref="J25:Q25" si="6">I25+$D$10</f>
        <v>0.30000000000000004</v>
      </c>
      <c r="K25" s="2">
        <f t="shared" si="6"/>
        <v>0.4</v>
      </c>
      <c r="L25" s="2">
        <f t="shared" si="6"/>
        <v>0.5</v>
      </c>
      <c r="M25" s="2">
        <f t="shared" si="6"/>
        <v>0.6</v>
      </c>
      <c r="N25" s="2">
        <f t="shared" si="6"/>
        <v>0.7</v>
      </c>
      <c r="O25" s="2">
        <f t="shared" si="6"/>
        <v>0.79999999999999993</v>
      </c>
      <c r="P25" s="2">
        <f t="shared" si="6"/>
        <v>0.89999999999999991</v>
      </c>
      <c r="Q25" s="2">
        <f t="shared" si="6"/>
        <v>0.99999999999999989</v>
      </c>
    </row>
    <row r="26" spans="1:28" x14ac:dyDescent="0.25">
      <c r="A26" s="6"/>
      <c r="B26" s="5"/>
      <c r="C26" s="4"/>
      <c r="F26" s="10" t="s">
        <v>26</v>
      </c>
      <c r="G26" s="21">
        <f>0.37*EXP(SIN(G25))</f>
        <v>0.37</v>
      </c>
      <c r="H26" s="21">
        <f>0.37*EXP(SIN(H25))</f>
        <v>0.40884512722272498</v>
      </c>
      <c r="I26" s="21">
        <f t="shared" ref="I26:Q26" si="7">0.37*EXP(SIN(I25))</f>
        <v>0.45131806572022898</v>
      </c>
      <c r="J26" s="21">
        <f t="shared" si="7"/>
        <v>0.49721534018071184</v>
      </c>
      <c r="K26" s="21">
        <f t="shared" si="7"/>
        <v>0.54616512018491947</v>
      </c>
      <c r="L26" s="21">
        <f t="shared" si="7"/>
        <v>0.59760412968357102</v>
      </c>
      <c r="M26" s="21">
        <f t="shared" si="7"/>
        <v>0.65076297293378726</v>
      </c>
      <c r="N26" s="21">
        <f t="shared" si="7"/>
        <v>0.70466371772309011</v>
      </c>
      <c r="O26" s="21">
        <f t="shared" si="7"/>
        <v>0.75813320056078137</v>
      </c>
      <c r="P26" s="21">
        <f t="shared" si="7"/>
        <v>0.80983450766370679</v>
      </c>
      <c r="Q26" s="21">
        <f t="shared" si="7"/>
        <v>0.85831742514486564</v>
      </c>
      <c r="R26" s="10" t="s">
        <v>9</v>
      </c>
    </row>
    <row r="27" spans="1:28" x14ac:dyDescent="0.25">
      <c r="A27" s="6"/>
      <c r="B27" s="5"/>
      <c r="C27" s="4"/>
      <c r="F27" s="10" t="s">
        <v>8</v>
      </c>
      <c r="G27" s="2"/>
      <c r="H27" s="21">
        <f>H26*$D$10</f>
        <v>4.0884512722272504E-2</v>
      </c>
      <c r="I27" s="21">
        <f t="shared" ref="I27:Q27" si="8">I26*$D$10</f>
        <v>4.5131806572022898E-2</v>
      </c>
      <c r="J27" s="21">
        <f t="shared" si="8"/>
        <v>4.9721534018071188E-2</v>
      </c>
      <c r="K27" s="21">
        <f t="shared" si="8"/>
        <v>5.461651201849195E-2</v>
      </c>
      <c r="L27" s="21">
        <f t="shared" si="8"/>
        <v>5.9760412968357102E-2</v>
      </c>
      <c r="M27" s="21">
        <f t="shared" si="8"/>
        <v>6.5076297293378729E-2</v>
      </c>
      <c r="N27" s="21">
        <f t="shared" si="8"/>
        <v>7.0466371772309008E-2</v>
      </c>
      <c r="O27" s="21">
        <f t="shared" si="8"/>
        <v>7.5813320056078146E-2</v>
      </c>
      <c r="P27" s="21">
        <f t="shared" si="8"/>
        <v>8.0983450766370688E-2</v>
      </c>
      <c r="Q27" s="21">
        <f t="shared" si="8"/>
        <v>8.5831742514486567E-2</v>
      </c>
      <c r="R27" s="21">
        <f>SUM(H27:Q27)</f>
        <v>0.62828596070183873</v>
      </c>
    </row>
    <row r="28" spans="1:28" x14ac:dyDescent="0.25">
      <c r="A28" s="6"/>
      <c r="B28" s="5"/>
      <c r="C28" s="4"/>
    </row>
    <row r="29" spans="1:28" x14ac:dyDescent="0.25">
      <c r="A29" s="6"/>
      <c r="B29" s="5"/>
      <c r="C29" s="4"/>
      <c r="F29" s="32" t="s">
        <v>18</v>
      </c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</row>
    <row r="30" spans="1:28" ht="17.25" customHeight="1" thickBot="1" x14ac:dyDescent="0.3">
      <c r="A30" s="7"/>
      <c r="B30" s="8"/>
      <c r="C30" s="4"/>
      <c r="F30" s="10" t="s">
        <v>23</v>
      </c>
      <c r="G30" s="2">
        <v>0</v>
      </c>
      <c r="H30" s="2">
        <v>1</v>
      </c>
      <c r="I30" s="2">
        <v>2</v>
      </c>
      <c r="J30" s="2">
        <v>3</v>
      </c>
      <c r="K30" s="2">
        <v>4</v>
      </c>
      <c r="L30" s="2">
        <v>5</v>
      </c>
      <c r="M30" s="2">
        <v>6</v>
      </c>
      <c r="N30" s="2">
        <v>7</v>
      </c>
      <c r="O30" s="2">
        <v>8</v>
      </c>
      <c r="P30" s="2">
        <v>9</v>
      </c>
      <c r="Q30" s="2">
        <v>10</v>
      </c>
      <c r="R30" s="2">
        <v>11</v>
      </c>
      <c r="S30" s="2">
        <v>12</v>
      </c>
      <c r="T30" s="2">
        <v>13</v>
      </c>
      <c r="U30" s="2">
        <v>14</v>
      </c>
      <c r="V30" s="2">
        <v>15</v>
      </c>
      <c r="W30" s="2">
        <v>16</v>
      </c>
      <c r="X30" s="2">
        <v>17</v>
      </c>
      <c r="Y30" s="2">
        <v>18</v>
      </c>
      <c r="Z30" s="2">
        <v>19</v>
      </c>
      <c r="AA30" s="2">
        <v>20</v>
      </c>
    </row>
    <row r="31" spans="1:28" x14ac:dyDescent="0.25">
      <c r="A31" s="6"/>
      <c r="B31" s="5"/>
      <c r="F31" s="10" t="s">
        <v>5</v>
      </c>
      <c r="G31" s="2">
        <v>0</v>
      </c>
      <c r="H31" s="2">
        <f t="shared" ref="H31:AA31" si="9">G31+$D$17</f>
        <v>0.05</v>
      </c>
      <c r="I31" s="2">
        <f t="shared" si="9"/>
        <v>0.1</v>
      </c>
      <c r="J31" s="2">
        <f t="shared" si="9"/>
        <v>0.15000000000000002</v>
      </c>
      <c r="K31" s="2">
        <f t="shared" si="9"/>
        <v>0.2</v>
      </c>
      <c r="L31" s="2">
        <f t="shared" si="9"/>
        <v>0.25</v>
      </c>
      <c r="M31" s="2">
        <f t="shared" si="9"/>
        <v>0.3</v>
      </c>
      <c r="N31" s="2">
        <f t="shared" si="9"/>
        <v>0.35</v>
      </c>
      <c r="O31" s="2">
        <f t="shared" si="9"/>
        <v>0.39999999999999997</v>
      </c>
      <c r="P31" s="2">
        <f t="shared" si="9"/>
        <v>0.44999999999999996</v>
      </c>
      <c r="Q31" s="2">
        <f t="shared" si="9"/>
        <v>0.49999999999999994</v>
      </c>
      <c r="R31" s="2">
        <f t="shared" si="9"/>
        <v>0.54999999999999993</v>
      </c>
      <c r="S31" s="2">
        <f t="shared" si="9"/>
        <v>0.6</v>
      </c>
      <c r="T31" s="2">
        <f t="shared" si="9"/>
        <v>0.65</v>
      </c>
      <c r="U31" s="2">
        <f t="shared" si="9"/>
        <v>0.70000000000000007</v>
      </c>
      <c r="V31" s="2">
        <f t="shared" si="9"/>
        <v>0.75000000000000011</v>
      </c>
      <c r="W31" s="2">
        <f t="shared" si="9"/>
        <v>0.80000000000000016</v>
      </c>
      <c r="X31" s="2">
        <f t="shared" si="9"/>
        <v>0.8500000000000002</v>
      </c>
      <c r="Y31" s="2">
        <f t="shared" si="9"/>
        <v>0.90000000000000024</v>
      </c>
      <c r="Z31" s="2">
        <f t="shared" si="9"/>
        <v>0.95000000000000029</v>
      </c>
      <c r="AA31" s="2">
        <f t="shared" si="9"/>
        <v>1.0000000000000002</v>
      </c>
    </row>
    <row r="32" spans="1:28" x14ac:dyDescent="0.25">
      <c r="A32" s="6"/>
      <c r="B32" s="5"/>
      <c r="D32" s="4"/>
      <c r="E32" s="4"/>
      <c r="F32" s="10" t="s">
        <v>26</v>
      </c>
      <c r="G32" s="21">
        <f t="shared" ref="G32:AA32" si="10">0.37*EXP(SIN(G31))</f>
        <v>0.37</v>
      </c>
      <c r="H32" s="21">
        <f t="shared" si="10"/>
        <v>0.38896220320836777</v>
      </c>
      <c r="I32" s="21">
        <f t="shared" si="10"/>
        <v>0.40884512722272498</v>
      </c>
      <c r="J32" s="21">
        <f t="shared" si="10"/>
        <v>0.42963720278719819</v>
      </c>
      <c r="K32" s="21">
        <f t="shared" si="10"/>
        <v>0.45131806572022898</v>
      </c>
      <c r="L32" s="21">
        <f t="shared" si="10"/>
        <v>0.47385765225434467</v>
      </c>
      <c r="M32" s="21">
        <f t="shared" si="10"/>
        <v>0.49721534018071173</v>
      </c>
      <c r="N32" s="21">
        <f t="shared" si="10"/>
        <v>0.52133916221487953</v>
      </c>
      <c r="O32" s="21">
        <f t="shared" si="10"/>
        <v>0.54616512018491936</v>
      </c>
      <c r="P32" s="21">
        <f t="shared" si="10"/>
        <v>0.57161663019728493</v>
      </c>
      <c r="Q32" s="21">
        <f t="shared" si="10"/>
        <v>0.59760412968357102</v>
      </c>
      <c r="R32" s="21">
        <f t="shared" si="10"/>
        <v>0.62402487700436149</v>
      </c>
      <c r="S32" s="21">
        <f t="shared" si="10"/>
        <v>0.65076297293378726</v>
      </c>
      <c r="T32" s="21">
        <f t="shared" si="10"/>
        <v>0.67768963074901967</v>
      </c>
      <c r="U32" s="21">
        <f t="shared" si="10"/>
        <v>0.70466371772309022</v>
      </c>
      <c r="V32" s="21">
        <f t="shared" si="10"/>
        <v>0.73153258554060197</v>
      </c>
      <c r="W32" s="21">
        <f t="shared" si="10"/>
        <v>0.75813320056078159</v>
      </c>
      <c r="X32" s="21">
        <f t="shared" si="10"/>
        <v>0.78429357704846281</v>
      </c>
      <c r="Y32" s="21">
        <f t="shared" si="10"/>
        <v>0.80983450766370702</v>
      </c>
      <c r="Z32" s="21">
        <f t="shared" si="10"/>
        <v>0.8345715759027349</v>
      </c>
      <c r="AA32" s="21">
        <f t="shared" si="10"/>
        <v>0.85831742514486575</v>
      </c>
      <c r="AB32" s="10" t="s">
        <v>9</v>
      </c>
    </row>
    <row r="33" spans="1:28" ht="15.75" thickBot="1" x14ac:dyDescent="0.3">
      <c r="A33" s="7"/>
      <c r="B33" s="8"/>
      <c r="F33" s="10" t="s">
        <v>8</v>
      </c>
      <c r="G33" s="2"/>
      <c r="H33" s="21">
        <f t="shared" ref="H33:AA33" si="11">H32*$D$17</f>
        <v>1.9448110160418391E-2</v>
      </c>
      <c r="I33" s="21">
        <f t="shared" si="11"/>
        <v>2.0442256361136252E-2</v>
      </c>
      <c r="J33" s="21">
        <f t="shared" si="11"/>
        <v>2.1481860139359911E-2</v>
      </c>
      <c r="K33" s="21">
        <f t="shared" si="11"/>
        <v>2.2565903286011449E-2</v>
      </c>
      <c r="L33" s="21">
        <f t="shared" si="11"/>
        <v>2.3692882612717237E-2</v>
      </c>
      <c r="M33" s="21">
        <f t="shared" si="11"/>
        <v>2.4860767009035587E-2</v>
      </c>
      <c r="N33" s="21">
        <f t="shared" si="11"/>
        <v>2.6066958110743978E-2</v>
      </c>
      <c r="O33" s="21">
        <f t="shared" si="11"/>
        <v>2.7308256009245968E-2</v>
      </c>
      <c r="P33" s="21">
        <f t="shared" si="11"/>
        <v>2.8580831509864249E-2</v>
      </c>
      <c r="Q33" s="21">
        <f t="shared" si="11"/>
        <v>2.9880206484178551E-2</v>
      </c>
      <c r="R33" s="21">
        <f t="shared" si="11"/>
        <v>3.1201243850218077E-2</v>
      </c>
      <c r="S33" s="21">
        <f t="shared" si="11"/>
        <v>3.2538148646689365E-2</v>
      </c>
      <c r="T33" s="21">
        <f t="shared" si="11"/>
        <v>3.3884481537450988E-2</v>
      </c>
      <c r="U33" s="21">
        <f t="shared" si="11"/>
        <v>3.5233185886154511E-2</v>
      </c>
      <c r="V33" s="21">
        <f t="shared" si="11"/>
        <v>3.65766292770301E-2</v>
      </c>
      <c r="W33" s="21">
        <f t="shared" si="11"/>
        <v>3.790666002803908E-2</v>
      </c>
      <c r="X33" s="21">
        <f t="shared" si="11"/>
        <v>3.9214678852423142E-2</v>
      </c>
      <c r="Y33" s="21">
        <f t="shared" si="11"/>
        <v>4.0491725383185351E-2</v>
      </c>
      <c r="Z33" s="21">
        <f t="shared" si="11"/>
        <v>4.172857879513675E-2</v>
      </c>
      <c r="AA33" s="21">
        <f t="shared" si="11"/>
        <v>4.291587125724329E-2</v>
      </c>
      <c r="AB33" s="21">
        <f>SUM(H33:AA33)</f>
        <v>0.6160192351962821</v>
      </c>
    </row>
    <row r="34" spans="1:28" ht="15.75" thickBot="1" x14ac:dyDescent="0.3">
      <c r="A34" s="7"/>
      <c r="B34" s="8"/>
    </row>
    <row r="35" spans="1:28" x14ac:dyDescent="0.25">
      <c r="A35" s="6"/>
      <c r="B35" s="5"/>
      <c r="F35" s="43" t="s">
        <v>13</v>
      </c>
      <c r="G35" s="43"/>
      <c r="H35" s="2">
        <f>ABS(AB33-R27)/(POWER(2,H3)-1)</f>
        <v>1.226672550555663E-2</v>
      </c>
      <c r="L35" s="33"/>
      <c r="M35" s="34"/>
      <c r="N35" s="34"/>
      <c r="O35" s="34"/>
      <c r="P35" s="35"/>
    </row>
    <row r="36" spans="1:28" ht="15.75" thickBot="1" x14ac:dyDescent="0.3">
      <c r="A36" s="6"/>
      <c r="B36" s="5"/>
      <c r="L36" s="36"/>
      <c r="M36" s="37"/>
      <c r="N36" s="37"/>
      <c r="O36" s="37"/>
      <c r="P36" s="38"/>
    </row>
    <row r="37" spans="1:28" x14ac:dyDescent="0.25">
      <c r="A37" s="6"/>
      <c r="B37" s="5"/>
    </row>
    <row r="38" spans="1:28" ht="15.75" thickBot="1" x14ac:dyDescent="0.3">
      <c r="A38" s="7"/>
      <c r="B38" s="8"/>
    </row>
    <row r="40" spans="1:28" x14ac:dyDescent="0.25">
      <c r="F40" s="32" t="s">
        <v>20</v>
      </c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</row>
    <row r="41" spans="1:28" x14ac:dyDescent="0.25">
      <c r="F41" s="26" t="s">
        <v>23</v>
      </c>
      <c r="G41">
        <v>0</v>
      </c>
      <c r="H41" s="27">
        <v>1</v>
      </c>
      <c r="I41" s="27">
        <v>2</v>
      </c>
      <c r="J41" s="27">
        <v>3</v>
      </c>
      <c r="K41" s="27">
        <v>4</v>
      </c>
      <c r="L41" s="27">
        <v>5</v>
      </c>
      <c r="M41" s="27">
        <v>6</v>
      </c>
      <c r="N41" s="27">
        <v>7</v>
      </c>
      <c r="O41" s="27">
        <v>8</v>
      </c>
      <c r="P41" s="27">
        <v>9</v>
      </c>
      <c r="Q41" s="27">
        <v>10</v>
      </c>
    </row>
    <row r="42" spans="1:28" x14ac:dyDescent="0.25">
      <c r="F42" s="11" t="s">
        <v>5</v>
      </c>
      <c r="G42" s="2">
        <f>0</f>
        <v>0</v>
      </c>
      <c r="H42" s="2">
        <f>G42+$D$10</f>
        <v>0.1</v>
      </c>
      <c r="I42" s="2">
        <f t="shared" ref="I42:Q42" si="12">H42+$D$10</f>
        <v>0.2</v>
      </c>
      <c r="J42" s="2">
        <f t="shared" si="12"/>
        <v>0.30000000000000004</v>
      </c>
      <c r="K42" s="2">
        <f t="shared" si="12"/>
        <v>0.4</v>
      </c>
      <c r="L42" s="2">
        <f t="shared" si="12"/>
        <v>0.5</v>
      </c>
      <c r="M42" s="2">
        <f t="shared" si="12"/>
        <v>0.6</v>
      </c>
      <c r="N42" s="2">
        <f t="shared" si="12"/>
        <v>0.7</v>
      </c>
      <c r="O42" s="2">
        <f t="shared" si="12"/>
        <v>0.79999999999999993</v>
      </c>
      <c r="P42" s="2">
        <f t="shared" si="12"/>
        <v>0.89999999999999991</v>
      </c>
      <c r="Q42" s="2">
        <f t="shared" si="12"/>
        <v>0.99999999999999989</v>
      </c>
    </row>
    <row r="43" spans="1:28" x14ac:dyDescent="0.25">
      <c r="F43" s="10" t="s">
        <v>36</v>
      </c>
      <c r="G43" s="21">
        <f>0.37*EXP(SIN(G42+$D$10/2))</f>
        <v>0.38896220320836777</v>
      </c>
      <c r="H43" s="21">
        <f t="shared" ref="H43:P43" si="13">0.37*EXP(SIN(H42+$D$10/2))</f>
        <v>0.42963720278719819</v>
      </c>
      <c r="I43" s="21">
        <f t="shared" si="13"/>
        <v>0.47385765225434467</v>
      </c>
      <c r="J43" s="21">
        <f t="shared" si="13"/>
        <v>0.52133916221487964</v>
      </c>
      <c r="K43" s="21">
        <f t="shared" si="13"/>
        <v>0.57161663019728493</v>
      </c>
      <c r="L43" s="21">
        <f t="shared" si="13"/>
        <v>0.6240248770043616</v>
      </c>
      <c r="M43" s="21">
        <f t="shared" si="13"/>
        <v>0.67768963074901967</v>
      </c>
      <c r="N43" s="21">
        <f t="shared" si="13"/>
        <v>0.73153258554060197</v>
      </c>
      <c r="O43" s="21">
        <f t="shared" si="13"/>
        <v>0.78429357704846281</v>
      </c>
      <c r="P43" s="21">
        <f t="shared" si="13"/>
        <v>0.83457157590273479</v>
      </c>
      <c r="Q43" s="2"/>
      <c r="R43" s="24" t="s">
        <v>9</v>
      </c>
    </row>
    <row r="44" spans="1:28" x14ac:dyDescent="0.25">
      <c r="F44" s="10" t="s">
        <v>8</v>
      </c>
      <c r="G44" s="21">
        <f>G43*$D$10</f>
        <v>3.8896220320836783E-2</v>
      </c>
      <c r="H44" s="21">
        <f t="shared" ref="H44:P44" si="14">H43*$D$10</f>
        <v>4.2963720278719822E-2</v>
      </c>
      <c r="I44" s="21">
        <f t="shared" si="14"/>
        <v>4.7385765225434473E-2</v>
      </c>
      <c r="J44" s="21">
        <f t="shared" si="14"/>
        <v>5.2133916221487969E-2</v>
      </c>
      <c r="K44" s="21">
        <f t="shared" si="14"/>
        <v>5.7161663019728498E-2</v>
      </c>
      <c r="L44" s="21">
        <f t="shared" si="14"/>
        <v>6.240248770043616E-2</v>
      </c>
      <c r="M44" s="21">
        <f t="shared" si="14"/>
        <v>6.7768963074901975E-2</v>
      </c>
      <c r="N44" s="21">
        <f t="shared" si="14"/>
        <v>7.3153258554060199E-2</v>
      </c>
      <c r="O44" s="21">
        <f t="shared" si="14"/>
        <v>7.8429357704846284E-2</v>
      </c>
      <c r="P44" s="21">
        <f t="shared" si="14"/>
        <v>8.3457157590273487E-2</v>
      </c>
      <c r="Q44" s="2"/>
      <c r="R44" s="25">
        <f>SUM(G44:P44)</f>
        <v>0.60375250969072569</v>
      </c>
    </row>
    <row r="46" spans="1:28" x14ac:dyDescent="0.25">
      <c r="F46" s="32" t="s">
        <v>21</v>
      </c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</row>
    <row r="47" spans="1:28" x14ac:dyDescent="0.25">
      <c r="F47" s="10" t="s">
        <v>23</v>
      </c>
      <c r="G47">
        <v>0</v>
      </c>
      <c r="H47" s="2">
        <v>1</v>
      </c>
      <c r="I47" s="2">
        <v>2</v>
      </c>
      <c r="J47" s="2">
        <v>3</v>
      </c>
      <c r="K47" s="2">
        <v>4</v>
      </c>
      <c r="L47" s="2">
        <v>5</v>
      </c>
      <c r="M47" s="2">
        <v>6</v>
      </c>
      <c r="N47" s="2">
        <v>7</v>
      </c>
      <c r="O47" s="2">
        <v>8</v>
      </c>
      <c r="P47" s="2">
        <v>9</v>
      </c>
      <c r="Q47" s="2">
        <v>10</v>
      </c>
      <c r="R47" s="2">
        <v>11</v>
      </c>
      <c r="S47" s="2">
        <v>12</v>
      </c>
      <c r="T47" s="2">
        <v>13</v>
      </c>
      <c r="U47" s="2">
        <v>14</v>
      </c>
      <c r="V47" s="2">
        <v>15</v>
      </c>
      <c r="W47" s="2">
        <v>16</v>
      </c>
      <c r="X47" s="2">
        <v>17</v>
      </c>
      <c r="Y47" s="2">
        <v>18</v>
      </c>
      <c r="Z47" s="2">
        <v>19</v>
      </c>
      <c r="AA47" s="2">
        <v>20</v>
      </c>
    </row>
    <row r="48" spans="1:28" x14ac:dyDescent="0.25">
      <c r="F48" s="10" t="s">
        <v>5</v>
      </c>
      <c r="G48" s="2">
        <v>0</v>
      </c>
      <c r="H48" s="2">
        <f>G48+$D$17</f>
        <v>0.05</v>
      </c>
      <c r="I48" s="2">
        <f>H48+$D$17</f>
        <v>0.1</v>
      </c>
      <c r="J48" s="2">
        <f t="shared" ref="J48:AA48" si="15">I48+$D$17</f>
        <v>0.15000000000000002</v>
      </c>
      <c r="K48" s="2">
        <f t="shared" si="15"/>
        <v>0.2</v>
      </c>
      <c r="L48" s="2">
        <f t="shared" si="15"/>
        <v>0.25</v>
      </c>
      <c r="M48" s="2">
        <f t="shared" si="15"/>
        <v>0.3</v>
      </c>
      <c r="N48" s="2">
        <f t="shared" si="15"/>
        <v>0.35</v>
      </c>
      <c r="O48" s="2">
        <f t="shared" si="15"/>
        <v>0.39999999999999997</v>
      </c>
      <c r="P48" s="2">
        <f t="shared" si="15"/>
        <v>0.44999999999999996</v>
      </c>
      <c r="Q48" s="2">
        <f t="shared" si="15"/>
        <v>0.49999999999999994</v>
      </c>
      <c r="R48" s="2">
        <f t="shared" si="15"/>
        <v>0.54999999999999993</v>
      </c>
      <c r="S48" s="2">
        <f t="shared" si="15"/>
        <v>0.6</v>
      </c>
      <c r="T48" s="2">
        <f t="shared" si="15"/>
        <v>0.65</v>
      </c>
      <c r="U48" s="2">
        <f t="shared" si="15"/>
        <v>0.70000000000000007</v>
      </c>
      <c r="V48" s="2">
        <f t="shared" si="15"/>
        <v>0.75000000000000011</v>
      </c>
      <c r="W48" s="2">
        <f t="shared" si="15"/>
        <v>0.80000000000000016</v>
      </c>
      <c r="X48" s="2">
        <f t="shared" si="15"/>
        <v>0.8500000000000002</v>
      </c>
      <c r="Y48" s="2">
        <f t="shared" si="15"/>
        <v>0.90000000000000024</v>
      </c>
      <c r="Z48" s="2">
        <f t="shared" si="15"/>
        <v>0.95000000000000029</v>
      </c>
      <c r="AA48" s="2">
        <f t="shared" si="15"/>
        <v>1.0000000000000002</v>
      </c>
    </row>
    <row r="49" spans="6:28" x14ac:dyDescent="0.25">
      <c r="F49" s="10" t="s">
        <v>37</v>
      </c>
      <c r="G49" s="21">
        <f>0.37*EXP(SIN(G48+$D$17/2))</f>
        <v>0.37936560669235736</v>
      </c>
      <c r="H49" s="21">
        <f t="shared" ref="H49:Y49" si="16">0.37*EXP(SIN(H48+$D$17/2))</f>
        <v>0.39878910286842739</v>
      </c>
      <c r="I49" s="21">
        <f t="shared" si="16"/>
        <v>0.41912857692738992</v>
      </c>
      <c r="J49" s="21">
        <f t="shared" si="16"/>
        <v>0.4403681771338232</v>
      </c>
      <c r="K49" s="21">
        <f t="shared" si="16"/>
        <v>0.46248280032293315</v>
      </c>
      <c r="L49" s="21">
        <f t="shared" si="16"/>
        <v>0.48543720699706044</v>
      </c>
      <c r="M49" s="21">
        <f t="shared" si="16"/>
        <v>0.50918519512950866</v>
      </c>
      <c r="N49" s="21">
        <f t="shared" si="16"/>
        <v>0.53366886025235361</v>
      </c>
      <c r="O49" s="21">
        <f t="shared" si="16"/>
        <v>0.55881797129635558</v>
      </c>
      <c r="P49" s="21">
        <f t="shared" si="16"/>
        <v>0.58454949282382873</v>
      </c>
      <c r="Q49" s="21">
        <f t="shared" si="16"/>
        <v>0.61076728457598084</v>
      </c>
      <c r="R49" s="21">
        <f t="shared" si="16"/>
        <v>0.63736200848373847</v>
      </c>
      <c r="S49" s="21">
        <f t="shared" si="16"/>
        <v>0.66421127132792335</v>
      </c>
      <c r="T49" s="21">
        <f t="shared" si="16"/>
        <v>0.69118002797892542</v>
      </c>
      <c r="U49" s="21">
        <f t="shared" si="16"/>
        <v>0.71812126554326716</v>
      </c>
      <c r="V49" s="21">
        <f>0.37*EXP(SIN(V48+$D$17/2))</f>
        <v>0.74487698279860881</v>
      </c>
      <c r="W49" s="21">
        <f t="shared" si="16"/>
        <v>0.77127947208117476</v>
      </c>
      <c r="X49" s="21">
        <f t="shared" si="16"/>
        <v>0.79715290244511261</v>
      </c>
      <c r="Y49" s="21">
        <f t="shared" si="16"/>
        <v>0.82231519366253614</v>
      </c>
      <c r="Z49" s="21">
        <f>0.37*EXP(SIN(Z48+$D$17/2))</f>
        <v>0.84658016076991516</v>
      </c>
      <c r="AA49" s="2"/>
      <c r="AB49" s="10" t="s">
        <v>9</v>
      </c>
    </row>
    <row r="50" spans="6:28" x14ac:dyDescent="0.25">
      <c r="F50" s="10" t="s">
        <v>8</v>
      </c>
      <c r="G50" s="21">
        <f>G49*$D$17</f>
        <v>1.8968280334617869E-2</v>
      </c>
      <c r="H50" s="21">
        <f t="shared" ref="H50" si="17">H49*$D$17</f>
        <v>1.993945514342137E-2</v>
      </c>
      <c r="I50" s="21">
        <f t="shared" ref="I50" si="18">I49*$D$17</f>
        <v>2.0956428846369498E-2</v>
      </c>
      <c r="J50" s="21">
        <f t="shared" ref="J50" si="19">J49*$D$17</f>
        <v>2.2018408856691162E-2</v>
      </c>
      <c r="K50" s="21">
        <f t="shared" ref="K50" si="20">K49*$D$17</f>
        <v>2.3124140016146658E-2</v>
      </c>
      <c r="L50" s="21">
        <f t="shared" ref="L50" si="21">L49*$D$17</f>
        <v>2.4271860349853024E-2</v>
      </c>
      <c r="M50" s="21">
        <f t="shared" ref="M50" si="22">M49*$D$17</f>
        <v>2.5459259756475436E-2</v>
      </c>
      <c r="N50" s="21">
        <f t="shared" ref="N50" si="23">N49*$D$17</f>
        <v>2.6683443012617682E-2</v>
      </c>
      <c r="O50" s="21">
        <f t="shared" ref="O50" si="24">O49*$D$17</f>
        <v>2.7940898564817782E-2</v>
      </c>
      <c r="P50" s="21">
        <f t="shared" ref="P50" si="25">P49*$D$17</f>
        <v>2.9227474641191437E-2</v>
      </c>
      <c r="Q50" s="21">
        <f t="shared" ref="Q50" si="26">Q49*$D$17</f>
        <v>3.0538364228799044E-2</v>
      </c>
      <c r="R50" s="21">
        <f t="shared" ref="R50" si="27">R49*$D$17</f>
        <v>3.1868100424186925E-2</v>
      </c>
      <c r="S50" s="21">
        <f t="shared" ref="S50" si="28">S49*$D$17</f>
        <v>3.3210563566396172E-2</v>
      </c>
      <c r="T50" s="21">
        <f t="shared" ref="T50" si="29">T49*$D$17</f>
        <v>3.4559001398946271E-2</v>
      </c>
      <c r="U50" s="21">
        <f t="shared" ref="U50" si="30">U49*$D$17</f>
        <v>3.5906063277163357E-2</v>
      </c>
      <c r="V50" s="21">
        <f t="shared" ref="V50" si="31">V49*$D$17</f>
        <v>3.7243849139930445E-2</v>
      </c>
      <c r="W50" s="21">
        <f t="shared" ref="W50" si="32">W49*$D$17</f>
        <v>3.8563973604058742E-2</v>
      </c>
      <c r="X50" s="21">
        <f t="shared" ref="X50" si="33">X49*$D$17</f>
        <v>3.9857645122255633E-2</v>
      </c>
      <c r="Y50" s="21">
        <f t="shared" ref="Y50" si="34">Y49*$D$17</f>
        <v>4.1115759683126807E-2</v>
      </c>
      <c r="Z50" s="21">
        <f t="shared" ref="Z50" si="35">Z49*$D$17</f>
        <v>4.2329008038495763E-2</v>
      </c>
      <c r="AA50" s="2"/>
      <c r="AB50" s="21">
        <f>SUM(G50:Z50)</f>
        <v>0.60378197800556088</v>
      </c>
    </row>
    <row r="51" spans="6:28" ht="15.75" thickBot="1" x14ac:dyDescent="0.3"/>
    <row r="52" spans="6:28" x14ac:dyDescent="0.25">
      <c r="F52" s="43" t="s">
        <v>13</v>
      </c>
      <c r="G52" s="43"/>
      <c r="H52" s="2">
        <f>ABS(AB50-R44)/(POWER(2,I3)-1)</f>
        <v>9.822771611730138E-6</v>
      </c>
      <c r="L52" s="33"/>
      <c r="M52" s="34"/>
      <c r="N52" s="34"/>
      <c r="O52" s="34"/>
      <c r="P52" s="35"/>
    </row>
    <row r="53" spans="6:28" ht="15.75" thickBot="1" x14ac:dyDescent="0.3">
      <c r="L53" s="36"/>
      <c r="M53" s="37"/>
      <c r="N53" s="37"/>
      <c r="O53" s="37"/>
      <c r="P53" s="38"/>
    </row>
    <row r="56" spans="6:28" x14ac:dyDescent="0.25">
      <c r="F56" s="40" t="s">
        <v>22</v>
      </c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2"/>
    </row>
    <row r="57" spans="6:28" x14ac:dyDescent="0.25">
      <c r="F57" s="10" t="s">
        <v>23</v>
      </c>
      <c r="G57">
        <v>0</v>
      </c>
      <c r="H57" s="2">
        <v>1</v>
      </c>
      <c r="I57" s="2">
        <v>2</v>
      </c>
      <c r="J57" s="2">
        <v>3</v>
      </c>
      <c r="K57" s="2">
        <v>4</v>
      </c>
      <c r="L57" s="2">
        <v>5</v>
      </c>
      <c r="M57" s="2">
        <v>6</v>
      </c>
      <c r="N57" s="2">
        <v>7</v>
      </c>
      <c r="O57" s="2">
        <v>8</v>
      </c>
      <c r="P57" s="2">
        <v>9</v>
      </c>
      <c r="Q57" s="2">
        <v>10</v>
      </c>
    </row>
    <row r="58" spans="6:28" x14ac:dyDescent="0.25">
      <c r="F58" s="11" t="s">
        <v>5</v>
      </c>
      <c r="G58" s="2">
        <f>0</f>
        <v>0</v>
      </c>
      <c r="H58" s="2">
        <f>G58+$D$10</f>
        <v>0.1</v>
      </c>
      <c r="I58" s="2">
        <f t="shared" ref="I58" si="36">H58+$D$10</f>
        <v>0.2</v>
      </c>
      <c r="J58" s="2">
        <f t="shared" ref="J58" si="37">I58+$D$10</f>
        <v>0.30000000000000004</v>
      </c>
      <c r="K58" s="2">
        <f t="shared" ref="K58" si="38">J58+$D$10</f>
        <v>0.4</v>
      </c>
      <c r="L58" s="2">
        <f t="shared" ref="L58" si="39">K58+$D$10</f>
        <v>0.5</v>
      </c>
      <c r="M58" s="2">
        <f t="shared" ref="M58" si="40">L58+$D$10</f>
        <v>0.6</v>
      </c>
      <c r="N58" s="2">
        <f t="shared" ref="N58" si="41">M58+$D$10</f>
        <v>0.7</v>
      </c>
      <c r="O58" s="2">
        <f t="shared" ref="O58" si="42">N58+$D$10</f>
        <v>0.79999999999999993</v>
      </c>
      <c r="P58" s="2">
        <f t="shared" ref="P58" si="43">O58+$D$10</f>
        <v>0.89999999999999991</v>
      </c>
      <c r="Q58" s="2">
        <v>1</v>
      </c>
    </row>
    <row r="59" spans="6:28" x14ac:dyDescent="0.25">
      <c r="F59" s="10" t="s">
        <v>26</v>
      </c>
      <c r="G59" s="28">
        <f>0.37*EXP(SIN(G58))</f>
        <v>0.37</v>
      </c>
      <c r="H59" s="21">
        <f>0.37*EXP(SIN(H58))</f>
        <v>0.40884512722272498</v>
      </c>
      <c r="I59" s="21">
        <f>0.37*EXP(SIN(I58))</f>
        <v>0.45131806572022898</v>
      </c>
      <c r="J59" s="21">
        <f t="shared" ref="J59:P59" si="44">0.37*EXP(SIN(J58))</f>
        <v>0.49721534018071184</v>
      </c>
      <c r="K59" s="21">
        <f>0.37*EXP(SIN(K58))</f>
        <v>0.54616512018491947</v>
      </c>
      <c r="L59" s="21">
        <f>0.37*EXP(SIN(L58))</f>
        <v>0.59760412968357102</v>
      </c>
      <c r="M59" s="21">
        <f>0.37*EXP(SIN(M58))</f>
        <v>0.65076297293378726</v>
      </c>
      <c r="N59" s="21">
        <f t="shared" si="44"/>
        <v>0.70466371772309011</v>
      </c>
      <c r="O59" s="21">
        <f>0.37*EXP(SIN(O58))</f>
        <v>0.75813320056078137</v>
      </c>
      <c r="P59" s="21">
        <f t="shared" si="44"/>
        <v>0.80983450766370679</v>
      </c>
      <c r="Q59" s="21">
        <f>0.37*EXP(SIN(Q58))</f>
        <v>0.85831742514486564</v>
      </c>
      <c r="R59" s="24" t="s">
        <v>9</v>
      </c>
    </row>
    <row r="60" spans="6:28" x14ac:dyDescent="0.25">
      <c r="F60" s="10" t="s">
        <v>8</v>
      </c>
      <c r="G60" s="21">
        <f>($D$10*(G59+H59))/2</f>
        <v>3.8942256361136254E-2</v>
      </c>
      <c r="H60" s="21">
        <f t="shared" ref="H60:P60" si="45">($D$10*(H59+I59))/2</f>
        <v>4.3008159647147701E-2</v>
      </c>
      <c r="I60" s="21">
        <f t="shared" si="45"/>
        <v>4.7426670295047046E-2</v>
      </c>
      <c r="J60" s="21">
        <f t="shared" si="45"/>
        <v>5.2169023018281573E-2</v>
      </c>
      <c r="K60" s="21">
        <f t="shared" si="45"/>
        <v>5.7188462493424533E-2</v>
      </c>
      <c r="L60" s="21">
        <f t="shared" si="45"/>
        <v>6.2418355130867909E-2</v>
      </c>
      <c r="M60" s="21">
        <f t="shared" si="45"/>
        <v>6.7771334532843883E-2</v>
      </c>
      <c r="N60" s="21">
        <f t="shared" si="45"/>
        <v>7.3139845914193577E-2</v>
      </c>
      <c r="O60" s="21">
        <f t="shared" si="45"/>
        <v>7.8398385411224417E-2</v>
      </c>
      <c r="P60" s="21">
        <f t="shared" si="45"/>
        <v>8.3407596640428627E-2</v>
      </c>
      <c r="Q60" s="2"/>
      <c r="R60" s="25">
        <f>SUM(G60:P60)</f>
        <v>0.60387008944459553</v>
      </c>
    </row>
    <row r="61" spans="6:28" x14ac:dyDescent="0.25">
      <c r="F61" s="10" t="s">
        <v>25</v>
      </c>
      <c r="G61" s="21">
        <f>0.37*EXP(SIN(G58))*COS(G58)</f>
        <v>0.37</v>
      </c>
      <c r="H61" s="21">
        <f t="shared" ref="H61:Q61" si="46">0.37*EXP(SIN(H58))*COS(H58)</f>
        <v>0.40680260454023576</v>
      </c>
      <c r="I61" s="21">
        <f t="shared" si="46"/>
        <v>0.4423217521883534</v>
      </c>
      <c r="J61" s="21">
        <f t="shared" si="46"/>
        <v>0.47500795742763507</v>
      </c>
      <c r="K61" s="21">
        <f t="shared" si="46"/>
        <v>0.50305138848722719</v>
      </c>
      <c r="L61" s="21">
        <f t="shared" si="46"/>
        <v>0.52444696312397476</v>
      </c>
      <c r="M61" s="21">
        <f t="shared" si="46"/>
        <v>0.53709785842675761</v>
      </c>
      <c r="N61" s="21">
        <f t="shared" si="46"/>
        <v>0.53895653916334763</v>
      </c>
      <c r="O61" s="21">
        <f t="shared" si="46"/>
        <v>0.52819648740953662</v>
      </c>
      <c r="P61" s="21">
        <f t="shared" si="46"/>
        <v>0.50340120261332599</v>
      </c>
      <c r="Q61" s="21">
        <f t="shared" si="46"/>
        <v>0.46375088397257536</v>
      </c>
    </row>
    <row r="62" spans="6:28" x14ac:dyDescent="0.25">
      <c r="F62" s="10" t="s">
        <v>27</v>
      </c>
      <c r="G62" s="21">
        <f>0.37*EXP(SIN(G58))*POWER(COS(G58), 2) - 0.37*EXP(SIN(G58))*SIN(G58)</f>
        <v>0.37</v>
      </c>
      <c r="H62" s="21">
        <f t="shared" ref="H62:Q62" si="47">0.37*EXP(SIN(H58))*POWER(COS(H58), 2) - 0.37*EXP(SIN(H58))*SIN(H58)</f>
        <v>0.36395388003343232</v>
      </c>
      <c r="I62" s="21">
        <f t="shared" si="47"/>
        <v>0.34384170787962187</v>
      </c>
      <c r="J62" s="21">
        <f t="shared" si="47"/>
        <v>0.30685525427025007</v>
      </c>
      <c r="K62" s="21">
        <f t="shared" si="47"/>
        <v>0.25065429618536073</v>
      </c>
      <c r="L62" s="21">
        <f t="shared" si="47"/>
        <v>0.17373882772832161</v>
      </c>
      <c r="M62" s="21">
        <f t="shared" si="47"/>
        <v>7.5837576620079283E-2</v>
      </c>
      <c r="N62" s="21">
        <f t="shared" si="47"/>
        <v>-4.1740132246909367E-2</v>
      </c>
      <c r="O62" s="21">
        <f t="shared" si="47"/>
        <v>-0.17585343250359614</v>
      </c>
      <c r="P62" s="21">
        <f t="shared" si="47"/>
        <v>-0.32144595661402192</v>
      </c>
      <c r="Q62" s="21">
        <f t="shared" si="47"/>
        <v>-0.47168353705565752</v>
      </c>
    </row>
    <row r="63" spans="6:28" ht="15.75" thickBot="1" x14ac:dyDescent="0.3">
      <c r="F63" t="s">
        <v>28</v>
      </c>
    </row>
    <row r="64" spans="6:28" x14ac:dyDescent="0.25">
      <c r="F64" s="32" t="s">
        <v>2</v>
      </c>
      <c r="G64" s="32"/>
      <c r="H64" s="2" cm="1">
        <f t="array" ref="H64">(D10^2/12)*(Q58-G58)*MAX(ABS(G62:Q62))</f>
        <v>3.93069614213048E-4</v>
      </c>
      <c r="L64" s="33"/>
      <c r="M64" s="34"/>
      <c r="N64" s="34"/>
      <c r="O64" s="34"/>
      <c r="P64" s="35"/>
    </row>
    <row r="65" spans="6:28" ht="15.75" thickBot="1" x14ac:dyDescent="0.3">
      <c r="L65" s="36"/>
      <c r="M65" s="37"/>
      <c r="N65" s="37"/>
      <c r="O65" s="37"/>
      <c r="P65" s="38"/>
    </row>
    <row r="68" spans="6:28" x14ac:dyDescent="0.25">
      <c r="F68" s="39" t="s">
        <v>31</v>
      </c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</row>
    <row r="69" spans="6:28" x14ac:dyDescent="0.25">
      <c r="F69" s="10" t="s">
        <v>23</v>
      </c>
      <c r="G69" s="2">
        <v>0</v>
      </c>
      <c r="H69" s="2">
        <v>1</v>
      </c>
      <c r="I69" s="2">
        <v>2</v>
      </c>
      <c r="J69" s="2">
        <v>3</v>
      </c>
      <c r="K69" s="2">
        <v>4</v>
      </c>
      <c r="L69" s="2">
        <v>5</v>
      </c>
      <c r="M69" s="2">
        <v>6</v>
      </c>
      <c r="N69" s="2">
        <v>7</v>
      </c>
      <c r="O69" s="2">
        <v>8</v>
      </c>
      <c r="P69" s="2">
        <v>9</v>
      </c>
      <c r="Q69" s="2">
        <v>10</v>
      </c>
      <c r="R69" s="2">
        <f>Q69+1</f>
        <v>11</v>
      </c>
      <c r="S69" s="2">
        <f t="shared" ref="S69:AA69" si="48">R69+1</f>
        <v>12</v>
      </c>
      <c r="T69" s="2">
        <f t="shared" si="48"/>
        <v>13</v>
      </c>
      <c r="U69" s="2">
        <f t="shared" si="48"/>
        <v>14</v>
      </c>
      <c r="V69" s="2">
        <f t="shared" si="48"/>
        <v>15</v>
      </c>
      <c r="W69" s="2">
        <f t="shared" si="48"/>
        <v>16</v>
      </c>
      <c r="X69" s="2">
        <f t="shared" si="48"/>
        <v>17</v>
      </c>
      <c r="Y69" s="2">
        <f t="shared" si="48"/>
        <v>18</v>
      </c>
      <c r="Z69" s="2">
        <f>Y69+1</f>
        <v>19</v>
      </c>
      <c r="AA69" s="2">
        <f t="shared" si="48"/>
        <v>20</v>
      </c>
    </row>
    <row r="70" spans="6:28" x14ac:dyDescent="0.25">
      <c r="F70" s="10" t="s">
        <v>5</v>
      </c>
      <c r="G70" s="2">
        <f>0</f>
        <v>0</v>
      </c>
      <c r="H70" s="2">
        <f>G70+$D$17</f>
        <v>0.05</v>
      </c>
      <c r="I70" s="2">
        <f t="shared" ref="I70:AA70" si="49">H70+$D$17</f>
        <v>0.1</v>
      </c>
      <c r="J70" s="2">
        <f t="shared" si="49"/>
        <v>0.15000000000000002</v>
      </c>
      <c r="K70" s="2">
        <f t="shared" si="49"/>
        <v>0.2</v>
      </c>
      <c r="L70" s="2">
        <f t="shared" si="49"/>
        <v>0.25</v>
      </c>
      <c r="M70" s="2">
        <f t="shared" si="49"/>
        <v>0.3</v>
      </c>
      <c r="N70" s="2">
        <f t="shared" si="49"/>
        <v>0.35</v>
      </c>
      <c r="O70" s="2">
        <f t="shared" si="49"/>
        <v>0.39999999999999997</v>
      </c>
      <c r="P70" s="2">
        <f t="shared" si="49"/>
        <v>0.44999999999999996</v>
      </c>
      <c r="Q70" s="2">
        <f t="shared" si="49"/>
        <v>0.49999999999999994</v>
      </c>
      <c r="R70" s="2">
        <f t="shared" si="49"/>
        <v>0.54999999999999993</v>
      </c>
      <c r="S70" s="2">
        <f t="shared" si="49"/>
        <v>0.6</v>
      </c>
      <c r="T70" s="2">
        <f t="shared" si="49"/>
        <v>0.65</v>
      </c>
      <c r="U70" s="2">
        <f t="shared" si="49"/>
        <v>0.70000000000000007</v>
      </c>
      <c r="V70" s="2">
        <f t="shared" si="49"/>
        <v>0.75000000000000011</v>
      </c>
      <c r="W70" s="2">
        <f t="shared" si="49"/>
        <v>0.80000000000000016</v>
      </c>
      <c r="X70" s="2">
        <f t="shared" si="49"/>
        <v>0.8500000000000002</v>
      </c>
      <c r="Y70" s="2">
        <f t="shared" si="49"/>
        <v>0.90000000000000024</v>
      </c>
      <c r="Z70" s="2">
        <f t="shared" si="49"/>
        <v>0.95000000000000029</v>
      </c>
      <c r="AA70" s="2">
        <f t="shared" si="49"/>
        <v>1.0000000000000002</v>
      </c>
    </row>
    <row r="71" spans="6:28" x14ac:dyDescent="0.25">
      <c r="F71" s="10" t="s">
        <v>26</v>
      </c>
      <c r="G71" s="28">
        <f>0.37*EXP(SIN(G70))</f>
        <v>0.37</v>
      </c>
      <c r="H71" s="28">
        <f t="shared" ref="H71:AA71" si="50">0.37*EXP(SIN(H70))</f>
        <v>0.38896220320836777</v>
      </c>
      <c r="I71" s="28">
        <f t="shared" si="50"/>
        <v>0.40884512722272498</v>
      </c>
      <c r="J71" s="28">
        <f t="shared" si="50"/>
        <v>0.42963720278719819</v>
      </c>
      <c r="K71" s="28">
        <f t="shared" si="50"/>
        <v>0.45131806572022898</v>
      </c>
      <c r="L71" s="28">
        <f t="shared" si="50"/>
        <v>0.47385765225434467</v>
      </c>
      <c r="M71" s="28">
        <f t="shared" si="50"/>
        <v>0.49721534018071173</v>
      </c>
      <c r="N71" s="28">
        <f t="shared" si="50"/>
        <v>0.52133916221487953</v>
      </c>
      <c r="O71" s="28">
        <f t="shared" si="50"/>
        <v>0.54616512018491936</v>
      </c>
      <c r="P71" s="28">
        <f t="shared" si="50"/>
        <v>0.57161663019728493</v>
      </c>
      <c r="Q71" s="28">
        <f t="shared" si="50"/>
        <v>0.59760412968357102</v>
      </c>
      <c r="R71" s="28">
        <f t="shared" si="50"/>
        <v>0.62402487700436149</v>
      </c>
      <c r="S71" s="28">
        <f t="shared" si="50"/>
        <v>0.65076297293378726</v>
      </c>
      <c r="T71" s="28">
        <f t="shared" si="50"/>
        <v>0.67768963074901967</v>
      </c>
      <c r="U71" s="28">
        <f t="shared" si="50"/>
        <v>0.70466371772309022</v>
      </c>
      <c r="V71" s="28">
        <f t="shared" si="50"/>
        <v>0.73153258554060197</v>
      </c>
      <c r="W71" s="28">
        <f t="shared" si="50"/>
        <v>0.75813320056078159</v>
      </c>
      <c r="X71" s="28">
        <f t="shared" si="50"/>
        <v>0.78429357704846281</v>
      </c>
      <c r="Y71" s="28">
        <f t="shared" si="50"/>
        <v>0.80983450766370702</v>
      </c>
      <c r="Z71" s="28">
        <f t="shared" si="50"/>
        <v>0.8345715759027349</v>
      </c>
      <c r="AA71" s="28">
        <f t="shared" si="50"/>
        <v>0.85831742514486575</v>
      </c>
      <c r="AB71" s="24" t="s">
        <v>9</v>
      </c>
    </row>
    <row r="72" spans="6:28" x14ac:dyDescent="0.25">
      <c r="F72" s="10" t="s">
        <v>8</v>
      </c>
      <c r="G72" s="21">
        <f>($D$17/3)*(G71+I71+4*H71)</f>
        <v>3.8911565667603266E-2</v>
      </c>
      <c r="H72" s="21"/>
      <c r="I72" s="21">
        <f t="shared" ref="I72:Y72" si="51">($D$17/3)*(I71+K71+4*J71)</f>
        <v>4.2978533401529115E-2</v>
      </c>
      <c r="J72" s="21"/>
      <c r="K72" s="21">
        <f t="shared" si="51"/>
        <v>4.739940024863866E-2</v>
      </c>
      <c r="L72" s="21"/>
      <c r="M72" s="21">
        <f t="shared" si="51"/>
        <v>5.2145618487085814E-2</v>
      </c>
      <c r="N72" s="21"/>
      <c r="O72" s="21">
        <f t="shared" si="51"/>
        <v>5.717059617762716E-2</v>
      </c>
      <c r="P72" s="21"/>
      <c r="Q72" s="21">
        <f t="shared" si="51"/>
        <v>6.2407776843913403E-2</v>
      </c>
      <c r="R72" s="21"/>
      <c r="S72" s="21">
        <f t="shared" si="51"/>
        <v>6.7769753560882592E-2</v>
      </c>
      <c r="T72" s="21"/>
      <c r="U72" s="21">
        <f t="shared" si="51"/>
        <v>7.3148787674104654E-2</v>
      </c>
      <c r="V72" s="21"/>
      <c r="W72" s="21">
        <f t="shared" si="51"/>
        <v>7.8419033606972333E-2</v>
      </c>
      <c r="X72" s="21"/>
      <c r="Y72" s="21">
        <f t="shared" si="51"/>
        <v>8.3440637273658538E-2</v>
      </c>
      <c r="Z72" s="21"/>
      <c r="AA72" s="21"/>
      <c r="AB72" s="25">
        <f>SUM(G72:AA72)</f>
        <v>0.60379170294201556</v>
      </c>
    </row>
    <row r="73" spans="6:28" x14ac:dyDescent="0.25">
      <c r="F73" s="10" t="s">
        <v>25</v>
      </c>
      <c r="G73" s="21">
        <f>0.37*EXP(SIN(G70))*COS(G70)</f>
        <v>0.37</v>
      </c>
      <c r="H73" s="21">
        <f>0.37*EXP(SIN(H70))*COS(H70)</f>
        <v>0.38847610173815711</v>
      </c>
      <c r="I73" s="21">
        <f>0.37*EXP(SIN(I70))*COS(I70)</f>
        <v>0.40680260454023576</v>
      </c>
      <c r="J73" s="21">
        <f t="shared" ref="J73:AA73" si="52">0.37*EXP(SIN(J70))*COS(J70)</f>
        <v>0.42481284012132392</v>
      </c>
      <c r="K73" s="21">
        <f t="shared" si="52"/>
        <v>0.4423217521883534</v>
      </c>
      <c r="L73" s="21">
        <f t="shared" si="52"/>
        <v>0.45912656539187763</v>
      </c>
      <c r="M73" s="21">
        <f t="shared" si="52"/>
        <v>0.47500795742763496</v>
      </c>
      <c r="N73" s="21">
        <f t="shared" si="52"/>
        <v>0.48973178312337112</v>
      </c>
      <c r="O73" s="21">
        <f t="shared" si="52"/>
        <v>0.50305138848722708</v>
      </c>
      <c r="P73" s="21">
        <f t="shared" si="52"/>
        <v>0.51471053831774682</v>
      </c>
      <c r="Q73" s="21">
        <f t="shared" si="52"/>
        <v>0.52444696312397476</v>
      </c>
      <c r="R73" s="21">
        <f t="shared" si="52"/>
        <v>0.53199651002138515</v>
      </c>
      <c r="S73" s="21">
        <f t="shared" si="52"/>
        <v>0.53709785842675761</v>
      </c>
      <c r="T73" s="21">
        <f t="shared" si="52"/>
        <v>0.53949773548398661</v>
      </c>
      <c r="U73" s="21">
        <f t="shared" si="52"/>
        <v>0.53895653916334763</v>
      </c>
      <c r="V73" s="21">
        <f t="shared" si="52"/>
        <v>0.53525425005854455</v>
      </c>
      <c r="W73" s="21">
        <f t="shared" si="52"/>
        <v>0.52819648740953662</v>
      </c>
      <c r="X73" s="21">
        <f t="shared" si="52"/>
        <v>0.51762054227782994</v>
      </c>
      <c r="Y73" s="21">
        <f t="shared" si="52"/>
        <v>0.50340120261332599</v>
      </c>
      <c r="Z73" s="21">
        <f t="shared" si="52"/>
        <v>0.48545617264984459</v>
      </c>
      <c r="AA73" s="21">
        <f t="shared" si="52"/>
        <v>0.46375088397257525</v>
      </c>
    </row>
    <row r="74" spans="6:28" x14ac:dyDescent="0.25">
      <c r="F74" s="10" t="s">
        <v>27</v>
      </c>
      <c r="G74" s="21">
        <f>0.37*EXP(SIN(G70))*POWER(COS(G70), 2) - 0.37*EXP(SIN(G70))*SIN(G70)</f>
        <v>0.37</v>
      </c>
      <c r="H74" s="21">
        <f t="shared" ref="H74:AA74" si="53">0.37*EXP(SIN(H70))*POWER(COS(H70), 2) - 0.37*EXP(SIN(H70))*SIN(H70)</f>
        <v>0.36855059997415884</v>
      </c>
      <c r="I74" s="21">
        <f t="shared" si="53"/>
        <v>0.36395388003343232</v>
      </c>
      <c r="J74" s="21">
        <f t="shared" si="53"/>
        <v>0.35583846862213309</v>
      </c>
      <c r="K74" s="21">
        <f t="shared" si="53"/>
        <v>0.34384170787962187</v>
      </c>
      <c r="L74" s="21">
        <f t="shared" si="53"/>
        <v>0.32761917305475707</v>
      </c>
      <c r="M74" s="21">
        <f t="shared" si="53"/>
        <v>0.30685525427024996</v>
      </c>
      <c r="N74" s="21">
        <f t="shared" si="53"/>
        <v>0.28127461801604126</v>
      </c>
      <c r="O74" s="21">
        <f t="shared" si="53"/>
        <v>0.25065429618536067</v>
      </c>
      <c r="P74" s="21">
        <f t="shared" si="53"/>
        <v>0.21483607991797807</v>
      </c>
      <c r="Q74" s="21">
        <f t="shared" si="53"/>
        <v>0.17373882772832167</v>
      </c>
      <c r="R74" s="21">
        <f t="shared" si="53"/>
        <v>0.12737023669810138</v>
      </c>
      <c r="S74" s="21">
        <f t="shared" si="53"/>
        <v>7.5837576620079283E-2</v>
      </c>
      <c r="T74" s="21">
        <f t="shared" si="53"/>
        <v>1.9356854735122886E-2</v>
      </c>
      <c r="U74" s="21">
        <f t="shared" si="53"/>
        <v>-4.1740132246909589E-2</v>
      </c>
      <c r="V74" s="21">
        <f t="shared" si="53"/>
        <v>-0.10700138773931789</v>
      </c>
      <c r="W74" s="21">
        <f t="shared" si="53"/>
        <v>-0.17585343250359659</v>
      </c>
      <c r="X74" s="21">
        <f t="shared" si="53"/>
        <v>-0.24760356244668602</v>
      </c>
      <c r="Y74" s="21">
        <f t="shared" si="53"/>
        <v>-0.32144595661402248</v>
      </c>
      <c r="Z74" s="21">
        <f t="shared" si="53"/>
        <v>-0.3964718133895126</v>
      </c>
      <c r="AA74" s="21">
        <f t="shared" si="53"/>
        <v>-0.4716835370556578</v>
      </c>
    </row>
    <row r="75" spans="6:28" x14ac:dyDescent="0.25">
      <c r="F75" s="10" t="s">
        <v>34</v>
      </c>
      <c r="G75" s="2">
        <f>0.37*EXP(SIN(G70))*(POWER(COS(G70),3)-3*COS(G70)*SIN(G70)-COS(G70))</f>
        <v>0</v>
      </c>
      <c r="H75" s="2">
        <f t="shared" ref="H75:Z75" si="54">0.37*EXP(SIN(H70))*(POWER(COS(H70),3)-3*COS(H70)*SIN(H70)-COS(H70))</f>
        <v>-5.9217519738014111E-2</v>
      </c>
      <c r="I75" s="2">
        <f t="shared" si="54"/>
        <v>-0.12589196576203213</v>
      </c>
      <c r="J75" s="2">
        <f t="shared" si="54"/>
        <v>-0.19993652888777957</v>
      </c>
      <c r="K75" s="2">
        <f t="shared" si="54"/>
        <v>-0.28108551923440261</v>
      </c>
      <c r="L75" s="2">
        <f t="shared" si="54"/>
        <v>-0.36887173918231647</v>
      </c>
      <c r="M75" s="2">
        <f t="shared" si="54"/>
        <v>-0.46260683563294025</v>
      </c>
      <c r="N75" s="2">
        <f t="shared" si="54"/>
        <v>-0.56136599149103739</v>
      </c>
      <c r="O75" s="2">
        <f t="shared" si="54"/>
        <v>-0.66397836889316675</v>
      </c>
      <c r="P75" s="2">
        <f t="shared" si="54"/>
        <v>-0.76902470109891052</v>
      </c>
      <c r="Q75" s="2">
        <f t="shared" si="54"/>
        <v>-0.87484333311642459</v>
      </c>
      <c r="R75" s="2">
        <f t="shared" si="54"/>
        <v>-0.97954582310344895</v>
      </c>
      <c r="S75" s="2">
        <f t="shared" si="54"/>
        <v>-1.0810429319682866</v>
      </c>
      <c r="T75" s="2">
        <f t="shared" si="54"/>
        <v>-1.1770814479190608</v>
      </c>
      <c r="U75" s="2">
        <f t="shared" si="54"/>
        <v>-1.2652918235715018</v>
      </c>
      <c r="V75" s="2">
        <f t="shared" si="54"/>
        <v>-1.3432460610357071</v>
      </c>
      <c r="W75" s="2">
        <f t="shared" si="54"/>
        <v>-1.4085246885664497</v>
      </c>
      <c r="X75" s="2">
        <f t="shared" si="54"/>
        <v>-1.4587910617765747</v>
      </c>
      <c r="Y75" s="2">
        <f t="shared" si="54"/>
        <v>-1.4918706301966125</v>
      </c>
      <c r="Z75" s="2">
        <f t="shared" si="54"/>
        <v>-1.5058322774057857</v>
      </c>
      <c r="AA75" s="2">
        <f>0.37*EXP(SIN(AA70))*(POWER(COS(AA70),3)-3*COS(AA70)*SIN(AA70)-COS(AA70))</f>
        <v>-1.4990684127676581</v>
      </c>
    </row>
    <row r="76" spans="6:28" x14ac:dyDescent="0.25">
      <c r="F76" s="10" t="s">
        <v>35</v>
      </c>
      <c r="G76" s="2">
        <f>0.37*EXP(SIN(G70))*(POWER(COS(G70),4)-6*POWER(COS(G70),2)*SIN(G70)-4*POWER(COS(G70),2)+3*POWER(SIN(G70),2)+SIN(G70))</f>
        <v>-1.1099999999999999</v>
      </c>
      <c r="H76" s="2">
        <f t="shared" ref="H76:AA76" si="55">0.37*EXP(SIN(H70))*(POWER(COS(H70),4)-6*POWER(COS(H70),2)*SIN(H70)-4*POWER(COS(H70),2)+3*POWER(SIN(H70),2)+SIN(H70))</f>
        <v>-1.2589348872316117</v>
      </c>
      <c r="I76" s="2">
        <f t="shared" si="55"/>
        <v>-1.4077617603054833</v>
      </c>
      <c r="J76" s="2">
        <f t="shared" si="55"/>
        <v>-1.5531427341444306</v>
      </c>
      <c r="K76" s="2">
        <f t="shared" si="55"/>
        <v>-1.6912661687519999</v>
      </c>
      <c r="L76" s="2">
        <f t="shared" si="55"/>
        <v>-1.8178932894819011</v>
      </c>
      <c r="M76" s="2">
        <f t="shared" si="55"/>
        <v>-1.9284310976518002</v>
      </c>
      <c r="N76" s="2">
        <f t="shared" si="55"/>
        <v>-2.0180332091353175</v>
      </c>
      <c r="O76" s="2">
        <f t="shared" si="55"/>
        <v>-2.0817290380028028</v>
      </c>
      <c r="P76" s="2">
        <f t="shared" si="55"/>
        <v>-2.1145802399609877</v>
      </c>
      <c r="Q76" s="2">
        <f t="shared" si="55"/>
        <v>-2.1118615933856133</v>
      </c>
      <c r="R76" s="2">
        <f t="shared" si="55"/>
        <v>-2.0692616004652851</v>
      </c>
      <c r="S76" s="2">
        <f t="shared" si="55"/>
        <v>-1.9830961426396669</v>
      </c>
      <c r="T76" s="2">
        <f t="shared" si="55"/>
        <v>-1.850526654172074</v>
      </c>
      <c r="U76" s="2">
        <f t="shared" si="55"/>
        <v>-1.669772635793344</v>
      </c>
      <c r="V76" s="2">
        <f t="shared" si="55"/>
        <v>-1.4403070770713837</v>
      </c>
      <c r="W76" s="2">
        <f t="shared" si="55"/>
        <v>-1.1630226488293052</v>
      </c>
      <c r="X76" s="2">
        <f t="shared" si="55"/>
        <v>-0.8403565053005575</v>
      </c>
      <c r="Y76" s="2">
        <f t="shared" si="55"/>
        <v>-0.4763623062340599</v>
      </c>
      <c r="Z76" s="2">
        <f t="shared" si="55"/>
        <v>-7.6719689889902104E-2</v>
      </c>
      <c r="AA76" s="2">
        <f t="shared" si="55"/>
        <v>0.35132610439734835</v>
      </c>
    </row>
    <row r="77" spans="6:28" ht="15.75" thickBot="1" x14ac:dyDescent="0.3"/>
    <row r="78" spans="6:28" x14ac:dyDescent="0.25">
      <c r="F78" s="32" t="s">
        <v>2</v>
      </c>
      <c r="G78" s="32"/>
      <c r="H78" s="2" cm="1">
        <f t="array" ref="H78">(POWER($D$17,4)/180)*($AA$70-$G$70)*MAX(ABS(G76:AA76))</f>
        <v>7.342292499864545E-8</v>
      </c>
      <c r="L78" s="33"/>
      <c r="M78" s="34"/>
      <c r="N78" s="34"/>
      <c r="O78" s="34"/>
      <c r="P78" s="35"/>
    </row>
    <row r="79" spans="6:28" ht="15.75" thickBot="1" x14ac:dyDescent="0.3">
      <c r="L79" s="36"/>
      <c r="M79" s="37"/>
      <c r="N79" s="37"/>
      <c r="O79" s="37"/>
      <c r="P79" s="38"/>
    </row>
  </sheetData>
  <mergeCells count="20">
    <mergeCell ref="F56:AA56"/>
    <mergeCell ref="F52:G52"/>
    <mergeCell ref="L52:P53"/>
    <mergeCell ref="H1:J1"/>
    <mergeCell ref="F6:AA6"/>
    <mergeCell ref="F19:G19"/>
    <mergeCell ref="L19:P20"/>
    <mergeCell ref="F35:G35"/>
    <mergeCell ref="L35:P36"/>
    <mergeCell ref="F7:Q7"/>
    <mergeCell ref="F13:AA13"/>
    <mergeCell ref="F29:AA29"/>
    <mergeCell ref="F23:Q23"/>
    <mergeCell ref="F40:Q40"/>
    <mergeCell ref="F46:AA46"/>
    <mergeCell ref="F78:G78"/>
    <mergeCell ref="L78:P79"/>
    <mergeCell ref="F64:G64"/>
    <mergeCell ref="L64:P65"/>
    <mergeCell ref="F68:AA68"/>
  </mergeCells>
  <phoneticPr fontId="2" type="noConversion"/>
  <pageMargins left="0.7" right="0.7" top="0.75" bottom="0.75" header="0.3" footer="0.3"/>
  <pageSetup paperSize="9" orientation="portrait" r:id="rId1"/>
  <ignoredErrors>
    <ignoredError sqref="B4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terms:modified xsi:type="dcterms:W3CDTF">2025-03-17T17:26:38Z</dcterms:modified>
</cp:coreProperties>
</file>